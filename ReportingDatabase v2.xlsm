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Summary" sheetId="5" r:id="rId1"/>
    <sheet name="Report_1" sheetId="4" r:id="rId2"/>
    <sheet name="Database View" sheetId="1" r:id="rId3"/>
    <sheet name="Input" sheetId="2" r:id="rId4"/>
  </sheets>
  <functionGroups builtInGroupCount="17"/>
  <definedNames>
    <definedName name="DBDataStart">'Database View'!$A$1</definedName>
    <definedName name="DBDefStart">Input!$A$12</definedName>
    <definedName name="FormFolder">Input!$B$1</definedName>
    <definedName name="InputStart">Input!$A$3</definedName>
  </definedNames>
  <calcPr calcId="145621"/>
  <pivotCaches>
    <pivotCache cacheId="9" r:id="rId5"/>
  </pivotCaches>
</workbook>
</file>

<file path=xl/calcChain.xml><?xml version="1.0" encoding="utf-8"?>
<calcChain xmlns="http://schemas.openxmlformats.org/spreadsheetml/2006/main">
  <c r="N33" i="4" l="1"/>
  <c r="N34" i="4" s="1"/>
  <c r="F29" i="5"/>
  <c r="O30" i="4"/>
  <c r="F20" i="5"/>
  <c r="D10" i="2" l="1"/>
  <c r="D9" i="2"/>
  <c r="D8" i="2"/>
  <c r="D7" i="2"/>
  <c r="D6" i="2"/>
  <c r="D5" i="2"/>
  <c r="D4" i="2"/>
  <c r="N30" i="4"/>
  <c r="F28" i="5"/>
  <c r="H20" i="5"/>
  <c r="G20" i="5"/>
</calcChain>
</file>

<file path=xl/sharedStrings.xml><?xml version="1.0" encoding="utf-8"?>
<sst xmlns="http://schemas.openxmlformats.org/spreadsheetml/2006/main" count="1019" uniqueCount="101">
  <si>
    <t>Date</t>
  </si>
  <si>
    <t>Block</t>
  </si>
  <si>
    <t>Greek Name</t>
  </si>
  <si>
    <t>Value</t>
  </si>
  <si>
    <t>Sheet</t>
  </si>
  <si>
    <t>Category</t>
  </si>
  <si>
    <t>DAP</t>
  </si>
  <si>
    <t>Liability</t>
  </si>
  <si>
    <t>ML</t>
  </si>
  <si>
    <t>USL</t>
  </si>
  <si>
    <t>VALIC-GMWB</t>
  </si>
  <si>
    <t>VALIC-VIX-DAP</t>
  </si>
  <si>
    <t>VIX</t>
  </si>
  <si>
    <t>GMAB</t>
  </si>
  <si>
    <t>Delta</t>
  </si>
  <si>
    <t>Rho</t>
  </si>
  <si>
    <t>EquityVega</t>
  </si>
  <si>
    <t>Convexity</t>
  </si>
  <si>
    <t>GMWB-DAP</t>
  </si>
  <si>
    <t>GMWB-ML</t>
  </si>
  <si>
    <t>VALIC_GMWB</t>
  </si>
  <si>
    <t>VALIC_VIX_DAP</t>
  </si>
  <si>
    <t>GMWB-VIX</t>
  </si>
  <si>
    <t>All MTM and Greeks</t>
  </si>
  <si>
    <t>B36</t>
  </si>
  <si>
    <t>Hedges</t>
  </si>
  <si>
    <t>BondFund</t>
  </si>
  <si>
    <t>Upside Convexity</t>
  </si>
  <si>
    <t>Downside Convexity</t>
  </si>
  <si>
    <t>D36</t>
  </si>
  <si>
    <t>F36</t>
  </si>
  <si>
    <t>B37,B39</t>
  </si>
  <si>
    <t>C37,C39</t>
  </si>
  <si>
    <t>D37,D39</t>
  </si>
  <si>
    <t>F37,F39</t>
  </si>
  <si>
    <t>I35</t>
  </si>
  <si>
    <t>J35</t>
  </si>
  <si>
    <t>Swap Hedge Positions</t>
  </si>
  <si>
    <t>N9:N20</t>
  </si>
  <si>
    <t>F41</t>
  </si>
  <si>
    <t>Form Folder</t>
  </si>
  <si>
    <t>\\whpnxx6070n1\mrm_dept\v02\FORMS\GMLB\</t>
  </si>
  <si>
    <t>Last Trade Date</t>
  </si>
  <si>
    <t>Folder Name</t>
  </si>
  <si>
    <t>File Name Prefix</t>
  </si>
  <si>
    <t>Range if DAP</t>
  </si>
  <si>
    <t>Range if NonDAP</t>
  </si>
  <si>
    <t>N22:N40</t>
  </si>
  <si>
    <t>O22:O40</t>
  </si>
  <si>
    <t>Row Labels</t>
  </si>
  <si>
    <t>Grand Total</t>
  </si>
  <si>
    <t>Column Labels</t>
  </si>
  <si>
    <t>Sum of Value</t>
  </si>
  <si>
    <t>C36</t>
  </si>
  <si>
    <t>Company</t>
  </si>
  <si>
    <t>AGL</t>
  </si>
  <si>
    <t>VALIC</t>
  </si>
  <si>
    <t>Sign</t>
  </si>
  <si>
    <t>Gamma</t>
  </si>
  <si>
    <t>E36</t>
  </si>
  <si>
    <t>E37</t>
  </si>
  <si>
    <t>AGL Total</t>
  </si>
  <si>
    <t>USL Total</t>
  </si>
  <si>
    <t>VALIC Total</t>
  </si>
  <si>
    <t>M9:M20</t>
  </si>
  <si>
    <t>IR Option</t>
  </si>
  <si>
    <t>Swaption Premium</t>
  </si>
  <si>
    <t>Tail Gamma</t>
  </si>
  <si>
    <t>F4</t>
  </si>
  <si>
    <t>Swap</t>
  </si>
  <si>
    <t>Hedges Rho Split</t>
  </si>
  <si>
    <t>Swaption</t>
  </si>
  <si>
    <t>Treasury Future</t>
  </si>
  <si>
    <t>Treasury Future Option</t>
  </si>
  <si>
    <t>Key Rho</t>
  </si>
  <si>
    <t>AA39</t>
  </si>
  <si>
    <t>AA40</t>
  </si>
  <si>
    <t>AA36</t>
  </si>
  <si>
    <t>AA37</t>
  </si>
  <si>
    <t>Y39</t>
  </si>
  <si>
    <t>Y40</t>
  </si>
  <si>
    <t>Y36</t>
  </si>
  <si>
    <t>Y37</t>
  </si>
  <si>
    <t>Swaption Vega</t>
  </si>
  <si>
    <t>Equity Future</t>
  </si>
  <si>
    <t>Equity Option</t>
  </si>
  <si>
    <t>C30:C33</t>
  </si>
  <si>
    <t>C29</t>
  </si>
  <si>
    <t>Overall</t>
  </si>
  <si>
    <t>N3:N26</t>
  </si>
  <si>
    <t>Treasury Futures Options</t>
  </si>
  <si>
    <t>Convexity Split</t>
  </si>
  <si>
    <t>SPIA Rho</t>
  </si>
  <si>
    <t>LiabilitySQL</t>
  </si>
  <si>
    <t>C43</t>
  </si>
  <si>
    <t>Corporate Bond</t>
  </si>
  <si>
    <t>C35</t>
  </si>
  <si>
    <t>G27</t>
  </si>
  <si>
    <t>G35</t>
  </si>
  <si>
    <t>CS100</t>
  </si>
  <si>
    <t>G37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</si>
</sst>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7" fillId="0" borderId="0" applyFont="0" applyFill="0" applyBorder="0" applyAlignment="0" applyProtection="0"/>
  </cellStyleXfs>
  <cellXfs count="26">
    <xf numFmtId="0" fontId="0" fillId="0" borderId="0" xfId="0"/>
    <xf numFmtId="0" fontId="2" fillId="0" borderId="0" xfId="0" applyFont="1" applyAlignment="1">
      <alignment horizontal="left"/>
    </xf>
    <xf numFmtId="0" fontId="1" fillId="0" borderId="0" xfId="0" applyFont="1"/>
    <xf numFmtId="0" fontId="3" fillId="0" borderId="0" xfId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4" fillId="0" borderId="0" xfId="0" applyFont="1"/>
    <xf numFmtId="0" fontId="0" fillId="0" borderId="0" xfId="0" applyFont="1" applyAlignment="1">
      <alignment horizontal="left"/>
    </xf>
    <xf numFmtId="4" fontId="0" fillId="0" borderId="0" xfId="0" applyNumberFormat="1" applyAlignment="1">
      <alignment horizontal="right"/>
    </xf>
    <xf numFmtId="0" fontId="0" fillId="0" borderId="0" xfId="0" pivotButton="1"/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  <xf numFmtId="4" fontId="0" fillId="0" borderId="0" xfId="0" applyNumberFormat="1"/>
    <xf numFmtId="0" fontId="0" fillId="0" borderId="0" xfId="0" applyAlignment="1">
      <alignment horizontal="right"/>
    </xf>
    <xf numFmtId="10" fontId="0" fillId="0" borderId="0" xfId="2" applyNumberFormat="1" applyFont="1"/>
    <xf numFmtId="9" fontId="0" fillId="0" borderId="0" xfId="0" applyNumberFormat="1" applyAlignment="1">
      <alignment horizontal="center"/>
    </xf>
    <xf numFmtId="0" fontId="0" fillId="0" borderId="0" xfId="0" applyFill="1"/>
    <xf numFmtId="0" fontId="6" fillId="0" borderId="0" xfId="0" applyFont="1" applyFill="1" applyAlignment="1">
      <alignment horizontal="left"/>
    </xf>
    <xf numFmtId="0" fontId="0" fillId="2" borderId="0" xfId="0" applyFill="1" applyAlignment="1">
      <alignment horizontal="left" indent="1"/>
    </xf>
    <xf numFmtId="3" fontId="0" fillId="2" borderId="0" xfId="0" applyNumberFormat="1" applyFill="1"/>
    <xf numFmtId="0" fontId="0" fillId="0" borderId="0" xfId="0" applyFill="1" applyAlignment="1">
      <alignment horizontal="left" indent="1"/>
    </xf>
    <xf numFmtId="3" fontId="0" fillId="0" borderId="0" xfId="0" applyNumberFormat="1" applyFill="1"/>
    <xf numFmtId="0" fontId="0" fillId="0" borderId="0" xfId="0" applyFill="1" applyAlignment="1">
      <alignment horizontal="left"/>
    </xf>
  </cellXfs>
  <cellStyles count="3">
    <cellStyle name="Hyperlink" xfId="1" builtinId="8"/>
    <cellStyle name="Normal" xfId="0" builtinId="0"/>
    <cellStyle name="Percent" xfId="2" builtinId="5"/>
  </cellStyles>
  <dxfs count="30"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alignment horizontal="right" readingOrder="0"/>
    </dxf>
    <dxf>
      <alignment horizontal="right" readingOrder="0"/>
    </dxf>
    <dxf>
      <font>
        <color theme="4" tint="0.79998168889431442"/>
      </font>
    </dxf>
    <dxf>
      <fill>
        <patternFill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</xdr:row>
          <xdr:rowOff>9525</xdr:rowOff>
        </xdr:from>
        <xdr:to>
          <xdr:col>10</xdr:col>
          <xdr:colOff>333375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5</xdr:row>
          <xdr:rowOff>0</xdr:rowOff>
        </xdr:from>
        <xdr:to>
          <xdr:col>10</xdr:col>
          <xdr:colOff>333375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12</xdr:row>
          <xdr:rowOff>123825</xdr:rowOff>
        </xdr:from>
        <xdr:to>
          <xdr:col>10</xdr:col>
          <xdr:colOff>361950</xdr:colOff>
          <xdr:row>15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9</xdr:row>
          <xdr:rowOff>9525</xdr:rowOff>
        </xdr:from>
        <xdr:to>
          <xdr:col>10</xdr:col>
          <xdr:colOff>342900</xdr:colOff>
          <xdr:row>11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, Mei" refreshedDate="42310.71702152778" createdVersion="4" refreshedVersion="4" minRefreshableVersion="3" recordCount="190">
  <cacheSource type="worksheet">
    <worksheetSource ref="A1:F200" sheet="Database View"/>
  </cacheSource>
  <cacheFields count="6">
    <cacheField name="Date" numFmtId="0">
      <sharedItems containsString="0" containsBlank="1" containsNumber="1" containsInteger="1" minValue="20151030" maxValue="20151030"/>
    </cacheField>
    <cacheField name="Block" numFmtId="0">
      <sharedItems containsBlank="1" count="8">
        <s v="DAP"/>
        <s v="ML"/>
        <s v="USL"/>
        <s v="VALIC-GMWB"/>
        <s v="VALIC-VIX-DAP"/>
        <s v="VIX"/>
        <s v="GMAB"/>
        <m/>
      </sharedItems>
    </cacheField>
    <cacheField name="Category" numFmtId="0">
      <sharedItems containsBlank="1" count="20">
        <s v="Liability"/>
        <s v="Hedges"/>
        <s v="Upside Convexity"/>
        <s v="Downside Convexity"/>
        <s v="Swaption Vega"/>
        <s v="Swaption Premium"/>
        <s v="BondFund"/>
        <s v="Swap"/>
        <s v="Swaption"/>
        <s v="Treasury Future"/>
        <s v="Treasury Future Option"/>
        <s v="Equity Future"/>
        <s v="Equity Option"/>
        <s v="Corporate Bond"/>
        <m/>
        <s v="IRVega" u="1"/>
        <s v="Repo Bond" u="1"/>
        <s v="IR Vega" u="1"/>
        <s v="IR Option" u="1"/>
        <s v="Equity Future/Option" u="1"/>
      </sharedItems>
    </cacheField>
    <cacheField name="Greek Name" numFmtId="0">
      <sharedItems containsBlank="1" count="17">
        <s v="Delta"/>
        <s v="Gamma"/>
        <s v="Rho"/>
        <s v="EquityVega"/>
        <s v="Convexity"/>
        <s v="IR Option"/>
        <s v="Tail Gamma"/>
        <s v="Hedges Rho Split"/>
        <s v="Convexity Split"/>
        <s v="SPIA Rho"/>
        <s v="CS100"/>
        <m/>
        <s v="IRVega" u="1"/>
        <s v="CS01" u="1"/>
        <s v="Downside Convexity" u="1"/>
        <s v="Premium" u="1"/>
        <s v="Upside Convexity" u="1"/>
      </sharedItems>
    </cacheField>
    <cacheField name="Value" numFmtId="4">
      <sharedItems containsString="0" containsBlank="1" containsNumber="1" minValue="-1043318290.235997" maxValue="1131013245.0537205"/>
    </cacheField>
    <cacheField name="Company" numFmtId="0">
      <sharedItems containsBlank="1" count="4">
        <s v="AGL"/>
        <s v="USL"/>
        <s v="VALIC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0">
  <r>
    <n v="20151030"/>
    <x v="0"/>
    <x v="0"/>
    <x v="0"/>
    <n v="1806212.8782839775"/>
    <x v="0"/>
  </r>
  <r>
    <n v="20151030"/>
    <x v="0"/>
    <x v="0"/>
    <x v="1"/>
    <n v="-338.24373996734619"/>
    <x v="0"/>
  </r>
  <r>
    <n v="20151030"/>
    <x v="0"/>
    <x v="0"/>
    <x v="2"/>
    <n v="1131013245.0537205"/>
    <x v="0"/>
  </r>
  <r>
    <n v="20151030"/>
    <x v="0"/>
    <x v="0"/>
    <x v="3"/>
    <n v="5516790.5907030106"/>
    <x v="0"/>
  </r>
  <r>
    <n v="20151030"/>
    <x v="0"/>
    <x v="0"/>
    <x v="4"/>
    <n v="-371181924.24879837"/>
    <x v="0"/>
  </r>
  <r>
    <n v="20151030"/>
    <x v="0"/>
    <x v="1"/>
    <x v="0"/>
    <n v="-1831091.1974784355"/>
    <x v="0"/>
  </r>
  <r>
    <n v="20151030"/>
    <x v="0"/>
    <x v="1"/>
    <x v="1"/>
    <n v="142.11479540417582"/>
    <x v="0"/>
  </r>
  <r>
    <n v="20151030"/>
    <x v="0"/>
    <x v="1"/>
    <x v="2"/>
    <n v="-1043318290.235997"/>
    <x v="0"/>
  </r>
  <r>
    <n v="20151030"/>
    <x v="0"/>
    <x v="1"/>
    <x v="3"/>
    <n v="692344.37487014395"/>
    <x v="0"/>
  </r>
  <r>
    <n v="20151030"/>
    <x v="0"/>
    <x v="1"/>
    <x v="4"/>
    <n v="388076112.41299719"/>
    <x v="0"/>
  </r>
  <r>
    <n v="20151030"/>
    <x v="0"/>
    <x v="2"/>
    <x v="5"/>
    <n v="30052241.183762521"/>
    <x v="0"/>
  </r>
  <r>
    <n v="20151030"/>
    <x v="0"/>
    <x v="3"/>
    <x v="5"/>
    <n v="184082402.93843839"/>
    <x v="0"/>
  </r>
  <r>
    <n v="20151030"/>
    <x v="0"/>
    <x v="4"/>
    <x v="5"/>
    <n v="1127981.1585968668"/>
    <x v="0"/>
  </r>
  <r>
    <n v="20151030"/>
    <x v="0"/>
    <x v="5"/>
    <x v="5"/>
    <n v="21884035.652202971"/>
    <x v="0"/>
  </r>
  <r>
    <n v="20151030"/>
    <x v="0"/>
    <x v="6"/>
    <x v="2"/>
    <n v="-101303477.72625199"/>
    <x v="0"/>
  </r>
  <r>
    <n v="20151030"/>
    <x v="0"/>
    <x v="1"/>
    <x v="6"/>
    <n v="186.54322201746137"/>
    <x v="0"/>
  </r>
  <r>
    <n v="20151030"/>
    <x v="0"/>
    <x v="7"/>
    <x v="7"/>
    <n v="-841680475.91047502"/>
    <x v="0"/>
  </r>
  <r>
    <n v="20151030"/>
    <x v="0"/>
    <x v="8"/>
    <x v="7"/>
    <n v="-59558547.082835935"/>
    <x v="0"/>
  </r>
  <r>
    <n v="20151030"/>
    <x v="0"/>
    <x v="9"/>
    <x v="7"/>
    <n v="29974165.473885179"/>
    <x v="0"/>
  </r>
  <r>
    <n v="20151030"/>
    <x v="0"/>
    <x v="10"/>
    <x v="7"/>
    <n v="0"/>
    <x v="0"/>
  </r>
  <r>
    <n v="20151030"/>
    <x v="0"/>
    <x v="11"/>
    <x v="7"/>
    <n v="-4937619.7116067372"/>
    <x v="0"/>
  </r>
  <r>
    <n v="20151030"/>
    <x v="0"/>
    <x v="12"/>
    <x v="7"/>
    <n v="-378283.05041150452"/>
    <x v="0"/>
  </r>
  <r>
    <n v="20151030"/>
    <x v="0"/>
    <x v="10"/>
    <x v="8"/>
    <n v="0"/>
    <x v="0"/>
  </r>
  <r>
    <n v="20151030"/>
    <x v="0"/>
    <x v="0"/>
    <x v="9"/>
    <n v="146103004.82009935"/>
    <x v="0"/>
  </r>
  <r>
    <n v="20151030"/>
    <x v="0"/>
    <x v="13"/>
    <x v="7"/>
    <n v="-166639521.50642052"/>
    <x v="0"/>
  </r>
  <r>
    <n v="20151030"/>
    <x v="0"/>
    <x v="0"/>
    <x v="10"/>
    <n v="292206009.64019871"/>
    <x v="0"/>
  </r>
  <r>
    <n v="20151030"/>
    <x v="0"/>
    <x v="1"/>
    <x v="10"/>
    <n v="-166588721.91739058"/>
    <x v="0"/>
  </r>
  <r>
    <n v="20151030"/>
    <x v="1"/>
    <x v="0"/>
    <x v="0"/>
    <n v="392554.2598772049"/>
    <x v="0"/>
  </r>
  <r>
    <n v="20151030"/>
    <x v="1"/>
    <x v="0"/>
    <x v="1"/>
    <n v="-541.09673999607571"/>
    <x v="0"/>
  </r>
  <r>
    <n v="20151030"/>
    <x v="1"/>
    <x v="0"/>
    <x v="2"/>
    <n v="195507533.16701597"/>
    <x v="0"/>
  </r>
  <r>
    <n v="20151030"/>
    <x v="1"/>
    <x v="0"/>
    <x v="3"/>
    <n v="-5918385.488948822"/>
    <x v="0"/>
  </r>
  <r>
    <n v="20151030"/>
    <x v="1"/>
    <x v="0"/>
    <x v="4"/>
    <n v="-64939700.032399535"/>
    <x v="0"/>
  </r>
  <r>
    <n v="20151030"/>
    <x v="1"/>
    <x v="1"/>
    <x v="0"/>
    <n v="-392438.35528146499"/>
    <x v="0"/>
  </r>
  <r>
    <n v="20151030"/>
    <x v="1"/>
    <x v="1"/>
    <x v="1"/>
    <n v="43.380636680311241"/>
    <x v="0"/>
  </r>
  <r>
    <n v="20151030"/>
    <x v="1"/>
    <x v="1"/>
    <x v="2"/>
    <n v="-187277334.69283611"/>
    <x v="0"/>
  </r>
  <r>
    <n v="20151030"/>
    <x v="1"/>
    <x v="1"/>
    <x v="3"/>
    <n v="648531.21875539131"/>
    <x v="0"/>
  </r>
  <r>
    <n v="20151030"/>
    <x v="1"/>
    <x v="1"/>
    <x v="4"/>
    <n v="100926459.4183277"/>
    <x v="0"/>
  </r>
  <r>
    <n v="20151030"/>
    <x v="1"/>
    <x v="2"/>
    <x v="5"/>
    <n v="0"/>
    <x v="0"/>
  </r>
  <r>
    <n v="20151030"/>
    <x v="1"/>
    <x v="3"/>
    <x v="5"/>
    <n v="80366748.248584375"/>
    <x v="0"/>
  </r>
  <r>
    <n v="20151030"/>
    <x v="1"/>
    <x v="4"/>
    <x v="5"/>
    <n v="881688.31138311245"/>
    <x v="0"/>
  </r>
  <r>
    <n v="20151030"/>
    <x v="1"/>
    <x v="5"/>
    <x v="5"/>
    <n v="13844699.528595831"/>
    <x v="0"/>
  </r>
  <r>
    <n v="20151030"/>
    <x v="1"/>
    <x v="6"/>
    <x v="2"/>
    <n v="-10874302.023958649"/>
    <x v="0"/>
  </r>
  <r>
    <n v="20151030"/>
    <x v="1"/>
    <x v="1"/>
    <x v="6"/>
    <n v="120.42145316659681"/>
    <x v="0"/>
  </r>
  <r>
    <n v="20151030"/>
    <x v="1"/>
    <x v="7"/>
    <x v="7"/>
    <n v="-147171400.43724427"/>
    <x v="0"/>
  </r>
  <r>
    <n v="20151030"/>
    <x v="1"/>
    <x v="8"/>
    <x v="7"/>
    <n v="-38456485.92379798"/>
    <x v="0"/>
  </r>
  <r>
    <n v="20151030"/>
    <x v="1"/>
    <x v="9"/>
    <x v="7"/>
    <n v="0"/>
    <x v="0"/>
  </r>
  <r>
    <n v="20151030"/>
    <x v="1"/>
    <x v="10"/>
    <x v="7"/>
    <n v="0"/>
    <x v="0"/>
  </r>
  <r>
    <n v="20151030"/>
    <x v="1"/>
    <x v="11"/>
    <x v="7"/>
    <n v="-1072627.781767217"/>
    <x v="0"/>
  </r>
  <r>
    <n v="20151030"/>
    <x v="1"/>
    <x v="12"/>
    <x v="7"/>
    <n v="-603234.17434612708"/>
    <x v="0"/>
  </r>
  <r>
    <n v="20151030"/>
    <x v="1"/>
    <x v="10"/>
    <x v="8"/>
    <n v="0"/>
    <x v="0"/>
  </r>
  <r>
    <n v="20151030"/>
    <x v="1"/>
    <x v="0"/>
    <x v="9"/>
    <n v="29245525.921699941"/>
    <x v="0"/>
  </r>
  <r>
    <n v="20151030"/>
    <x v="1"/>
    <x v="13"/>
    <x v="7"/>
    <n v="0"/>
    <x v="0"/>
  </r>
  <r>
    <n v="20151030"/>
    <x v="1"/>
    <x v="0"/>
    <x v="10"/>
    <n v="58491051.843399882"/>
    <x v="0"/>
  </r>
  <r>
    <n v="20151030"/>
    <x v="1"/>
    <x v="1"/>
    <x v="10"/>
    <n v="0"/>
    <x v="0"/>
  </r>
  <r>
    <n v="20151030"/>
    <x v="2"/>
    <x v="0"/>
    <x v="0"/>
    <n v="189266.20137143135"/>
    <x v="1"/>
  </r>
  <r>
    <n v="20151030"/>
    <x v="2"/>
    <x v="0"/>
    <x v="1"/>
    <n v="-69.598703998899424"/>
    <x v="1"/>
  </r>
  <r>
    <n v="20151030"/>
    <x v="2"/>
    <x v="0"/>
    <x v="2"/>
    <n v="117975511.79943456"/>
    <x v="1"/>
  </r>
  <r>
    <n v="20151030"/>
    <x v="2"/>
    <x v="0"/>
    <x v="3"/>
    <n v="177080.76736915112"/>
    <x v="1"/>
  </r>
  <r>
    <n v="20151030"/>
    <x v="2"/>
    <x v="0"/>
    <x v="4"/>
    <n v="-39108360.400000028"/>
    <x v="1"/>
  </r>
  <r>
    <n v="20151030"/>
    <x v="2"/>
    <x v="1"/>
    <x v="0"/>
    <n v="-189286.47079628191"/>
    <x v="1"/>
  </r>
  <r>
    <n v="20151030"/>
    <x v="2"/>
    <x v="1"/>
    <x v="1"/>
    <n v="59.153156815133229"/>
    <x v="1"/>
  </r>
  <r>
    <n v="20151030"/>
    <x v="2"/>
    <x v="1"/>
    <x v="2"/>
    <n v="-119368213.33112982"/>
    <x v="1"/>
  </r>
  <r>
    <n v="20151030"/>
    <x v="2"/>
    <x v="1"/>
    <x v="3"/>
    <n v="327623.20928327891"/>
    <x v="1"/>
  </r>
  <r>
    <n v="20151030"/>
    <x v="2"/>
    <x v="1"/>
    <x v="4"/>
    <n v="65282523.260357521"/>
    <x v="1"/>
  </r>
  <r>
    <n v="20151030"/>
    <x v="2"/>
    <x v="2"/>
    <x v="5"/>
    <n v="10887650.005880686"/>
    <x v="1"/>
  </r>
  <r>
    <n v="20151030"/>
    <x v="2"/>
    <x v="3"/>
    <x v="5"/>
    <n v="37157079.431666106"/>
    <x v="1"/>
  </r>
  <r>
    <n v="20151030"/>
    <x v="2"/>
    <x v="4"/>
    <x v="5"/>
    <n v="166899.46081718049"/>
    <x v="1"/>
  </r>
  <r>
    <n v="20151030"/>
    <x v="2"/>
    <x v="5"/>
    <x v="5"/>
    <n v="1745756.4837634398"/>
    <x v="1"/>
  </r>
  <r>
    <n v="20151030"/>
    <x v="2"/>
    <x v="6"/>
    <x v="2"/>
    <n v="-7213699.465495646"/>
    <x v="1"/>
  </r>
  <r>
    <n v="20151030"/>
    <x v="2"/>
    <x v="1"/>
    <x v="6"/>
    <n v="152.29682486746901"/>
    <x v="1"/>
  </r>
  <r>
    <n v="20151030"/>
    <x v="2"/>
    <x v="7"/>
    <x v="7"/>
    <n v="-101089325.20064412"/>
    <x v="1"/>
  </r>
  <r>
    <n v="20151030"/>
    <x v="2"/>
    <x v="8"/>
    <x v="7"/>
    <n v="-7181217.0845456515"/>
    <x v="1"/>
  </r>
  <r>
    <n v="20151030"/>
    <x v="2"/>
    <x v="9"/>
    <x v="7"/>
    <n v="1951687.3232291711"/>
    <x v="1"/>
  </r>
  <r>
    <n v="20151030"/>
    <x v="2"/>
    <x v="10"/>
    <x v="7"/>
    <n v="0"/>
    <x v="1"/>
  </r>
  <r>
    <n v="20151030"/>
    <x v="2"/>
    <x v="11"/>
    <x v="7"/>
    <n v="-486445.76408089779"/>
    <x v="1"/>
  </r>
  <r>
    <n v="20151030"/>
    <x v="2"/>
    <x v="12"/>
    <x v="7"/>
    <n v="-142074.25319588333"/>
    <x v="1"/>
  </r>
  <r>
    <n v="20151030"/>
    <x v="2"/>
    <x v="10"/>
    <x v="8"/>
    <n v="0"/>
    <x v="1"/>
  </r>
  <r>
    <n v="20151030"/>
    <x v="2"/>
    <x v="0"/>
    <x v="9"/>
    <n v="15929586.238999926"/>
    <x v="1"/>
  </r>
  <r>
    <n v="20151030"/>
    <x v="2"/>
    <x v="13"/>
    <x v="7"/>
    <n v="-12413887.398124237"/>
    <x v="1"/>
  </r>
  <r>
    <n v="20151030"/>
    <x v="2"/>
    <x v="0"/>
    <x v="10"/>
    <n v="31859172.477999851"/>
    <x v="1"/>
  </r>
  <r>
    <n v="20151030"/>
    <x v="2"/>
    <x v="1"/>
    <x v="10"/>
    <n v="-12409953.365168368"/>
    <x v="1"/>
  </r>
  <r>
    <n v="20151030"/>
    <x v="3"/>
    <x v="0"/>
    <x v="0"/>
    <n v="66902.22488617897"/>
    <x v="2"/>
  </r>
  <r>
    <n v="20151030"/>
    <x v="3"/>
    <x v="0"/>
    <x v="1"/>
    <n v="-233.77528400182723"/>
    <x v="2"/>
  </r>
  <r>
    <n v="20151030"/>
    <x v="3"/>
    <x v="0"/>
    <x v="2"/>
    <n v="78340038.874884129"/>
    <x v="2"/>
  </r>
  <r>
    <n v="20151030"/>
    <x v="3"/>
    <x v="0"/>
    <x v="3"/>
    <n v="-2705483.5447947085"/>
    <x v="2"/>
  </r>
  <r>
    <n v="20151030"/>
    <x v="3"/>
    <x v="0"/>
    <x v="4"/>
    <n v="-24283530.905199945"/>
    <x v="2"/>
  </r>
  <r>
    <n v="20151030"/>
    <x v="3"/>
    <x v="1"/>
    <x v="0"/>
    <n v="-66986.382732531827"/>
    <x v="2"/>
  </r>
  <r>
    <n v="20151030"/>
    <x v="3"/>
    <x v="1"/>
    <x v="1"/>
    <n v="138.48935593642145"/>
    <x v="2"/>
  </r>
  <r>
    <n v="20151030"/>
    <x v="3"/>
    <x v="1"/>
    <x v="2"/>
    <n v="-77527913.258004069"/>
    <x v="2"/>
  </r>
  <r>
    <n v="20151030"/>
    <x v="3"/>
    <x v="1"/>
    <x v="3"/>
    <n v="2713277.4459181922"/>
    <x v="2"/>
  </r>
  <r>
    <n v="20151030"/>
    <x v="3"/>
    <x v="1"/>
    <x v="4"/>
    <n v="16269726.901850587"/>
    <x v="2"/>
  </r>
  <r>
    <n v="20151030"/>
    <x v="3"/>
    <x v="2"/>
    <x v="5"/>
    <n v="131359.12951311583"/>
    <x v="2"/>
  </r>
  <r>
    <n v="20151030"/>
    <x v="3"/>
    <x v="3"/>
    <x v="5"/>
    <n v="12686247.774764176"/>
    <x v="2"/>
  </r>
  <r>
    <n v="20151030"/>
    <x v="3"/>
    <x v="4"/>
    <x v="5"/>
    <n v="81185.917082322572"/>
    <x v="2"/>
  </r>
  <r>
    <n v="20151030"/>
    <x v="3"/>
    <x v="5"/>
    <x v="5"/>
    <n v="744141.76221005095"/>
    <x v="2"/>
  </r>
  <r>
    <n v="20151030"/>
    <x v="3"/>
    <x v="6"/>
    <x v="2"/>
    <n v="-427202.78704600414"/>
    <x v="2"/>
  </r>
  <r>
    <n v="20151030"/>
    <x v="3"/>
    <x v="1"/>
    <x v="6"/>
    <n v="216.1995603305198"/>
    <x v="2"/>
  </r>
  <r>
    <n v="20151030"/>
    <x v="3"/>
    <x v="7"/>
    <x v="7"/>
    <n v="-49529961.731415138"/>
    <x v="2"/>
  </r>
  <r>
    <n v="20151030"/>
    <x v="3"/>
    <x v="8"/>
    <x v="7"/>
    <n v="-3547909.1079348754"/>
    <x v="2"/>
  </r>
  <r>
    <n v="20151030"/>
    <x v="3"/>
    <x v="9"/>
    <x v="7"/>
    <n v="4334561.3806601344"/>
    <x v="2"/>
  </r>
  <r>
    <n v="20151030"/>
    <x v="3"/>
    <x v="10"/>
    <x v="7"/>
    <n v="0"/>
    <x v="2"/>
  </r>
  <r>
    <n v="20151030"/>
    <x v="3"/>
    <x v="11"/>
    <x v="7"/>
    <n v="-22289.710765891679"/>
    <x v="2"/>
  </r>
  <r>
    <n v="20151030"/>
    <x v="3"/>
    <x v="12"/>
    <x v="7"/>
    <n v="-2581278.3044906603"/>
    <x v="2"/>
  </r>
  <r>
    <n v="20151030"/>
    <x v="3"/>
    <x v="10"/>
    <x v="8"/>
    <n v="0"/>
    <x v="2"/>
  </r>
  <r>
    <n v="20151030"/>
    <x v="3"/>
    <x v="0"/>
    <x v="9"/>
    <n v="7673208.3367999196"/>
    <x v="2"/>
  </r>
  <r>
    <n v="20151030"/>
    <x v="3"/>
    <x v="13"/>
    <x v="7"/>
    <n v="-26177560.30717352"/>
    <x v="2"/>
  </r>
  <r>
    <n v="20151030"/>
    <x v="3"/>
    <x v="0"/>
    <x v="10"/>
    <n v="15346416.673599839"/>
    <x v="2"/>
  </r>
  <r>
    <n v="20151030"/>
    <x v="3"/>
    <x v="1"/>
    <x v="10"/>
    <n v="-26169534.325465977"/>
    <x v="2"/>
  </r>
  <r>
    <n v="20151030"/>
    <x v="4"/>
    <x v="0"/>
    <x v="0"/>
    <n v="88895.112281799316"/>
    <x v="2"/>
  </r>
  <r>
    <n v="20151030"/>
    <x v="4"/>
    <x v="0"/>
    <x v="1"/>
    <n v="-37.961772000193591"/>
    <x v="2"/>
  </r>
  <r>
    <n v="20151030"/>
    <x v="4"/>
    <x v="0"/>
    <x v="2"/>
    <n v="72399153.11897862"/>
    <x v="2"/>
  </r>
  <r>
    <n v="20151030"/>
    <x v="4"/>
    <x v="0"/>
    <x v="3"/>
    <n v="-352766.46276271343"/>
    <x v="2"/>
  </r>
  <r>
    <n v="20151030"/>
    <x v="4"/>
    <x v="0"/>
    <x v="4"/>
    <n v="-28603482.820400178"/>
    <x v="2"/>
  </r>
  <r>
    <n v="20151030"/>
    <x v="4"/>
    <x v="1"/>
    <x v="0"/>
    <n v="-88953.912406578005"/>
    <x v="2"/>
  </r>
  <r>
    <n v="20151030"/>
    <x v="4"/>
    <x v="1"/>
    <x v="1"/>
    <n v="51.932273704421547"/>
    <x v="2"/>
  </r>
  <r>
    <n v="20151030"/>
    <x v="4"/>
    <x v="1"/>
    <x v="2"/>
    <n v="-71733680.180022612"/>
    <x v="2"/>
  </r>
  <r>
    <n v="20151030"/>
    <x v="4"/>
    <x v="1"/>
    <x v="3"/>
    <n v="606311.84886427398"/>
    <x v="2"/>
  </r>
  <r>
    <n v="20151030"/>
    <x v="4"/>
    <x v="1"/>
    <x v="4"/>
    <n v="34151821.615093313"/>
    <x v="2"/>
  </r>
  <r>
    <n v="20151030"/>
    <x v="4"/>
    <x v="2"/>
    <x v="5"/>
    <n v="192660.20261475589"/>
    <x v="2"/>
  </r>
  <r>
    <n v="20151030"/>
    <x v="4"/>
    <x v="3"/>
    <x v="5"/>
    <n v="22130454.462896571"/>
    <x v="2"/>
  </r>
  <r>
    <n v="20151030"/>
    <x v="4"/>
    <x v="4"/>
    <x v="5"/>
    <n v="141603.09212371122"/>
    <x v="2"/>
  </r>
  <r>
    <n v="20151030"/>
    <x v="4"/>
    <x v="5"/>
    <x v="5"/>
    <n v="1298081.1187769992"/>
    <x v="2"/>
  </r>
  <r>
    <n v="20151030"/>
    <x v="4"/>
    <x v="6"/>
    <x v="2"/>
    <n v="-1371450.6612972412"/>
    <x v="2"/>
  </r>
  <r>
    <n v="20151030"/>
    <x v="4"/>
    <x v="1"/>
    <x v="6"/>
    <n v="112.58830110891151"/>
    <x v="2"/>
  </r>
  <r>
    <n v="20151030"/>
    <x v="4"/>
    <x v="7"/>
    <x v="7"/>
    <n v="-64932104.746955216"/>
    <x v="2"/>
  </r>
  <r>
    <n v="20151030"/>
    <x v="4"/>
    <x v="8"/>
    <x v="7"/>
    <n v="-6190174.3937889365"/>
    <x v="2"/>
  </r>
  <r>
    <n v="20151030"/>
    <x v="4"/>
    <x v="9"/>
    <x v="7"/>
    <n v="0"/>
    <x v="2"/>
  </r>
  <r>
    <n v="20151030"/>
    <x v="4"/>
    <x v="10"/>
    <x v="7"/>
    <n v="0"/>
    <x v="2"/>
  </r>
  <r>
    <n v="20151030"/>
    <x v="4"/>
    <x v="11"/>
    <x v="7"/>
    <n v="-200359.8142596957"/>
    <x v="2"/>
  </r>
  <r>
    <n v="20151030"/>
    <x v="4"/>
    <x v="12"/>
    <x v="7"/>
    <n v="-408955.93888828414"/>
    <x v="2"/>
  </r>
  <r>
    <n v="20151030"/>
    <x v="4"/>
    <x v="10"/>
    <x v="8"/>
    <n v="0"/>
    <x v="2"/>
  </r>
  <r>
    <n v="20151030"/>
    <x v="4"/>
    <x v="0"/>
    <x v="9"/>
    <n v="11550494.969400071"/>
    <x v="2"/>
  </r>
  <r>
    <n v="20151030"/>
    <x v="4"/>
    <x v="13"/>
    <x v="7"/>
    <n v="0"/>
    <x v="2"/>
  </r>
  <r>
    <n v="20151030"/>
    <x v="4"/>
    <x v="0"/>
    <x v="10"/>
    <n v="23100989.938800141"/>
    <x v="2"/>
  </r>
  <r>
    <n v="20151030"/>
    <x v="4"/>
    <x v="1"/>
    <x v="10"/>
    <n v="0"/>
    <x v="2"/>
  </r>
  <r>
    <n v="20151030"/>
    <x v="5"/>
    <x v="0"/>
    <x v="0"/>
    <n v="288897.24210739136"/>
    <x v="0"/>
  </r>
  <r>
    <n v="20151030"/>
    <x v="5"/>
    <x v="0"/>
    <x v="1"/>
    <n v="-390.69811200141908"/>
    <x v="0"/>
  </r>
  <r>
    <n v="20151030"/>
    <x v="5"/>
    <x v="0"/>
    <x v="2"/>
    <n v="171533547.83112395"/>
    <x v="0"/>
  </r>
  <r>
    <n v="20151030"/>
    <x v="5"/>
    <x v="0"/>
    <x v="3"/>
    <n v="-1161388.4691610336"/>
    <x v="0"/>
  </r>
  <r>
    <n v="20151030"/>
    <x v="5"/>
    <x v="0"/>
    <x v="4"/>
    <n v="-59357467.833600521"/>
    <x v="0"/>
  </r>
  <r>
    <n v="20151030"/>
    <x v="5"/>
    <x v="1"/>
    <x v="0"/>
    <n v="-288911.52413905482"/>
    <x v="0"/>
  </r>
  <r>
    <n v="20151030"/>
    <x v="5"/>
    <x v="1"/>
    <x v="1"/>
    <n v="188.9079666887508"/>
    <x v="0"/>
  </r>
  <r>
    <n v="20151030"/>
    <x v="5"/>
    <x v="1"/>
    <x v="2"/>
    <n v="-162721683.99911326"/>
    <x v="0"/>
  </r>
  <r>
    <n v="20151030"/>
    <x v="5"/>
    <x v="1"/>
    <x v="3"/>
    <n v="2008102.7165654898"/>
    <x v="0"/>
  </r>
  <r>
    <n v="20151030"/>
    <x v="5"/>
    <x v="1"/>
    <x v="4"/>
    <n v="103146131.32402267"/>
    <x v="0"/>
  </r>
  <r>
    <n v="20151030"/>
    <x v="5"/>
    <x v="2"/>
    <x v="5"/>
    <n v="0"/>
    <x v="0"/>
  </r>
  <r>
    <n v="20151030"/>
    <x v="5"/>
    <x v="3"/>
    <x v="5"/>
    <n v="83605697.895626009"/>
    <x v="0"/>
  </r>
  <r>
    <n v="20151030"/>
    <x v="5"/>
    <x v="4"/>
    <x v="5"/>
    <n v="873740.22765334544"/>
    <x v="0"/>
  </r>
  <r>
    <n v="20151030"/>
    <x v="5"/>
    <x v="5"/>
    <x v="5"/>
    <n v="20095834.686549578"/>
    <x v="0"/>
  </r>
  <r>
    <n v="20151030"/>
    <x v="5"/>
    <x v="6"/>
    <x v="2"/>
    <n v="-10805664.73932598"/>
    <x v="0"/>
  </r>
  <r>
    <n v="20151030"/>
    <x v="5"/>
    <x v="1"/>
    <x v="6"/>
    <n v="670.14720565650964"/>
    <x v="0"/>
  </r>
  <r>
    <n v="20151030"/>
    <x v="5"/>
    <x v="7"/>
    <x v="7"/>
    <n v="-112120744.56110381"/>
    <x v="0"/>
  </r>
  <r>
    <n v="20151030"/>
    <x v="5"/>
    <x v="8"/>
    <x v="7"/>
    <n v="-47831858.432198979"/>
    <x v="0"/>
  </r>
  <r>
    <n v="20151030"/>
    <x v="5"/>
    <x v="9"/>
    <x v="7"/>
    <n v="0"/>
    <x v="0"/>
  </r>
  <r>
    <n v="20151030"/>
    <x v="5"/>
    <x v="10"/>
    <x v="7"/>
    <n v="0"/>
    <x v="0"/>
  </r>
  <r>
    <n v="20151030"/>
    <x v="5"/>
    <x v="11"/>
    <x v="7"/>
    <n v="-656693.46224818192"/>
    <x v="0"/>
  </r>
  <r>
    <n v="20151030"/>
    <x v="5"/>
    <x v="12"/>
    <x v="7"/>
    <n v="-2106131.68517084"/>
    <x v="0"/>
  </r>
  <r>
    <n v="20151030"/>
    <x v="5"/>
    <x v="10"/>
    <x v="8"/>
    <n v="0"/>
    <x v="0"/>
  </r>
  <r>
    <n v="20151030"/>
    <x v="5"/>
    <x v="0"/>
    <x v="9"/>
    <n v="30337212.122099996"/>
    <x v="0"/>
  </r>
  <r>
    <n v="20151030"/>
    <x v="5"/>
    <x v="13"/>
    <x v="7"/>
    <n v="0"/>
    <x v="0"/>
  </r>
  <r>
    <n v="20151030"/>
    <x v="5"/>
    <x v="0"/>
    <x v="10"/>
    <n v="60674424.244199991"/>
    <x v="0"/>
  </r>
  <r>
    <n v="20151030"/>
    <x v="5"/>
    <x v="1"/>
    <x v="10"/>
    <n v="0"/>
    <x v="0"/>
  </r>
  <r>
    <n v="20151030"/>
    <x v="6"/>
    <x v="0"/>
    <x v="0"/>
    <n v="6090.3566673286259"/>
    <x v="0"/>
  </r>
  <r>
    <n v="20151030"/>
    <x v="6"/>
    <x v="0"/>
    <x v="1"/>
    <n v="-17.083371999971568"/>
    <x v="0"/>
  </r>
  <r>
    <n v="20151030"/>
    <x v="6"/>
    <x v="0"/>
    <x v="2"/>
    <n v="302240.48414051719"/>
    <x v="0"/>
  </r>
  <r>
    <n v="20151030"/>
    <x v="6"/>
    <x v="0"/>
    <x v="3"/>
    <n v="-124131.74610601552"/>
    <x v="0"/>
  </r>
  <r>
    <n v="20151030"/>
    <x v="6"/>
    <x v="0"/>
    <x v="4"/>
    <n v="-33933.267999999225"/>
    <x v="0"/>
  </r>
  <r>
    <n v="20151030"/>
    <x v="6"/>
    <x v="1"/>
    <x v="0"/>
    <n v="-6321.7500000000009"/>
    <x v="0"/>
  </r>
  <r>
    <n v="20151030"/>
    <x v="6"/>
    <x v="1"/>
    <x v="1"/>
    <n v="0"/>
    <x v="0"/>
  </r>
  <r>
    <n v="20151030"/>
    <x v="6"/>
    <x v="1"/>
    <x v="2"/>
    <n v="-17427.72396910578"/>
    <x v="0"/>
  </r>
  <r>
    <n v="20151030"/>
    <x v="6"/>
    <x v="1"/>
    <x v="3"/>
    <n v="0"/>
    <x v="0"/>
  </r>
  <r>
    <n v="20151030"/>
    <x v="6"/>
    <x v="1"/>
    <x v="4"/>
    <n v="-1.5245363317146389E-11"/>
    <x v="0"/>
  </r>
  <r>
    <n v="20151030"/>
    <x v="6"/>
    <x v="2"/>
    <x v="5"/>
    <n v="0"/>
    <x v="0"/>
  </r>
  <r>
    <n v="20151030"/>
    <x v="6"/>
    <x v="3"/>
    <x v="5"/>
    <n v="0"/>
    <x v="0"/>
  </r>
  <r>
    <n v="20151030"/>
    <x v="6"/>
    <x v="4"/>
    <x v="5"/>
    <n v="0"/>
    <x v="0"/>
  </r>
  <r>
    <n v="20151030"/>
    <x v="6"/>
    <x v="5"/>
    <x v="5"/>
    <n v="0"/>
    <x v="0"/>
  </r>
  <r>
    <n v="20151030"/>
    <x v="6"/>
    <x v="6"/>
    <x v="2"/>
    <n v="0"/>
    <x v="0"/>
  </r>
  <r>
    <n v="20151030"/>
    <x v="6"/>
    <x v="1"/>
    <x v="6"/>
    <n v="0"/>
    <x v="0"/>
  </r>
  <r>
    <n v="20151030"/>
    <x v="6"/>
    <x v="7"/>
    <x v="7"/>
    <n v="0"/>
    <x v="0"/>
  </r>
  <r>
    <n v="20151030"/>
    <x v="6"/>
    <x v="8"/>
    <x v="7"/>
    <n v="0"/>
    <x v="0"/>
  </r>
  <r>
    <n v="20151030"/>
    <x v="6"/>
    <x v="9"/>
    <x v="7"/>
    <n v="0"/>
    <x v="0"/>
  </r>
  <r>
    <n v="20151030"/>
    <x v="6"/>
    <x v="10"/>
    <x v="7"/>
    <n v="0"/>
    <x v="0"/>
  </r>
  <r>
    <n v="20151030"/>
    <x v="6"/>
    <x v="11"/>
    <x v="7"/>
    <n v="-17427.723969109134"/>
    <x v="0"/>
  </r>
  <r>
    <n v="20151030"/>
    <x v="6"/>
    <x v="12"/>
    <x v="7"/>
    <n v="0"/>
    <x v="0"/>
  </r>
  <r>
    <n v="20151030"/>
    <x v="6"/>
    <x v="10"/>
    <x v="8"/>
    <n v="0"/>
    <x v="0"/>
  </r>
  <r>
    <n v="20151030"/>
    <x v="6"/>
    <x v="0"/>
    <x v="9"/>
    <n v="0"/>
    <x v="0"/>
  </r>
  <r>
    <n v="20151030"/>
    <x v="6"/>
    <x v="13"/>
    <x v="7"/>
    <n v="0"/>
    <x v="0"/>
  </r>
  <r>
    <n v="20151030"/>
    <x v="6"/>
    <x v="0"/>
    <x v="10"/>
    <n v="0"/>
    <x v="0"/>
  </r>
  <r>
    <n v="20151030"/>
    <x v="6"/>
    <x v="1"/>
    <x v="10"/>
    <n v="0"/>
    <x v="0"/>
  </r>
  <r>
    <m/>
    <x v="7"/>
    <x v="14"/>
    <x v="11"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4" minRefreshableVersion="3" useAutoFormatting="1" rowGrandTotals="0" itemPrintTitles="1" createdVersion="4" indent="0" outline="1" outlineData="1" multipleFieldFilters="0">
  <location ref="A3:E33" firstHeaderRow="1" firstDataRow="2" firstDataCol="1"/>
  <pivotFields count="6">
    <pivotField showAll="0"/>
    <pivotField showAll="0"/>
    <pivotField axis="axisRow" showAll="0" defaultSubtotal="0">
      <items count="20">
        <item x="0"/>
        <item x="6"/>
        <item x="1"/>
        <item x="8"/>
        <item x="14"/>
        <item m="1" x="18"/>
        <item x="2"/>
        <item x="3"/>
        <item m="1" x="15"/>
        <item m="1" x="17"/>
        <item x="5"/>
        <item x="7"/>
        <item x="9"/>
        <item m="1" x="16"/>
        <item x="10"/>
        <item x="4"/>
        <item m="1" x="19"/>
        <item x="11"/>
        <item x="12"/>
        <item x="13"/>
      </items>
    </pivotField>
    <pivotField axis="axisRow" showAll="0">
      <items count="18">
        <item x="0"/>
        <item x="1"/>
        <item x="6"/>
        <item x="3"/>
        <item x="2"/>
        <item x="7"/>
        <item x="4"/>
        <item h="1" m="1" x="16"/>
        <item h="1" m="1" x="14"/>
        <item h="1" m="1" x="12"/>
        <item h="1" m="1" x="15"/>
        <item h="1" x="11"/>
        <item h="1" x="5"/>
        <item h="1" x="8"/>
        <item h="1" x="9"/>
        <item h="1" m="1" x="13"/>
        <item x="10"/>
        <item t="default"/>
      </items>
    </pivotField>
    <pivotField dataField="1" showAll="0"/>
    <pivotField axis="axisCol" showAll="0">
      <items count="5">
        <item x="0"/>
        <item x="1"/>
        <item x="2"/>
        <item x="3"/>
        <item t="default"/>
      </items>
    </pivotField>
  </pivotFields>
  <rowFields count="2">
    <field x="3"/>
    <field x="2"/>
  </rowFields>
  <rowItems count="29">
    <i>
      <x/>
    </i>
    <i r="1">
      <x/>
    </i>
    <i r="1">
      <x v="2"/>
    </i>
    <i>
      <x v="1"/>
    </i>
    <i r="1">
      <x/>
    </i>
    <i r="1">
      <x v="2"/>
    </i>
    <i>
      <x v="2"/>
    </i>
    <i r="1">
      <x v="2"/>
    </i>
    <i>
      <x v="3"/>
    </i>
    <i r="1">
      <x/>
    </i>
    <i r="1">
      <x v="2"/>
    </i>
    <i>
      <x v="4"/>
    </i>
    <i r="1">
      <x/>
    </i>
    <i r="1">
      <x v="1"/>
    </i>
    <i r="1">
      <x v="2"/>
    </i>
    <i>
      <x v="5"/>
    </i>
    <i r="1">
      <x v="3"/>
    </i>
    <i r="1">
      <x v="11"/>
    </i>
    <i r="1">
      <x v="12"/>
    </i>
    <i r="1">
      <x v="14"/>
    </i>
    <i r="1">
      <x v="17"/>
    </i>
    <i r="1">
      <x v="18"/>
    </i>
    <i r="1">
      <x v="19"/>
    </i>
    <i>
      <x v="6"/>
    </i>
    <i r="1">
      <x/>
    </i>
    <i r="1">
      <x v="2"/>
    </i>
    <i>
      <x v="16"/>
    </i>
    <i r="1">
      <x/>
    </i>
    <i r="1">
      <x v="2"/>
    </i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Sum of Value" fld="4" baseField="1" baseItem="0" numFmtId="3"/>
  </dataFields>
  <formats count="16"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outline="0" fieldPosition="0">
        <references count="1">
          <reference field="4294967294" count="1">
            <x v="0"/>
          </reference>
        </references>
      </pivotArea>
    </format>
    <format dxfId="26">
      <pivotArea field="3" type="button" dataOnly="0" labelOnly="1" outline="0" axis="axisRow" fieldPosition="0"/>
    </format>
    <format dxfId="25">
      <pivotArea dataOnly="0" labelOnly="1" fieldPosition="0">
        <references count="1">
          <reference field="5" count="1" defaultSubtotal="1">
            <x v="0"/>
          </reference>
        </references>
      </pivotArea>
    </format>
    <format dxfId="24">
      <pivotArea dataOnly="0" labelOnly="1" fieldPosition="0">
        <references count="1">
          <reference field="5" count="1" defaultSubtotal="1">
            <x v="1"/>
          </reference>
        </references>
      </pivotArea>
    </format>
    <format dxfId="23">
      <pivotArea dataOnly="0" labelOnly="1" fieldPosition="0">
        <references count="1">
          <reference field="5" count="1" defaultSubtotal="1">
            <x v="2"/>
          </reference>
        </references>
      </pivotArea>
    </format>
    <format dxfId="22">
      <pivotArea collapsedLevelsAreSubtotals="1" fieldPosition="0">
        <references count="1">
          <reference field="3" count="1">
            <x v="12"/>
          </reference>
        </references>
      </pivotArea>
    </format>
    <format dxfId="21">
      <pivotArea collapsedLevelsAreSubtotals="1" fieldPosition="0">
        <references count="1">
          <reference field="3" count="1">
            <x v="12"/>
          </reference>
        </references>
      </pivotArea>
    </format>
    <format dxfId="20">
      <pivotArea dataOnly="0" labelOnly="1" fieldPosition="0">
        <references count="1">
          <reference field="5" count="3">
            <x v="0"/>
            <x v="1"/>
            <x v="2"/>
          </reference>
        </references>
      </pivotArea>
    </format>
    <format dxfId="19">
      <pivotArea dataOnly="0" labelOnly="1" grandCol="1" outline="0" fieldPosition="0"/>
    </format>
    <format dxfId="18">
      <pivotArea dataOnly="0" fieldPosition="0">
        <references count="1">
          <reference field="2" count="1">
            <x v="19"/>
          </reference>
        </references>
      </pivotArea>
    </format>
    <format dxfId="17">
      <pivotArea collapsedLevelsAreSubtotals="1" fieldPosition="0">
        <references count="2">
          <reference field="2" count="1">
            <x v="19"/>
          </reference>
          <reference field="3" count="1" selected="0">
            <x v="5"/>
          </reference>
        </references>
      </pivotArea>
    </format>
    <format dxfId="16">
      <pivotArea dataOnly="0" labelOnly="1" fieldPosition="0">
        <references count="2">
          <reference field="2" count="1">
            <x v="19"/>
          </reference>
          <reference field="3" count="1" selected="0">
            <x v="5"/>
          </reference>
        </references>
      </pivotArea>
    </format>
    <format dxfId="15">
      <pivotArea collapsedLevelsAreSubtotals="1" fieldPosition="0">
        <references count="1">
          <reference field="3" count="1">
            <x v="16"/>
          </reference>
        </references>
      </pivotArea>
    </format>
    <format dxfId="14">
      <pivotArea dataOnly="0" labelOnly="1" fieldPosition="0">
        <references count="1">
          <reference field="3" count="1">
            <x v="16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4" minRefreshableVersion="3" useAutoFormatting="1" rowGrandTotals="0" itemPrintTitles="1" createdVersion="4" indent="0" outline="1" outlineData="1" multipleFieldFilters="0">
  <location ref="A3:L39" firstHeaderRow="1" firstDataRow="3" firstDataCol="1"/>
  <pivotFields count="6">
    <pivotField showAll="0"/>
    <pivotField axis="axisCol" showAll="0">
      <items count="9">
        <item x="0"/>
        <item x="6"/>
        <item x="1"/>
        <item x="2"/>
        <item x="3"/>
        <item x="4"/>
        <item x="5"/>
        <item x="7"/>
        <item t="default"/>
      </items>
    </pivotField>
    <pivotField axis="axisRow" showAll="0" defaultSubtotal="0">
      <items count="20">
        <item x="0"/>
        <item x="6"/>
        <item x="1"/>
        <item x="8"/>
        <item x="14"/>
        <item m="1" x="18"/>
        <item x="2"/>
        <item x="3"/>
        <item m="1" x="15"/>
        <item m="1" x="17"/>
        <item x="5"/>
        <item x="7"/>
        <item x="9"/>
        <item m="1" x="16"/>
        <item x="10"/>
        <item x="4"/>
        <item m="1" x="19"/>
        <item x="11"/>
        <item x="12"/>
        <item x="13"/>
      </items>
    </pivotField>
    <pivotField axis="axisRow" showAll="0">
      <items count="18">
        <item x="0"/>
        <item x="1"/>
        <item x="6"/>
        <item x="3"/>
        <item x="2"/>
        <item x="7"/>
        <item x="4"/>
        <item m="1" x="16"/>
        <item m="1" x="14"/>
        <item m="1" x="12"/>
        <item m="1" x="15"/>
        <item h="1" x="11"/>
        <item x="5"/>
        <item h="1" x="8"/>
        <item h="1" x="9"/>
        <item h="1" m="1" x="13"/>
        <item x="10"/>
        <item t="default"/>
      </items>
    </pivotField>
    <pivotField dataField="1" showAll="0"/>
    <pivotField axis="axisCol" showAll="0">
      <items count="5">
        <item x="0"/>
        <item x="1"/>
        <item x="2"/>
        <item x="3"/>
        <item t="default"/>
      </items>
    </pivotField>
  </pivotFields>
  <rowFields count="2">
    <field x="3"/>
    <field x="2"/>
  </rowFields>
  <rowItems count="34">
    <i>
      <x/>
    </i>
    <i r="1">
      <x/>
    </i>
    <i r="1">
      <x v="2"/>
    </i>
    <i>
      <x v="1"/>
    </i>
    <i r="1">
      <x/>
    </i>
    <i r="1">
      <x v="2"/>
    </i>
    <i>
      <x v="2"/>
    </i>
    <i r="1">
      <x v="2"/>
    </i>
    <i>
      <x v="3"/>
    </i>
    <i r="1">
      <x/>
    </i>
    <i r="1">
      <x v="2"/>
    </i>
    <i>
      <x v="4"/>
    </i>
    <i r="1">
      <x/>
    </i>
    <i r="1">
      <x v="1"/>
    </i>
    <i r="1">
      <x v="2"/>
    </i>
    <i>
      <x v="5"/>
    </i>
    <i r="1">
      <x v="3"/>
    </i>
    <i r="1">
      <x v="11"/>
    </i>
    <i r="1">
      <x v="12"/>
    </i>
    <i r="1">
      <x v="14"/>
    </i>
    <i r="1">
      <x v="17"/>
    </i>
    <i r="1">
      <x v="18"/>
    </i>
    <i r="1">
      <x v="19"/>
    </i>
    <i>
      <x v="6"/>
    </i>
    <i r="1">
      <x/>
    </i>
    <i r="1">
      <x v="2"/>
    </i>
    <i>
      <x v="12"/>
    </i>
    <i r="1">
      <x v="6"/>
    </i>
    <i r="1">
      <x v="7"/>
    </i>
    <i r="1">
      <x v="10"/>
    </i>
    <i r="1">
      <x v="15"/>
    </i>
    <i>
      <x v="16"/>
    </i>
    <i r="1">
      <x/>
    </i>
    <i r="1">
      <x v="2"/>
    </i>
  </rowItems>
  <colFields count="2">
    <field x="5"/>
    <field x="1"/>
  </colFields>
  <colItems count="11">
    <i>
      <x/>
      <x/>
    </i>
    <i r="1">
      <x v="1"/>
    </i>
    <i r="1">
      <x v="2"/>
    </i>
    <i r="1">
      <x v="6"/>
    </i>
    <i t="default">
      <x/>
    </i>
    <i>
      <x v="1"/>
      <x v="3"/>
    </i>
    <i t="default">
      <x v="1"/>
    </i>
    <i>
      <x v="2"/>
      <x v="4"/>
    </i>
    <i r="1">
      <x v="5"/>
    </i>
    <i t="default">
      <x v="2"/>
    </i>
    <i t="grand">
      <x/>
    </i>
  </colItems>
  <dataFields count="1">
    <dataField name="Sum of Value" fld="4" baseField="1" baseItem="0" numFmtId="3"/>
  </dataFields>
  <formats count="14">
    <format dxfId="13">
      <pivotArea grandRow="1" outline="0" collapsedLevelsAreSubtotals="1" fieldPosition="0"/>
    </format>
    <format dxfId="12">
      <pivotArea dataOnly="0" labelOnly="1" grandRow="1" outline="0" fieldPosition="0"/>
    </format>
    <format dxfId="11">
      <pivotArea field="1" grandRow="1" collapsedLevelsAreSubtotals="1" axis="axisCol" fieldPosition="1">
        <references count="1">
          <reference field="1" count="1">
            <x v="0"/>
          </reference>
        </references>
      </pivotArea>
    </format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field="3" type="button" dataOnly="0" labelOnly="1" outline="0" axis="axisRow" fieldPosition="0"/>
    </format>
    <format dxfId="8">
      <pivotArea dataOnly="0" labelOnly="1" fieldPosition="0">
        <references count="1">
          <reference field="5" count="1" defaultSubtotal="1">
            <x v="0"/>
          </reference>
        </references>
      </pivotArea>
    </format>
    <format dxfId="7">
      <pivotArea dataOnly="0" labelOnly="1" fieldPosition="0">
        <references count="1">
          <reference field="5" count="1" defaultSubtotal="1">
            <x v="1"/>
          </reference>
        </references>
      </pivotArea>
    </format>
    <format dxfId="6">
      <pivotArea dataOnly="0" labelOnly="1" fieldPosition="0">
        <references count="1">
          <reference field="5" count="1" defaultSubtotal="1">
            <x v="2"/>
          </reference>
        </references>
      </pivotArea>
    </format>
    <format dxfId="5">
      <pivotArea dataOnly="0" labelOnly="1" grandCol="1" outline="0" fieldPosition="0"/>
    </format>
    <format dxfId="4">
      <pivotArea dataOnly="0" labelOnly="1" fieldPosition="0">
        <references count="2">
          <reference field="1" count="4">
            <x v="0"/>
            <x v="1"/>
            <x v="2"/>
            <x v="6"/>
          </reference>
          <reference field="5" count="1" selected="0">
            <x v="0"/>
          </reference>
        </references>
      </pivotArea>
    </format>
    <format dxfId="3">
      <pivotArea dataOnly="0" labelOnly="1" fieldPosition="0">
        <references count="2">
          <reference field="1" count="1">
            <x v="3"/>
          </reference>
          <reference field="5" count="1" selected="0">
            <x v="1"/>
          </reference>
        </references>
      </pivotArea>
    </format>
    <format dxfId="2">
      <pivotArea dataOnly="0" labelOnly="1" fieldPosition="0">
        <references count="2">
          <reference field="1" count="2">
            <x v="4"/>
            <x v="5"/>
          </reference>
          <reference field="5" count="1" selected="0">
            <x v="2"/>
          </reference>
        </references>
      </pivotArea>
    </format>
    <format dxfId="1">
      <pivotArea collapsedLevelsAreSubtotals="1" fieldPosition="0">
        <references count="2">
          <reference field="2" count="1">
            <x v="19"/>
          </reference>
          <reference field="3" count="1" selected="0">
            <x v="5"/>
          </reference>
        </references>
      </pivotArea>
    </format>
    <format dxfId="0">
      <pivotArea dataOnly="0" labelOnly="1" fieldPosition="0">
        <references count="2">
          <reference field="2" count="1">
            <x v="19"/>
          </reference>
          <reference field="3" count="1" selected="0">
            <x v="5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BX33"/>
  <sheetViews>
    <sheetView workbookViewId="0">
      <selection activeCell="F20" sqref="F20"/>
    </sheetView>
  </sheetViews>
  <sheetFormatPr defaultRowHeight="15" x14ac:dyDescent="0.25"/>
  <cols>
    <col min="1" max="1" width="25.5703125" customWidth="1"/>
    <col min="2" max="2" width="16.28515625" bestFit="1" customWidth="1"/>
    <col min="3" max="4" width="11.85546875" bestFit="1" customWidth="1"/>
    <col min="5" max="5" width="13.5703125" bestFit="1" customWidth="1"/>
    <col min="6" max="6" width="20.5703125" customWidth="1"/>
    <col min="7" max="8" width="10.85546875" customWidth="1"/>
    <col min="9" max="9" width="13.42578125" bestFit="1" customWidth="1"/>
    <col min="10" max="10" width="14.42578125" bestFit="1" customWidth="1"/>
    <col min="11" max="11" width="11.85546875" bestFit="1" customWidth="1"/>
    <col min="12" max="12" width="13.5703125" bestFit="1" customWidth="1"/>
    <col min="13" max="13" width="11.85546875" bestFit="1" customWidth="1"/>
    <col min="14" max="14" width="9.28515625" bestFit="1" customWidth="1"/>
    <col min="15" max="15" width="10" bestFit="1" customWidth="1"/>
    <col min="16" max="16" width="16.140625" bestFit="1" customWidth="1"/>
    <col min="17" max="17" width="11.140625" bestFit="1" customWidth="1"/>
    <col min="18" max="18" width="11.85546875" bestFit="1" customWidth="1"/>
    <col min="19" max="19" width="9.28515625" bestFit="1" customWidth="1"/>
    <col min="20" max="20" width="10" bestFit="1" customWidth="1"/>
    <col min="21" max="21" width="11.140625" bestFit="1" customWidth="1"/>
    <col min="22" max="22" width="12.7109375" bestFit="1" customWidth="1"/>
    <col min="23" max="23" width="11.140625" bestFit="1" customWidth="1"/>
    <col min="24" max="24" width="10.85546875" bestFit="1" customWidth="1"/>
    <col min="25" max="25" width="10.140625" bestFit="1" customWidth="1"/>
    <col min="26" max="26" width="10" bestFit="1" customWidth="1"/>
    <col min="27" max="28" width="11.140625" bestFit="1" customWidth="1"/>
    <col min="29" max="29" width="15.28515625" bestFit="1" customWidth="1"/>
    <col min="30" max="30" width="10.85546875" bestFit="1" customWidth="1"/>
    <col min="31" max="31" width="9.28515625" bestFit="1" customWidth="1"/>
    <col min="32" max="32" width="10" bestFit="1" customWidth="1"/>
    <col min="33" max="33" width="18.42578125" bestFit="1" customWidth="1"/>
    <col min="34" max="34" width="16.28515625" bestFit="1" customWidth="1"/>
    <col min="35" max="35" width="10.85546875" bestFit="1" customWidth="1"/>
    <col min="36" max="36" width="9.28515625" bestFit="1" customWidth="1"/>
    <col min="37" max="37" width="10" bestFit="1" customWidth="1"/>
    <col min="38" max="38" width="19.42578125" bestFit="1" customWidth="1"/>
    <col min="39" max="39" width="11.140625" bestFit="1" customWidth="1"/>
    <col min="40" max="40" width="11.7109375" bestFit="1" customWidth="1"/>
    <col min="41" max="41" width="7.5703125" customWidth="1"/>
    <col min="42" max="42" width="14.85546875" bestFit="1" customWidth="1"/>
    <col min="43" max="43" width="18.5703125" bestFit="1" customWidth="1"/>
    <col min="44" max="44" width="21.85546875" bestFit="1" customWidth="1"/>
    <col min="45" max="45" width="21.28515625" bestFit="1" customWidth="1"/>
    <col min="46" max="46" width="24.42578125" bestFit="1" customWidth="1"/>
    <col min="47" max="47" width="9.28515625" bestFit="1" customWidth="1"/>
    <col min="48" max="48" width="12" bestFit="1" customWidth="1"/>
    <col min="49" max="49" width="11" bestFit="1" customWidth="1"/>
    <col min="50" max="50" width="14.140625" bestFit="1" customWidth="1"/>
    <col min="51" max="51" width="11.5703125" bestFit="1" customWidth="1"/>
    <col min="52" max="52" width="8" customWidth="1"/>
    <col min="53" max="53" width="8.28515625" customWidth="1"/>
    <col min="54" max="54" width="10.5703125" bestFit="1" customWidth="1"/>
    <col min="55" max="55" width="9.7109375" bestFit="1" customWidth="1"/>
    <col min="56" max="56" width="7.5703125" customWidth="1"/>
    <col min="57" max="57" width="12.7109375" bestFit="1" customWidth="1"/>
    <col min="58" max="58" width="12.85546875" bestFit="1" customWidth="1"/>
    <col min="60" max="60" width="16" bestFit="1" customWidth="1"/>
    <col min="61" max="61" width="11.140625" bestFit="1" customWidth="1"/>
    <col min="62" max="62" width="11.85546875" bestFit="1" customWidth="1"/>
    <col min="63" max="63" width="10" bestFit="1" customWidth="1"/>
    <col min="64" max="64" width="9.28515625" bestFit="1" customWidth="1"/>
    <col min="65" max="65" width="11.7109375" bestFit="1" customWidth="1"/>
    <col min="66" max="66" width="10.140625" bestFit="1" customWidth="1"/>
    <col min="67" max="67" width="14.85546875" bestFit="1" customWidth="1"/>
    <col min="68" max="68" width="18.5703125" bestFit="1" customWidth="1"/>
    <col min="69" max="69" width="21.85546875" bestFit="1" customWidth="1"/>
    <col min="70" max="70" width="21.28515625" bestFit="1" customWidth="1"/>
    <col min="71" max="71" width="24.42578125" bestFit="1" customWidth="1"/>
    <col min="72" max="72" width="9.28515625" bestFit="1" customWidth="1"/>
    <col min="73" max="73" width="12" bestFit="1" customWidth="1"/>
    <col min="74" max="74" width="11" bestFit="1" customWidth="1"/>
    <col min="75" max="75" width="14.140625" bestFit="1" customWidth="1"/>
    <col min="76" max="76" width="10.140625" customWidth="1"/>
    <col min="77" max="77" width="8" customWidth="1"/>
    <col min="78" max="78" width="8.28515625" customWidth="1"/>
    <col min="79" max="79" width="10.5703125" bestFit="1" customWidth="1"/>
    <col min="80" max="80" width="9.7109375" bestFit="1" customWidth="1"/>
    <col min="81" max="81" width="7.5703125" customWidth="1"/>
    <col min="82" max="82" width="12.7109375" bestFit="1" customWidth="1"/>
    <col min="83" max="83" width="12.85546875" bestFit="1" customWidth="1"/>
    <col min="85" max="85" width="16" bestFit="1" customWidth="1"/>
    <col min="86" max="86" width="11.140625" bestFit="1" customWidth="1"/>
    <col min="87" max="87" width="11.85546875" bestFit="1" customWidth="1"/>
    <col min="88" max="88" width="10" bestFit="1" customWidth="1"/>
    <col min="89" max="89" width="9.28515625" bestFit="1" customWidth="1"/>
    <col min="90" max="90" width="11.7109375" bestFit="1" customWidth="1"/>
    <col min="91" max="91" width="11.140625" bestFit="1" customWidth="1"/>
    <col min="92" max="92" width="14.85546875" bestFit="1" customWidth="1"/>
    <col min="93" max="93" width="18.5703125" bestFit="1" customWidth="1"/>
    <col min="94" max="94" width="21.85546875" bestFit="1" customWidth="1"/>
    <col min="95" max="95" width="21.28515625" bestFit="1" customWidth="1"/>
    <col min="96" max="96" width="24.42578125" bestFit="1" customWidth="1"/>
    <col min="97" max="97" width="9.28515625" bestFit="1" customWidth="1"/>
    <col min="98" max="98" width="12" bestFit="1" customWidth="1"/>
    <col min="99" max="99" width="11" bestFit="1" customWidth="1"/>
    <col min="100" max="100" width="14.140625" bestFit="1" customWidth="1"/>
    <col min="101" max="101" width="11.140625" bestFit="1" customWidth="1"/>
    <col min="102" max="102" width="12.7109375" bestFit="1" customWidth="1"/>
    <col min="103" max="103" width="8" customWidth="1"/>
    <col min="104" max="104" width="8.28515625" customWidth="1"/>
    <col min="105" max="105" width="10.5703125" bestFit="1" customWidth="1"/>
    <col min="106" max="106" width="9.7109375" bestFit="1" customWidth="1"/>
    <col min="107" max="107" width="7.5703125" customWidth="1"/>
    <col min="108" max="108" width="12.7109375" bestFit="1" customWidth="1"/>
    <col min="109" max="109" width="12.85546875" bestFit="1" customWidth="1"/>
    <col min="110" max="110" width="7.5703125" customWidth="1"/>
    <col min="111" max="111" width="16" bestFit="1" customWidth="1"/>
    <col min="112" max="112" width="10.140625" bestFit="1" customWidth="1"/>
    <col min="113" max="113" width="10.85546875" bestFit="1" customWidth="1"/>
    <col min="114" max="114" width="10" bestFit="1" customWidth="1"/>
    <col min="115" max="115" width="9.28515625" bestFit="1" customWidth="1"/>
    <col min="116" max="116" width="11.7109375" bestFit="1" customWidth="1"/>
    <col min="117" max="117" width="10.140625" bestFit="1" customWidth="1"/>
    <col min="118" max="118" width="14.85546875" bestFit="1" customWidth="1"/>
    <col min="119" max="119" width="18.5703125" bestFit="1" customWidth="1"/>
    <col min="120" max="120" width="21.85546875" bestFit="1" customWidth="1"/>
    <col min="121" max="121" width="21.28515625" bestFit="1" customWidth="1"/>
    <col min="122" max="122" width="24.42578125" bestFit="1" customWidth="1"/>
    <col min="123" max="123" width="9.28515625" bestFit="1" customWidth="1"/>
    <col min="124" max="124" width="12" bestFit="1" customWidth="1"/>
    <col min="125" max="125" width="11" bestFit="1" customWidth="1"/>
    <col min="126" max="126" width="14.140625" bestFit="1" customWidth="1"/>
    <col min="127" max="128" width="11.140625" bestFit="1" customWidth="1"/>
    <col min="129" max="129" width="15.28515625" bestFit="1" customWidth="1"/>
    <col min="130" max="130" width="7.5703125" customWidth="1"/>
    <col min="131" max="131" width="10.5703125" bestFit="1" customWidth="1"/>
    <col min="132" max="132" width="9.7109375" bestFit="1" customWidth="1"/>
    <col min="133" max="133" width="7.5703125" customWidth="1"/>
    <col min="134" max="134" width="12.7109375" bestFit="1" customWidth="1"/>
    <col min="135" max="135" width="12.85546875" bestFit="1" customWidth="1"/>
    <col min="137" max="137" width="16" bestFit="1" customWidth="1"/>
    <col min="138" max="138" width="10.140625" bestFit="1" customWidth="1"/>
    <col min="139" max="139" width="10.85546875" bestFit="1" customWidth="1"/>
    <col min="140" max="140" width="10" bestFit="1" customWidth="1"/>
    <col min="141" max="141" width="9.28515625" bestFit="1" customWidth="1"/>
    <col min="142" max="142" width="11.7109375" bestFit="1" customWidth="1"/>
    <col min="143" max="143" width="10.140625" bestFit="1" customWidth="1"/>
    <col min="144" max="144" width="14.85546875" bestFit="1" customWidth="1"/>
    <col min="145" max="145" width="18.5703125" bestFit="1" customWidth="1"/>
    <col min="146" max="146" width="21.85546875" bestFit="1" customWidth="1"/>
    <col min="147" max="147" width="21.28515625" bestFit="1" customWidth="1"/>
    <col min="148" max="148" width="24.42578125" bestFit="1" customWidth="1"/>
    <col min="149" max="149" width="9.28515625" bestFit="1" customWidth="1"/>
    <col min="150" max="150" width="12" bestFit="1" customWidth="1"/>
    <col min="151" max="151" width="11" bestFit="1" customWidth="1"/>
    <col min="152" max="152" width="14.140625" bestFit="1" customWidth="1"/>
    <col min="153" max="153" width="18.42578125" bestFit="1" customWidth="1"/>
    <col min="154" max="154" width="16.28515625" bestFit="1" customWidth="1"/>
    <col min="155" max="155" width="7.5703125" customWidth="1"/>
    <col min="156" max="156" width="10.5703125" bestFit="1" customWidth="1"/>
    <col min="157" max="157" width="9.7109375" bestFit="1" customWidth="1"/>
    <col min="158" max="158" width="7.5703125" customWidth="1"/>
    <col min="159" max="159" width="12.7109375" bestFit="1" customWidth="1"/>
    <col min="160" max="160" width="12.85546875" bestFit="1" customWidth="1"/>
    <col min="162" max="162" width="16" bestFit="1" customWidth="1"/>
    <col min="163" max="163" width="10.140625" bestFit="1" customWidth="1"/>
    <col min="164" max="164" width="10.85546875" bestFit="1" customWidth="1"/>
    <col min="165" max="165" width="10" bestFit="1" customWidth="1"/>
    <col min="166" max="166" width="9.28515625" bestFit="1" customWidth="1"/>
    <col min="167" max="167" width="11.7109375" bestFit="1" customWidth="1"/>
    <col min="168" max="168" width="10.140625" bestFit="1" customWidth="1"/>
    <col min="169" max="169" width="14.85546875" bestFit="1" customWidth="1"/>
    <col min="170" max="170" width="18.5703125" bestFit="1" customWidth="1"/>
    <col min="171" max="171" width="21.85546875" bestFit="1" customWidth="1"/>
    <col min="172" max="172" width="21.28515625" bestFit="1" customWidth="1"/>
    <col min="173" max="173" width="24.42578125" bestFit="1" customWidth="1"/>
    <col min="174" max="174" width="9.28515625" bestFit="1" customWidth="1"/>
    <col min="175" max="175" width="12" bestFit="1" customWidth="1"/>
    <col min="176" max="176" width="11" bestFit="1" customWidth="1"/>
    <col min="177" max="177" width="14.140625" bestFit="1" customWidth="1"/>
    <col min="178" max="178" width="19.42578125" bestFit="1" customWidth="1"/>
    <col min="179" max="179" width="11.140625" bestFit="1" customWidth="1"/>
  </cols>
  <sheetData>
    <row r="3" spans="1:76" x14ac:dyDescent="0.25">
      <c r="A3" s="9" t="s">
        <v>52</v>
      </c>
      <c r="B3" s="9" t="s">
        <v>51</v>
      </c>
    </row>
    <row r="4" spans="1:76" s="13" customFormat="1" x14ac:dyDescent="0.25">
      <c r="A4" s="12" t="s">
        <v>49</v>
      </c>
      <c r="B4" s="16" t="s">
        <v>55</v>
      </c>
      <c r="C4" s="16" t="s">
        <v>9</v>
      </c>
      <c r="D4" s="16" t="s">
        <v>56</v>
      </c>
      <c r="E4" s="16" t="s">
        <v>50</v>
      </c>
      <c r="F4"/>
      <c r="G4"/>
      <c r="H4"/>
      <c r="I4"/>
      <c r="J4"/>
      <c r="K4"/>
      <c r="L4"/>
    </row>
    <row r="5" spans="1:76" s="13" customFormat="1" x14ac:dyDescent="0.25">
      <c r="A5" s="4" t="s">
        <v>14</v>
      </c>
      <c r="B5" s="10">
        <v>-25008.089963053353</v>
      </c>
      <c r="C5" s="10">
        <v>-20.269424850557698</v>
      </c>
      <c r="D5" s="10">
        <v>-142.95797113154549</v>
      </c>
      <c r="E5" s="10">
        <v>-25171.317359035369</v>
      </c>
      <c r="F5"/>
      <c r="G5"/>
      <c r="H5"/>
      <c r="I5"/>
      <c r="J5"/>
      <c r="K5"/>
      <c r="L5"/>
    </row>
    <row r="6" spans="1:76" x14ac:dyDescent="0.25">
      <c r="A6" s="11" t="s">
        <v>7</v>
      </c>
      <c r="B6" s="10">
        <v>2493754.7369359024</v>
      </c>
      <c r="C6" s="10">
        <v>189266.20137143135</v>
      </c>
      <c r="D6" s="10">
        <v>155797.33716797829</v>
      </c>
      <c r="E6" s="10">
        <v>2838818.275475312</v>
      </c>
    </row>
    <row r="7" spans="1:76" x14ac:dyDescent="0.25">
      <c r="A7" s="11" t="s">
        <v>25</v>
      </c>
      <c r="B7" s="10">
        <v>-2518762.8268989557</v>
      </c>
      <c r="C7" s="10">
        <v>-189286.47079628191</v>
      </c>
      <c r="D7" s="10">
        <v>-155940.29513910983</v>
      </c>
      <c r="E7" s="10">
        <v>-2863989.5928343474</v>
      </c>
    </row>
    <row r="8" spans="1:76" x14ac:dyDescent="0.25">
      <c r="A8" s="4" t="s">
        <v>58</v>
      </c>
      <c r="B8" s="10">
        <v>-912.71856519157461</v>
      </c>
      <c r="C8" s="10">
        <v>-10.445547183766195</v>
      </c>
      <c r="D8" s="10">
        <v>-81.315426361177856</v>
      </c>
      <c r="E8" s="10">
        <v>-1004.4795387365187</v>
      </c>
    </row>
    <row r="9" spans="1:76" x14ac:dyDescent="0.25">
      <c r="A9" s="11" t="s">
        <v>7</v>
      </c>
      <c r="B9" s="10">
        <v>-1287.1219639648125</v>
      </c>
      <c r="C9" s="10">
        <v>-69.598703998899424</v>
      </c>
      <c r="D9" s="10">
        <v>-271.73705600202084</v>
      </c>
      <c r="E9" s="10">
        <v>-1628.4577239657328</v>
      </c>
    </row>
    <row r="10" spans="1:76" x14ac:dyDescent="0.25">
      <c r="A10" s="11" t="s">
        <v>25</v>
      </c>
      <c r="B10" s="10">
        <v>374.40339877323788</v>
      </c>
      <c r="C10" s="10">
        <v>59.153156815133229</v>
      </c>
      <c r="D10" s="10">
        <v>190.42162964084298</v>
      </c>
      <c r="E10" s="10">
        <v>623.97818522921409</v>
      </c>
    </row>
    <row r="11" spans="1:76" x14ac:dyDescent="0.25">
      <c r="A11" s="4" t="s">
        <v>67</v>
      </c>
      <c r="B11" s="10">
        <v>977.11188084056789</v>
      </c>
      <c r="C11" s="10">
        <v>152.29682486746901</v>
      </c>
      <c r="D11" s="10">
        <v>328.78786143943131</v>
      </c>
      <c r="E11" s="10">
        <v>1458.1965671474682</v>
      </c>
    </row>
    <row r="12" spans="1:76" x14ac:dyDescent="0.25">
      <c r="A12" s="11" t="s">
        <v>25</v>
      </c>
      <c r="B12" s="10">
        <v>977.11188084056789</v>
      </c>
      <c r="C12" s="10">
        <v>152.29682486746901</v>
      </c>
      <c r="D12" s="10">
        <v>328.78786143943131</v>
      </c>
      <c r="E12" s="10">
        <v>1458.1965671474682</v>
      </c>
    </row>
    <row r="13" spans="1:76" x14ac:dyDescent="0.25">
      <c r="A13" s="4" t="s">
        <v>16</v>
      </c>
      <c r="B13" s="10">
        <v>1661863.1966781644</v>
      </c>
      <c r="C13" s="10">
        <v>504703.97665243002</v>
      </c>
      <c r="D13" s="10">
        <v>261339.28722504433</v>
      </c>
      <c r="E13" s="10">
        <v>2427906.4605556391</v>
      </c>
    </row>
    <row r="14" spans="1:76" s="10" customFormat="1" x14ac:dyDescent="0.25">
      <c r="A14" s="11" t="s">
        <v>7</v>
      </c>
      <c r="B14" s="10">
        <v>-1687115.1135128606</v>
      </c>
      <c r="C14" s="10">
        <v>177080.76736915112</v>
      </c>
      <c r="D14" s="10">
        <v>-3058250.0075574219</v>
      </c>
      <c r="E14" s="10">
        <v>-4568284.3537011314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</row>
    <row r="15" spans="1:76" x14ac:dyDescent="0.25">
      <c r="A15" s="11" t="s">
        <v>25</v>
      </c>
      <c r="B15" s="10">
        <v>3348978.310191025</v>
      </c>
      <c r="C15" s="10">
        <v>327623.20928327891</v>
      </c>
      <c r="D15" s="10">
        <v>3319589.2947824663</v>
      </c>
      <c r="E15" s="10">
        <v>6996190.8142567705</v>
      </c>
    </row>
    <row r="16" spans="1:76" x14ac:dyDescent="0.25">
      <c r="A16" s="4" t="s">
        <v>15</v>
      </c>
      <c r="B16" s="10">
        <v>-17961614.605450869</v>
      </c>
      <c r="C16" s="10">
        <v>-8606400.9971909076</v>
      </c>
      <c r="D16" s="10">
        <v>-321054.89250716567</v>
      </c>
      <c r="E16" s="10">
        <v>-26889070.495149136</v>
      </c>
    </row>
    <row r="17" spans="1:16" x14ac:dyDescent="0.25">
      <c r="A17" s="11" t="s">
        <v>7</v>
      </c>
      <c r="B17" s="10">
        <v>1498356566.5360012</v>
      </c>
      <c r="C17" s="10">
        <v>117975511.79943456</v>
      </c>
      <c r="D17" s="10">
        <v>150739191.99386275</v>
      </c>
      <c r="E17" s="10">
        <v>1767071270.3292985</v>
      </c>
    </row>
    <row r="18" spans="1:16" x14ac:dyDescent="0.25">
      <c r="A18" s="11" t="s">
        <v>26</v>
      </c>
      <c r="B18" s="10">
        <v>-122983444.48953663</v>
      </c>
      <c r="C18" s="10">
        <v>-7213699.465495646</v>
      </c>
      <c r="D18" s="10">
        <v>-1798653.4483432453</v>
      </c>
      <c r="E18" s="10">
        <v>-131995797.40337552</v>
      </c>
      <c r="P18" s="15"/>
    </row>
    <row r="19" spans="1:16" x14ac:dyDescent="0.25">
      <c r="A19" s="11" t="s">
        <v>25</v>
      </c>
      <c r="B19" s="10">
        <v>-1393334736.6519156</v>
      </c>
      <c r="C19" s="10">
        <v>-119368213.33112982</v>
      </c>
      <c r="D19" s="10">
        <v>-149261593.43802667</v>
      </c>
      <c r="E19" s="10">
        <v>-1661964543.421072</v>
      </c>
      <c r="N19" s="14"/>
    </row>
    <row r="20" spans="1:16" x14ac:dyDescent="0.25">
      <c r="A20" s="4" t="s">
        <v>70</v>
      </c>
      <c r="B20" s="10">
        <v>-1393256885.9697111</v>
      </c>
      <c r="C20" s="10">
        <v>-119361262.37736163</v>
      </c>
      <c r="D20" s="10">
        <v>-149256032.67501208</v>
      </c>
      <c r="E20" s="10">
        <v>-1661874181.0220847</v>
      </c>
      <c r="F20" s="17">
        <f>GETPIVOTDATA("Value",$A$3,"Greek Name","Convexity","Company","AGL")/GETPIVOTDATA("Value",$A$3,"Category","Liability","Greek Name","Convexity","Company","AGL")</f>
        <v>-0.1950214683012525</v>
      </c>
      <c r="G20" s="17">
        <f>GETPIVOTDATA("Value",$A$3,"Greek Name","Convexity","Company","USL")/GETPIVOTDATA("Value",$A$3,"Category","Liability","Greek Name","Convexity","Company","USL")</f>
        <v>-0.66927282536645216</v>
      </c>
      <c r="H20" s="17">
        <f>GETPIVOTDATA("Value",$A$3,"Greek Name","Convexity","Company","VALIC")/GETPIVOTDATA("Value",$A$3,"Category","Liability","Greek Name","Convexity","Company","VALIC")</f>
        <v>4.6617591635029404E-2</v>
      </c>
    </row>
    <row r="21" spans="1:16" x14ac:dyDescent="0.25">
      <c r="A21" s="11" t="s">
        <v>71</v>
      </c>
      <c r="B21" s="10">
        <v>-145846891.43883288</v>
      </c>
      <c r="C21" s="10">
        <v>-7181217.0845456515</v>
      </c>
      <c r="D21" s="10">
        <v>-9738083.501723811</v>
      </c>
      <c r="E21" s="10">
        <v>-162766192.02510232</v>
      </c>
      <c r="P21" s="15"/>
    </row>
    <row r="22" spans="1:16" x14ac:dyDescent="0.25">
      <c r="A22" s="11" t="s">
        <v>69</v>
      </c>
      <c r="B22" s="10">
        <v>-1100972620.908823</v>
      </c>
      <c r="C22" s="10">
        <v>-101089325.20064412</v>
      </c>
      <c r="D22" s="10">
        <v>-114462066.47837035</v>
      </c>
      <c r="E22" s="10">
        <v>-1316524012.5878375</v>
      </c>
      <c r="M22" s="14"/>
      <c r="N22" s="14"/>
    </row>
    <row r="23" spans="1:16" x14ac:dyDescent="0.25">
      <c r="A23" s="11" t="s">
        <v>72</v>
      </c>
      <c r="B23" s="10">
        <v>29974165.473885179</v>
      </c>
      <c r="C23" s="10">
        <v>1951687.3232291711</v>
      </c>
      <c r="D23" s="10">
        <v>4334561.3806601344</v>
      </c>
      <c r="E23" s="10">
        <v>36260414.177774481</v>
      </c>
      <c r="M23" s="14"/>
      <c r="P23" s="15"/>
    </row>
    <row r="24" spans="1:16" x14ac:dyDescent="0.25">
      <c r="A24" s="11" t="s">
        <v>73</v>
      </c>
      <c r="B24" s="10">
        <v>0</v>
      </c>
      <c r="C24" s="10">
        <v>0</v>
      </c>
      <c r="D24" s="10">
        <v>0</v>
      </c>
      <c r="E24" s="10">
        <v>0</v>
      </c>
      <c r="M24" s="14"/>
      <c r="N24" s="14"/>
    </row>
    <row r="25" spans="1:16" x14ac:dyDescent="0.25">
      <c r="A25" s="11" t="s">
        <v>84</v>
      </c>
      <c r="B25" s="10">
        <v>-6684368.6795912459</v>
      </c>
      <c r="C25" s="10">
        <v>-486445.76408089779</v>
      </c>
      <c r="D25" s="10">
        <v>-222649.52502558738</v>
      </c>
      <c r="E25" s="10">
        <v>-7393463.9686977314</v>
      </c>
      <c r="M25" s="14"/>
    </row>
    <row r="26" spans="1:16" x14ac:dyDescent="0.25">
      <c r="A26" s="11" t="s">
        <v>85</v>
      </c>
      <c r="B26" s="10">
        <v>-3087648.9099284718</v>
      </c>
      <c r="C26" s="10">
        <v>-142074.25319588333</v>
      </c>
      <c r="D26" s="10">
        <v>-2990234.2433789447</v>
      </c>
      <c r="E26" s="10">
        <v>-6219957.4065032993</v>
      </c>
      <c r="M26" s="14"/>
    </row>
    <row r="27" spans="1:16" x14ac:dyDescent="0.25">
      <c r="A27" s="23" t="s">
        <v>95</v>
      </c>
      <c r="B27" s="24">
        <v>-166639521.50642052</v>
      </c>
      <c r="C27" s="24">
        <v>-12413887.398124237</v>
      </c>
      <c r="D27" s="24">
        <v>-26177560.30717352</v>
      </c>
      <c r="E27" s="24">
        <v>-205230969.21171829</v>
      </c>
      <c r="M27" s="14"/>
    </row>
    <row r="28" spans="1:16" x14ac:dyDescent="0.25">
      <c r="A28" s="4" t="s">
        <v>17</v>
      </c>
      <c r="B28" s="10">
        <v>96635677.772549152</v>
      </c>
      <c r="C28" s="10">
        <v>26174162.860357493</v>
      </c>
      <c r="D28" s="10">
        <v>-2465465.2086562216</v>
      </c>
      <c r="E28" s="10">
        <v>120344375.42425048</v>
      </c>
      <c r="F28" s="10">
        <f>GETPIVOTDATA("Value",$A$3,"Greek Name","Convexity","Company","AGL")-F29</f>
        <v>-52018229.842290372</v>
      </c>
    </row>
    <row r="29" spans="1:16" x14ac:dyDescent="0.25">
      <c r="A29" s="11" t="s">
        <v>7</v>
      </c>
      <c r="B29" s="10">
        <v>-495513025.38279843</v>
      </c>
      <c r="C29" s="10">
        <v>-39108360.400000028</v>
      </c>
      <c r="D29" s="10">
        <v>-52887013.725600123</v>
      </c>
      <c r="E29" s="10">
        <v>-587508399.50839853</v>
      </c>
      <c r="F29" s="10">
        <f>-GETPIVOTDATA("Value",$A$3,"Category","Liability","Greek Name","Convexity","Company","AGL")*0.3</f>
        <v>148653907.61483952</v>
      </c>
    </row>
    <row r="30" spans="1:16" x14ac:dyDescent="0.25">
      <c r="A30" s="11" t="s">
        <v>25</v>
      </c>
      <c r="B30" s="10">
        <v>592148703.15534759</v>
      </c>
      <c r="C30" s="10">
        <v>65282523.260357521</v>
      </c>
      <c r="D30" s="10">
        <v>50421548.516943902</v>
      </c>
      <c r="E30" s="10">
        <v>707852774.93264902</v>
      </c>
      <c r="M30" s="14"/>
    </row>
    <row r="31" spans="1:16" x14ac:dyDescent="0.25">
      <c r="A31" s="25" t="s">
        <v>99</v>
      </c>
      <c r="B31" s="24">
        <v>244782763.810408</v>
      </c>
      <c r="C31" s="24">
        <v>19449219.112831481</v>
      </c>
      <c r="D31" s="24">
        <v>12277872.286934003</v>
      </c>
      <c r="E31" s="24">
        <v>276509855.21017349</v>
      </c>
    </row>
    <row r="32" spans="1:16" x14ac:dyDescent="0.25">
      <c r="A32" s="11" t="s">
        <v>7</v>
      </c>
      <c r="B32" s="10">
        <v>411371485.72779858</v>
      </c>
      <c r="C32" s="10">
        <v>31859172.477999851</v>
      </c>
      <c r="D32" s="10">
        <v>38447406.61239998</v>
      </c>
      <c r="E32" s="10">
        <v>481678064.81819844</v>
      </c>
      <c r="M32" s="14"/>
    </row>
    <row r="33" spans="1:13" x14ac:dyDescent="0.25">
      <c r="A33" s="11" t="s">
        <v>25</v>
      </c>
      <c r="B33" s="10">
        <v>-166588721.91739058</v>
      </c>
      <c r="C33" s="10">
        <v>-12409953.365168368</v>
      </c>
      <c r="D33" s="10">
        <v>-26169534.325465977</v>
      </c>
      <c r="E33" s="10">
        <v>-205168209.60802492</v>
      </c>
      <c r="M33" s="14"/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BX39"/>
  <sheetViews>
    <sheetView tabSelected="1" workbookViewId="0">
      <selection activeCell="N20" sqref="N20"/>
    </sheetView>
  </sheetViews>
  <sheetFormatPr defaultRowHeight="15" x14ac:dyDescent="0.25"/>
  <cols>
    <col min="1" max="1" width="25.5703125" bestFit="1" customWidth="1"/>
    <col min="2" max="2" width="16.28515625" bestFit="1" customWidth="1"/>
    <col min="3" max="3" width="8.28515625" bestFit="1" customWidth="1"/>
    <col min="4" max="5" width="11.85546875" bestFit="1" customWidth="1"/>
    <col min="6" max="6" width="13.5703125" bestFit="1" customWidth="1"/>
    <col min="7" max="8" width="11.85546875" bestFit="1" customWidth="1"/>
    <col min="9" max="9" width="13.42578125" bestFit="1" customWidth="1"/>
    <col min="10" max="10" width="14.42578125" bestFit="1" customWidth="1"/>
    <col min="11" max="11" width="11.85546875" bestFit="1" customWidth="1"/>
    <col min="12" max="12" width="13.5703125" bestFit="1" customWidth="1"/>
    <col min="13" max="13" width="12.140625" customWidth="1"/>
    <col min="14" max="14" width="13.5703125" bestFit="1" customWidth="1"/>
    <col min="15" max="15" width="10" bestFit="1" customWidth="1"/>
    <col min="16" max="16" width="16.140625" bestFit="1" customWidth="1"/>
    <col min="17" max="17" width="11.140625" bestFit="1" customWidth="1"/>
    <col min="18" max="18" width="11.85546875" bestFit="1" customWidth="1"/>
    <col min="19" max="19" width="9.28515625" bestFit="1" customWidth="1"/>
    <col min="20" max="20" width="10" bestFit="1" customWidth="1"/>
    <col min="21" max="21" width="11.140625" bestFit="1" customWidth="1"/>
    <col min="22" max="22" width="12.7109375" bestFit="1" customWidth="1"/>
    <col min="23" max="23" width="11.140625" bestFit="1" customWidth="1"/>
    <col min="24" max="24" width="10.85546875" bestFit="1" customWidth="1"/>
    <col min="25" max="25" width="10.140625" bestFit="1" customWidth="1"/>
    <col min="26" max="26" width="10" bestFit="1" customWidth="1"/>
    <col min="27" max="28" width="11.140625" bestFit="1" customWidth="1"/>
    <col min="29" max="29" width="15.28515625" bestFit="1" customWidth="1"/>
    <col min="30" max="30" width="10.85546875" bestFit="1" customWidth="1"/>
    <col min="31" max="31" width="9.28515625" bestFit="1" customWidth="1"/>
    <col min="32" max="32" width="10" bestFit="1" customWidth="1"/>
    <col min="33" max="33" width="18.42578125" bestFit="1" customWidth="1"/>
    <col min="34" max="34" width="16.28515625" bestFit="1" customWidth="1"/>
    <col min="35" max="35" width="10.85546875" bestFit="1" customWidth="1"/>
    <col min="36" max="36" width="9.28515625" bestFit="1" customWidth="1"/>
    <col min="37" max="37" width="10" bestFit="1" customWidth="1"/>
    <col min="38" max="38" width="19.42578125" bestFit="1" customWidth="1"/>
    <col min="39" max="39" width="11.140625" bestFit="1" customWidth="1"/>
    <col min="40" max="40" width="11.7109375" bestFit="1" customWidth="1"/>
    <col min="41" max="41" width="7.5703125" customWidth="1"/>
    <col min="42" max="42" width="14.85546875" bestFit="1" customWidth="1"/>
    <col min="43" max="43" width="18.5703125" bestFit="1" customWidth="1"/>
    <col min="44" max="44" width="21.85546875" bestFit="1" customWidth="1"/>
    <col min="45" max="45" width="21.28515625" bestFit="1" customWidth="1"/>
    <col min="46" max="46" width="24.42578125" bestFit="1" customWidth="1"/>
    <col min="47" max="47" width="9.28515625" bestFit="1" customWidth="1"/>
    <col min="48" max="48" width="12" bestFit="1" customWidth="1"/>
    <col min="49" max="49" width="11" bestFit="1" customWidth="1"/>
    <col min="50" max="50" width="14.140625" bestFit="1" customWidth="1"/>
    <col min="51" max="51" width="11.5703125" bestFit="1" customWidth="1"/>
    <col min="52" max="52" width="8" customWidth="1"/>
    <col min="53" max="53" width="8.28515625" customWidth="1"/>
    <col min="54" max="54" width="10.5703125" bestFit="1" customWidth="1"/>
    <col min="55" max="55" width="9.7109375" bestFit="1" customWidth="1"/>
    <col min="56" max="56" width="7.5703125" customWidth="1"/>
    <col min="57" max="57" width="12.7109375" bestFit="1" customWidth="1"/>
    <col min="58" max="58" width="12.85546875" bestFit="1" customWidth="1"/>
    <col min="60" max="60" width="16" bestFit="1" customWidth="1"/>
    <col min="61" max="61" width="11.140625" bestFit="1" customWidth="1"/>
    <col min="62" max="62" width="11.85546875" bestFit="1" customWidth="1"/>
    <col min="63" max="63" width="10" bestFit="1" customWidth="1"/>
    <col min="64" max="64" width="9.28515625" bestFit="1" customWidth="1"/>
    <col min="65" max="65" width="11.7109375" bestFit="1" customWidth="1"/>
    <col min="66" max="66" width="10.140625" bestFit="1" customWidth="1"/>
    <col min="67" max="67" width="14.85546875" bestFit="1" customWidth="1"/>
    <col min="68" max="68" width="18.5703125" bestFit="1" customWidth="1"/>
    <col min="69" max="69" width="21.85546875" bestFit="1" customWidth="1"/>
    <col min="70" max="70" width="21.28515625" bestFit="1" customWidth="1"/>
    <col min="71" max="71" width="24.42578125" bestFit="1" customWidth="1"/>
    <col min="72" max="72" width="9.28515625" bestFit="1" customWidth="1"/>
    <col min="73" max="73" width="12" bestFit="1" customWidth="1"/>
    <col min="74" max="74" width="11" bestFit="1" customWidth="1"/>
    <col min="75" max="75" width="14.140625" bestFit="1" customWidth="1"/>
    <col min="76" max="76" width="10.140625" customWidth="1"/>
    <col min="77" max="77" width="8" customWidth="1"/>
    <col min="78" max="78" width="8.28515625" customWidth="1"/>
    <col min="79" max="79" width="10.5703125" bestFit="1" customWidth="1"/>
    <col min="80" max="80" width="9.7109375" bestFit="1" customWidth="1"/>
    <col min="81" max="81" width="7.5703125" customWidth="1"/>
    <col min="82" max="82" width="12.7109375" bestFit="1" customWidth="1"/>
    <col min="83" max="83" width="12.85546875" bestFit="1" customWidth="1"/>
    <col min="85" max="85" width="16" bestFit="1" customWidth="1"/>
    <col min="86" max="86" width="11.140625" bestFit="1" customWidth="1"/>
    <col min="87" max="87" width="11.85546875" bestFit="1" customWidth="1"/>
    <col min="88" max="88" width="10" bestFit="1" customWidth="1"/>
    <col min="89" max="89" width="9.28515625" bestFit="1" customWidth="1"/>
    <col min="90" max="90" width="11.7109375" bestFit="1" customWidth="1"/>
    <col min="91" max="91" width="11.140625" bestFit="1" customWidth="1"/>
    <col min="92" max="92" width="14.85546875" bestFit="1" customWidth="1"/>
    <col min="93" max="93" width="18.5703125" bestFit="1" customWidth="1"/>
    <col min="94" max="94" width="21.85546875" bestFit="1" customWidth="1"/>
    <col min="95" max="95" width="21.28515625" bestFit="1" customWidth="1"/>
    <col min="96" max="96" width="24.42578125" bestFit="1" customWidth="1"/>
    <col min="97" max="97" width="9.28515625" bestFit="1" customWidth="1"/>
    <col min="98" max="98" width="12" bestFit="1" customWidth="1"/>
    <col min="99" max="99" width="11" bestFit="1" customWidth="1"/>
    <col min="100" max="100" width="14.140625" bestFit="1" customWidth="1"/>
    <col min="101" max="101" width="11.140625" bestFit="1" customWidth="1"/>
    <col min="102" max="102" width="12.7109375" bestFit="1" customWidth="1"/>
    <col min="103" max="103" width="8" customWidth="1"/>
    <col min="104" max="104" width="8.28515625" customWidth="1"/>
    <col min="105" max="105" width="10.5703125" bestFit="1" customWidth="1"/>
    <col min="106" max="106" width="9.7109375" bestFit="1" customWidth="1"/>
    <col min="107" max="107" width="7.5703125" customWidth="1"/>
    <col min="108" max="108" width="12.7109375" bestFit="1" customWidth="1"/>
    <col min="109" max="109" width="12.85546875" bestFit="1" customWidth="1"/>
    <col min="110" max="110" width="7.5703125" customWidth="1"/>
    <col min="111" max="111" width="16" bestFit="1" customWidth="1"/>
    <col min="112" max="112" width="10.140625" bestFit="1" customWidth="1"/>
    <col min="113" max="113" width="10.85546875" bestFit="1" customWidth="1"/>
    <col min="114" max="114" width="10" bestFit="1" customWidth="1"/>
    <col min="115" max="115" width="9.28515625" bestFit="1" customWidth="1"/>
    <col min="116" max="116" width="11.7109375" bestFit="1" customWidth="1"/>
    <col min="117" max="117" width="10.140625" bestFit="1" customWidth="1"/>
    <col min="118" max="118" width="14.85546875" bestFit="1" customWidth="1"/>
    <col min="119" max="119" width="18.5703125" bestFit="1" customWidth="1"/>
    <col min="120" max="120" width="21.85546875" bestFit="1" customWidth="1"/>
    <col min="121" max="121" width="21.28515625" bestFit="1" customWidth="1"/>
    <col min="122" max="122" width="24.42578125" bestFit="1" customWidth="1"/>
    <col min="123" max="123" width="9.28515625" bestFit="1" customWidth="1"/>
    <col min="124" max="124" width="12" bestFit="1" customWidth="1"/>
    <col min="125" max="125" width="11" bestFit="1" customWidth="1"/>
    <col min="126" max="126" width="14.140625" bestFit="1" customWidth="1"/>
    <col min="127" max="128" width="11.140625" bestFit="1" customWidth="1"/>
    <col min="129" max="129" width="15.28515625" bestFit="1" customWidth="1"/>
    <col min="130" max="130" width="7.5703125" customWidth="1"/>
    <col min="131" max="131" width="10.5703125" bestFit="1" customWidth="1"/>
    <col min="132" max="132" width="9.7109375" bestFit="1" customWidth="1"/>
    <col min="133" max="133" width="7.5703125" customWidth="1"/>
    <col min="134" max="134" width="12.7109375" bestFit="1" customWidth="1"/>
    <col min="135" max="135" width="12.85546875" bestFit="1" customWidth="1"/>
    <col min="137" max="137" width="16" bestFit="1" customWidth="1"/>
    <col min="138" max="138" width="10.140625" bestFit="1" customWidth="1"/>
    <col min="139" max="139" width="10.85546875" bestFit="1" customWidth="1"/>
    <col min="140" max="140" width="10" bestFit="1" customWidth="1"/>
    <col min="141" max="141" width="9.28515625" bestFit="1" customWidth="1"/>
    <col min="142" max="142" width="11.7109375" bestFit="1" customWidth="1"/>
    <col min="143" max="143" width="10.140625" bestFit="1" customWidth="1"/>
    <col min="144" max="144" width="14.85546875" bestFit="1" customWidth="1"/>
    <col min="145" max="145" width="18.5703125" bestFit="1" customWidth="1"/>
    <col min="146" max="146" width="21.85546875" bestFit="1" customWidth="1"/>
    <col min="147" max="147" width="21.28515625" bestFit="1" customWidth="1"/>
    <col min="148" max="148" width="24.42578125" bestFit="1" customWidth="1"/>
    <col min="149" max="149" width="9.28515625" bestFit="1" customWidth="1"/>
    <col min="150" max="150" width="12" bestFit="1" customWidth="1"/>
    <col min="151" max="151" width="11" bestFit="1" customWidth="1"/>
    <col min="152" max="152" width="14.140625" bestFit="1" customWidth="1"/>
    <col min="153" max="153" width="18.42578125" bestFit="1" customWidth="1"/>
    <col min="154" max="154" width="16.28515625" bestFit="1" customWidth="1"/>
    <col min="155" max="155" width="7.5703125" customWidth="1"/>
    <col min="156" max="156" width="10.5703125" bestFit="1" customWidth="1"/>
    <col min="157" max="157" width="9.7109375" bestFit="1" customWidth="1"/>
    <col min="158" max="158" width="7.5703125" customWidth="1"/>
    <col min="159" max="159" width="12.7109375" bestFit="1" customWidth="1"/>
    <col min="160" max="160" width="12.85546875" bestFit="1" customWidth="1"/>
    <col min="162" max="162" width="16" bestFit="1" customWidth="1"/>
    <col min="163" max="163" width="10.140625" bestFit="1" customWidth="1"/>
    <col min="164" max="164" width="10.85546875" bestFit="1" customWidth="1"/>
    <col min="165" max="165" width="10" bestFit="1" customWidth="1"/>
    <col min="166" max="166" width="9.28515625" bestFit="1" customWidth="1"/>
    <col min="167" max="167" width="11.7109375" bestFit="1" customWidth="1"/>
    <col min="168" max="168" width="10.140625" bestFit="1" customWidth="1"/>
    <col min="169" max="169" width="14.85546875" bestFit="1" customWidth="1"/>
    <col min="170" max="170" width="18.5703125" bestFit="1" customWidth="1"/>
    <col min="171" max="171" width="21.85546875" bestFit="1" customWidth="1"/>
    <col min="172" max="172" width="21.28515625" bestFit="1" customWidth="1"/>
    <col min="173" max="173" width="24.42578125" bestFit="1" customWidth="1"/>
    <col min="174" max="174" width="9.28515625" bestFit="1" customWidth="1"/>
    <col min="175" max="175" width="12" bestFit="1" customWidth="1"/>
    <col min="176" max="176" width="11" bestFit="1" customWidth="1"/>
    <col min="177" max="177" width="14.140625" bestFit="1" customWidth="1"/>
    <col min="178" max="178" width="19.42578125" bestFit="1" customWidth="1"/>
    <col min="179" max="179" width="11.140625" bestFit="1" customWidth="1"/>
  </cols>
  <sheetData>
    <row r="3" spans="1:76" x14ac:dyDescent="0.25">
      <c r="A3" s="9" t="s">
        <v>52</v>
      </c>
      <c r="B3" s="9" t="s">
        <v>51</v>
      </c>
    </row>
    <row r="4" spans="1:76" s="13" customFormat="1" x14ac:dyDescent="0.25">
      <c r="A4"/>
      <c r="B4" t="s">
        <v>55</v>
      </c>
      <c r="C4"/>
      <c r="D4"/>
      <c r="E4"/>
      <c r="F4" s="13" t="s">
        <v>61</v>
      </c>
      <c r="G4" t="s">
        <v>9</v>
      </c>
      <c r="H4" s="13" t="s">
        <v>62</v>
      </c>
      <c r="I4" t="s">
        <v>56</v>
      </c>
      <c r="J4"/>
      <c r="K4" s="13" t="s">
        <v>63</v>
      </c>
      <c r="L4" s="13" t="s">
        <v>50</v>
      </c>
      <c r="M4"/>
      <c r="N4"/>
    </row>
    <row r="5" spans="1:76" s="13" customFormat="1" x14ac:dyDescent="0.25">
      <c r="A5" s="12" t="s">
        <v>49</v>
      </c>
      <c r="B5" s="13" t="s">
        <v>6</v>
      </c>
      <c r="C5" s="13" t="s">
        <v>13</v>
      </c>
      <c r="D5" s="13" t="s">
        <v>8</v>
      </c>
      <c r="E5" s="13" t="s">
        <v>12</v>
      </c>
      <c r="G5" s="13" t="s">
        <v>9</v>
      </c>
      <c r="I5" s="13" t="s">
        <v>10</v>
      </c>
      <c r="J5" s="13" t="s">
        <v>11</v>
      </c>
      <c r="M5"/>
      <c r="N5"/>
    </row>
    <row r="6" spans="1:76" x14ac:dyDescent="0.25">
      <c r="A6" s="4" t="s">
        <v>14</v>
      </c>
      <c r="B6" s="10">
        <v>-24878.319194457959</v>
      </c>
      <c r="C6" s="10">
        <v>-231.39333267137499</v>
      </c>
      <c r="D6" s="10">
        <v>115.90459573990665</v>
      </c>
      <c r="E6" s="10">
        <v>-14.282031663460657</v>
      </c>
      <c r="F6" s="10">
        <v>-25008.089963053353</v>
      </c>
      <c r="G6" s="10">
        <v>-20.269424850557698</v>
      </c>
      <c r="H6" s="10">
        <v>-20.269424850557698</v>
      </c>
      <c r="I6" s="10">
        <v>-84.157846352856723</v>
      </c>
      <c r="J6" s="10">
        <v>-58.800124778688769</v>
      </c>
      <c r="K6" s="10">
        <v>-142.95797113154549</v>
      </c>
      <c r="L6" s="10">
        <v>-25171.317359035835</v>
      </c>
    </row>
    <row r="7" spans="1:76" x14ac:dyDescent="0.25">
      <c r="A7" s="11" t="s">
        <v>7</v>
      </c>
      <c r="B7" s="10">
        <v>1806212.8782839775</v>
      </c>
      <c r="C7" s="10">
        <v>6090.3566673286259</v>
      </c>
      <c r="D7" s="10">
        <v>392554.2598772049</v>
      </c>
      <c r="E7" s="10">
        <v>288897.24210739136</v>
      </c>
      <c r="F7" s="10">
        <v>2493754.7369359024</v>
      </c>
      <c r="G7" s="10">
        <v>189266.20137143135</v>
      </c>
      <c r="H7" s="10">
        <v>189266.20137143135</v>
      </c>
      <c r="I7" s="10">
        <v>66902.22488617897</v>
      </c>
      <c r="J7" s="10">
        <v>88895.112281799316</v>
      </c>
      <c r="K7" s="10">
        <v>155797.33716797829</v>
      </c>
      <c r="L7" s="10">
        <v>2838818.275475312</v>
      </c>
    </row>
    <row r="8" spans="1:76" x14ac:dyDescent="0.25">
      <c r="A8" s="11" t="s">
        <v>25</v>
      </c>
      <c r="B8" s="10">
        <v>-1831091.1974784355</v>
      </c>
      <c r="C8" s="10">
        <v>-6321.7500000000009</v>
      </c>
      <c r="D8" s="10">
        <v>-392438.35528146499</v>
      </c>
      <c r="E8" s="10">
        <v>-288911.52413905482</v>
      </c>
      <c r="F8" s="10">
        <v>-2518762.8268989557</v>
      </c>
      <c r="G8" s="10">
        <v>-189286.47079628191</v>
      </c>
      <c r="H8" s="10">
        <v>-189286.47079628191</v>
      </c>
      <c r="I8" s="10">
        <v>-66986.382732531827</v>
      </c>
      <c r="J8" s="10">
        <v>-88953.912406578005</v>
      </c>
      <c r="K8" s="10">
        <v>-155940.29513910983</v>
      </c>
      <c r="L8" s="10">
        <v>-2863989.5928343479</v>
      </c>
    </row>
    <row r="9" spans="1:76" x14ac:dyDescent="0.25">
      <c r="A9" s="4" t="s">
        <v>58</v>
      </c>
      <c r="B9" s="10">
        <v>-196.12894456317036</v>
      </c>
      <c r="C9" s="10">
        <v>-17.083371999971568</v>
      </c>
      <c r="D9" s="10">
        <v>-497.71610331576449</v>
      </c>
      <c r="E9" s="10">
        <v>-201.79014531266827</v>
      </c>
      <c r="F9" s="10">
        <v>-912.71856519157461</v>
      </c>
      <c r="G9" s="10">
        <v>-10.445547183766195</v>
      </c>
      <c r="H9" s="10">
        <v>-10.445547183766195</v>
      </c>
      <c r="I9" s="10">
        <v>-95.285928065405784</v>
      </c>
      <c r="J9" s="10">
        <v>13.970501704227956</v>
      </c>
      <c r="K9" s="10">
        <v>-81.315426361177856</v>
      </c>
      <c r="L9" s="10">
        <v>-1004.4795387365187</v>
      </c>
    </row>
    <row r="10" spans="1:76" x14ac:dyDescent="0.25">
      <c r="A10" s="11" t="s">
        <v>7</v>
      </c>
      <c r="B10" s="10">
        <v>-338.24373996734619</v>
      </c>
      <c r="C10" s="10">
        <v>-17.083371999971568</v>
      </c>
      <c r="D10" s="10">
        <v>-541.09673999607571</v>
      </c>
      <c r="E10" s="10">
        <v>-390.69811200141908</v>
      </c>
      <c r="F10" s="10">
        <v>-1287.1219639648125</v>
      </c>
      <c r="G10" s="10">
        <v>-69.598703998899424</v>
      </c>
      <c r="H10" s="10">
        <v>-69.598703998899424</v>
      </c>
      <c r="I10" s="10">
        <v>-233.77528400182723</v>
      </c>
      <c r="J10" s="10">
        <v>-37.961772000193591</v>
      </c>
      <c r="K10" s="10">
        <v>-271.73705600202084</v>
      </c>
      <c r="L10" s="10">
        <v>-1628.4577239657328</v>
      </c>
    </row>
    <row r="11" spans="1:76" x14ac:dyDescent="0.25">
      <c r="A11" s="11" t="s">
        <v>25</v>
      </c>
      <c r="B11" s="10">
        <v>142.11479540417582</v>
      </c>
      <c r="C11" s="10">
        <v>0</v>
      </c>
      <c r="D11" s="10">
        <v>43.380636680311241</v>
      </c>
      <c r="E11" s="10">
        <v>188.9079666887508</v>
      </c>
      <c r="F11" s="10">
        <v>374.40339877323788</v>
      </c>
      <c r="G11" s="10">
        <v>59.153156815133229</v>
      </c>
      <c r="H11" s="10">
        <v>59.153156815133229</v>
      </c>
      <c r="I11" s="10">
        <v>138.48935593642145</v>
      </c>
      <c r="J11" s="10">
        <v>51.932273704421547</v>
      </c>
      <c r="K11" s="10">
        <v>190.42162964084298</v>
      </c>
      <c r="L11" s="10">
        <v>623.97818522921409</v>
      </c>
    </row>
    <row r="12" spans="1:76" x14ac:dyDescent="0.25">
      <c r="A12" s="4" t="s">
        <v>67</v>
      </c>
      <c r="B12" s="10">
        <v>186.54322201746137</v>
      </c>
      <c r="C12" s="10">
        <v>0</v>
      </c>
      <c r="D12" s="10">
        <v>120.42145316659681</v>
      </c>
      <c r="E12" s="10">
        <v>670.14720565650964</v>
      </c>
      <c r="F12" s="10">
        <v>977.11188084056789</v>
      </c>
      <c r="G12" s="10">
        <v>152.29682486746901</v>
      </c>
      <c r="H12" s="10">
        <v>152.29682486746901</v>
      </c>
      <c r="I12" s="10">
        <v>216.1995603305198</v>
      </c>
      <c r="J12" s="10">
        <v>112.58830110891151</v>
      </c>
      <c r="K12" s="10">
        <v>328.78786143943131</v>
      </c>
      <c r="L12" s="10">
        <v>1458.1965671474682</v>
      </c>
    </row>
    <row r="13" spans="1:76" x14ac:dyDescent="0.25">
      <c r="A13" s="11" t="s">
        <v>25</v>
      </c>
      <c r="B13" s="10">
        <v>186.54322201746137</v>
      </c>
      <c r="C13" s="10">
        <v>0</v>
      </c>
      <c r="D13" s="10">
        <v>120.42145316659681</v>
      </c>
      <c r="E13" s="10">
        <v>670.14720565650964</v>
      </c>
      <c r="F13" s="10">
        <v>977.11188084056789</v>
      </c>
      <c r="G13" s="10">
        <v>152.29682486746901</v>
      </c>
      <c r="H13" s="10">
        <v>152.29682486746901</v>
      </c>
      <c r="I13" s="10">
        <v>216.1995603305198</v>
      </c>
      <c r="J13" s="10">
        <v>112.58830110891151</v>
      </c>
      <c r="K13" s="10">
        <v>328.78786143943131</v>
      </c>
      <c r="L13" s="10">
        <v>1458.1965671474682</v>
      </c>
    </row>
    <row r="14" spans="1:76" s="10" customFormat="1" x14ac:dyDescent="0.25">
      <c r="A14" s="4" t="s">
        <v>16</v>
      </c>
      <c r="B14" s="10">
        <v>6209134.9655731544</v>
      </c>
      <c r="C14" s="10">
        <v>-124131.74610601552</v>
      </c>
      <c r="D14" s="10">
        <v>-5269854.2701934306</v>
      </c>
      <c r="E14" s="10">
        <v>846714.24740445614</v>
      </c>
      <c r="F14" s="10">
        <v>1661863.1966781644</v>
      </c>
      <c r="G14" s="10">
        <v>504703.97665243002</v>
      </c>
      <c r="H14" s="10">
        <v>504703.97665243002</v>
      </c>
      <c r="I14" s="10">
        <v>7793.9011234836653</v>
      </c>
      <c r="J14" s="10">
        <v>253545.38610156055</v>
      </c>
      <c r="K14" s="10">
        <v>261339.28722504433</v>
      </c>
      <c r="L14" s="10">
        <v>2427906.4605556391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</row>
    <row r="15" spans="1:76" x14ac:dyDescent="0.25">
      <c r="A15" s="11" t="s">
        <v>7</v>
      </c>
      <c r="B15" s="10">
        <v>5516790.5907030106</v>
      </c>
      <c r="C15" s="10">
        <v>-124131.74610601552</v>
      </c>
      <c r="D15" s="10">
        <v>-5918385.488948822</v>
      </c>
      <c r="E15" s="10">
        <v>-1161388.4691610336</v>
      </c>
      <c r="F15" s="10">
        <v>-1687115.1135128606</v>
      </c>
      <c r="G15" s="10">
        <v>177080.76736915112</v>
      </c>
      <c r="H15" s="10">
        <v>177080.76736915112</v>
      </c>
      <c r="I15" s="10">
        <v>-2705483.5447947085</v>
      </c>
      <c r="J15" s="10">
        <v>-352766.46276271343</v>
      </c>
      <c r="K15" s="10">
        <v>-3058250.0075574219</v>
      </c>
      <c r="L15" s="10">
        <v>-4568284.3537011314</v>
      </c>
    </row>
    <row r="16" spans="1:76" x14ac:dyDescent="0.25">
      <c r="A16" s="11" t="s">
        <v>25</v>
      </c>
      <c r="B16" s="10">
        <v>692344.37487014395</v>
      </c>
      <c r="C16" s="10">
        <v>0</v>
      </c>
      <c r="D16" s="10">
        <v>648531.21875539131</v>
      </c>
      <c r="E16" s="10">
        <v>2008102.7165654898</v>
      </c>
      <c r="F16" s="10">
        <v>3348978.310191025</v>
      </c>
      <c r="G16" s="10">
        <v>327623.20928327891</v>
      </c>
      <c r="H16" s="10">
        <v>327623.20928327891</v>
      </c>
      <c r="I16" s="10">
        <v>2713277.4459181922</v>
      </c>
      <c r="J16" s="10">
        <v>606311.84886427398</v>
      </c>
      <c r="K16" s="10">
        <v>3319589.2947824663</v>
      </c>
      <c r="L16" s="10">
        <v>6996190.8142567705</v>
      </c>
    </row>
    <row r="17" spans="1:16" x14ac:dyDescent="0.25">
      <c r="A17" s="4" t="s">
        <v>15</v>
      </c>
      <c r="B17" s="10">
        <v>-13608522.908528447</v>
      </c>
      <c r="C17" s="10">
        <v>284812.76017141138</v>
      </c>
      <c r="D17" s="10">
        <v>-2644103.5497787893</v>
      </c>
      <c r="E17" s="10">
        <v>-1993800.907315284</v>
      </c>
      <c r="F17" s="10">
        <v>-17961614.605450869</v>
      </c>
      <c r="G17" s="10">
        <v>-8606400.9971909076</v>
      </c>
      <c r="H17" s="10">
        <v>-8606400.9971909076</v>
      </c>
      <c r="I17" s="10">
        <v>384922.82983405888</v>
      </c>
      <c r="J17" s="10">
        <v>-705977.72234123945</v>
      </c>
      <c r="K17" s="10">
        <v>-321054.89250716567</v>
      </c>
      <c r="L17" s="10">
        <v>-26889070.495149136</v>
      </c>
    </row>
    <row r="18" spans="1:16" x14ac:dyDescent="0.25">
      <c r="A18" s="11" t="s">
        <v>7</v>
      </c>
      <c r="B18" s="10">
        <v>1131013245.0537205</v>
      </c>
      <c r="C18" s="10">
        <v>302240.48414051719</v>
      </c>
      <c r="D18" s="10">
        <v>195507533.16701597</v>
      </c>
      <c r="E18" s="10">
        <v>171533547.83112395</v>
      </c>
      <c r="F18" s="10">
        <v>1498356566.5360012</v>
      </c>
      <c r="G18" s="10">
        <v>117975511.79943456</v>
      </c>
      <c r="H18" s="10">
        <v>117975511.79943456</v>
      </c>
      <c r="I18" s="10">
        <v>78340038.874884129</v>
      </c>
      <c r="J18" s="10">
        <v>72399153.11897862</v>
      </c>
      <c r="K18" s="10">
        <v>150739191.99386275</v>
      </c>
      <c r="L18" s="10">
        <v>1767071270.3292985</v>
      </c>
      <c r="P18" s="15"/>
    </row>
    <row r="19" spans="1:16" x14ac:dyDescent="0.25">
      <c r="A19" s="11" t="s">
        <v>26</v>
      </c>
      <c r="B19" s="10">
        <v>-101303477.72625199</v>
      </c>
      <c r="C19" s="10">
        <v>0</v>
      </c>
      <c r="D19" s="10">
        <v>-10874302.023958649</v>
      </c>
      <c r="E19" s="10">
        <v>-10805664.73932598</v>
      </c>
      <c r="F19" s="10">
        <v>-122983444.48953663</v>
      </c>
      <c r="G19" s="10">
        <v>-7213699.465495646</v>
      </c>
      <c r="H19" s="10">
        <v>-7213699.465495646</v>
      </c>
      <c r="I19" s="10">
        <v>-427202.78704600414</v>
      </c>
      <c r="J19" s="10">
        <v>-1371450.6612972412</v>
      </c>
      <c r="K19" s="10">
        <v>-1798653.4483432453</v>
      </c>
      <c r="L19" s="10">
        <v>-131995797.40337552</v>
      </c>
    </row>
    <row r="20" spans="1:16" x14ac:dyDescent="0.25">
      <c r="A20" s="11" t="s">
        <v>25</v>
      </c>
      <c r="B20" s="10">
        <v>-1043318290.235997</v>
      </c>
      <c r="C20" s="10">
        <v>-17427.72396910578</v>
      </c>
      <c r="D20" s="10">
        <v>-187277334.69283611</v>
      </c>
      <c r="E20" s="10">
        <v>-162721683.99911326</v>
      </c>
      <c r="F20" s="10">
        <v>-1393334736.6519156</v>
      </c>
      <c r="G20" s="10">
        <v>-119368213.33112982</v>
      </c>
      <c r="H20" s="10">
        <v>-119368213.33112982</v>
      </c>
      <c r="I20" s="10">
        <v>-77527913.258004069</v>
      </c>
      <c r="J20" s="10">
        <v>-71733680.180022612</v>
      </c>
      <c r="K20" s="10">
        <v>-149261593.43802667</v>
      </c>
      <c r="L20" s="10">
        <v>-1661964543.421072</v>
      </c>
    </row>
    <row r="21" spans="1:16" x14ac:dyDescent="0.25">
      <c r="A21" s="4" t="s">
        <v>70</v>
      </c>
      <c r="B21" s="10">
        <v>-1043220281.7878644</v>
      </c>
      <c r="C21" s="10">
        <v>-17427.723969109134</v>
      </c>
      <c r="D21" s="10">
        <v>-187303748.3171556</v>
      </c>
      <c r="E21" s="10">
        <v>-162715428.1407218</v>
      </c>
      <c r="F21" s="10">
        <v>-1393256885.9697111</v>
      </c>
      <c r="G21" s="10">
        <v>-119361262.37736163</v>
      </c>
      <c r="H21" s="10">
        <v>-119361262.37736163</v>
      </c>
      <c r="I21" s="10">
        <v>-77524437.781119958</v>
      </c>
      <c r="J21" s="10">
        <v>-71731594.893892124</v>
      </c>
      <c r="K21" s="10">
        <v>-149256032.67501208</v>
      </c>
      <c r="L21" s="10">
        <v>-1661874181.0220845</v>
      </c>
      <c r="P21" s="15"/>
    </row>
    <row r="22" spans="1:16" x14ac:dyDescent="0.25">
      <c r="A22" s="11" t="s">
        <v>71</v>
      </c>
      <c r="B22" s="10">
        <v>-59558547.082835935</v>
      </c>
      <c r="C22" s="10">
        <v>0</v>
      </c>
      <c r="D22" s="10">
        <v>-38456485.92379798</v>
      </c>
      <c r="E22" s="10">
        <v>-47831858.432198979</v>
      </c>
      <c r="F22" s="10">
        <v>-145846891.43883288</v>
      </c>
      <c r="G22" s="10">
        <v>-7181217.0845456515</v>
      </c>
      <c r="H22" s="10">
        <v>-7181217.0845456515</v>
      </c>
      <c r="I22" s="10">
        <v>-3547909.1079348754</v>
      </c>
      <c r="J22" s="10">
        <v>-6190174.3937889365</v>
      </c>
      <c r="K22" s="10">
        <v>-9738083.501723811</v>
      </c>
      <c r="L22" s="10">
        <v>-162766192.02510232</v>
      </c>
      <c r="M22" s="14"/>
      <c r="N22" s="14"/>
    </row>
    <row r="23" spans="1:16" x14ac:dyDescent="0.25">
      <c r="A23" s="11" t="s">
        <v>69</v>
      </c>
      <c r="B23" s="10">
        <v>-841680475.91047502</v>
      </c>
      <c r="C23" s="10">
        <v>0</v>
      </c>
      <c r="D23" s="10">
        <v>-147171400.43724427</v>
      </c>
      <c r="E23" s="10">
        <v>-112120744.56110381</v>
      </c>
      <c r="F23" s="10">
        <v>-1100972620.908823</v>
      </c>
      <c r="G23" s="10">
        <v>-101089325.20064412</v>
      </c>
      <c r="H23" s="10">
        <v>-101089325.20064412</v>
      </c>
      <c r="I23" s="10">
        <v>-49529961.731415138</v>
      </c>
      <c r="J23" s="10">
        <v>-64932104.746955216</v>
      </c>
      <c r="K23" s="10">
        <v>-114462066.47837035</v>
      </c>
      <c r="L23" s="10">
        <v>-1316524012.5878372</v>
      </c>
      <c r="M23" s="14"/>
      <c r="P23" s="15"/>
    </row>
    <row r="24" spans="1:16" x14ac:dyDescent="0.25">
      <c r="A24" s="11" t="s">
        <v>72</v>
      </c>
      <c r="B24" s="10">
        <v>29974165.473885179</v>
      </c>
      <c r="C24" s="10">
        <v>0</v>
      </c>
      <c r="D24" s="10">
        <v>0</v>
      </c>
      <c r="E24" s="10">
        <v>0</v>
      </c>
      <c r="F24" s="10">
        <v>29974165.473885179</v>
      </c>
      <c r="G24" s="10">
        <v>1951687.3232291711</v>
      </c>
      <c r="H24" s="10">
        <v>1951687.3232291711</v>
      </c>
      <c r="I24" s="10">
        <v>4334561.3806601344</v>
      </c>
      <c r="J24" s="10">
        <v>0</v>
      </c>
      <c r="K24" s="10">
        <v>4334561.3806601344</v>
      </c>
      <c r="L24" s="10">
        <v>36260414.177774481</v>
      </c>
      <c r="M24" s="14"/>
      <c r="N24" s="14"/>
    </row>
    <row r="25" spans="1:16" x14ac:dyDescent="0.25">
      <c r="A25" s="11" t="s">
        <v>73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4"/>
    </row>
    <row r="26" spans="1:16" x14ac:dyDescent="0.25">
      <c r="A26" s="11" t="s">
        <v>84</v>
      </c>
      <c r="B26" s="10">
        <v>-4937619.7116067372</v>
      </c>
      <c r="C26" s="10">
        <v>-17427.723969109134</v>
      </c>
      <c r="D26" s="10">
        <v>-1072627.781767217</v>
      </c>
      <c r="E26" s="10">
        <v>-656693.46224818192</v>
      </c>
      <c r="F26" s="10">
        <v>-6684368.6795912459</v>
      </c>
      <c r="G26" s="10">
        <v>-486445.76408089779</v>
      </c>
      <c r="H26" s="10">
        <v>-486445.76408089779</v>
      </c>
      <c r="I26" s="10">
        <v>-22289.710765891679</v>
      </c>
      <c r="J26" s="10">
        <v>-200359.8142596957</v>
      </c>
      <c r="K26" s="10">
        <v>-222649.52502558738</v>
      </c>
      <c r="L26" s="10">
        <v>-7393463.9686977314</v>
      </c>
      <c r="M26" s="14"/>
    </row>
    <row r="27" spans="1:16" x14ac:dyDescent="0.25">
      <c r="A27" s="11" t="s">
        <v>85</v>
      </c>
      <c r="B27" s="10">
        <v>-378283.05041150452</v>
      </c>
      <c r="C27" s="10">
        <v>0</v>
      </c>
      <c r="D27" s="10">
        <v>-603234.17434612708</v>
      </c>
      <c r="E27" s="10">
        <v>-2106131.68517084</v>
      </c>
      <c r="F27" s="10">
        <v>-3087648.9099284718</v>
      </c>
      <c r="G27" s="10">
        <v>-142074.25319588333</v>
      </c>
      <c r="H27" s="10">
        <v>-142074.25319588333</v>
      </c>
      <c r="I27" s="10">
        <v>-2581278.3044906603</v>
      </c>
      <c r="J27" s="10">
        <v>-408955.93888828414</v>
      </c>
      <c r="K27" s="10">
        <v>-2990234.2433789447</v>
      </c>
      <c r="L27" s="10">
        <v>-6219957.4065033002</v>
      </c>
      <c r="M27" s="14"/>
    </row>
    <row r="28" spans="1:16" x14ac:dyDescent="0.25">
      <c r="A28" s="21" t="s">
        <v>95</v>
      </c>
      <c r="B28" s="22">
        <v>-166639521.50642052</v>
      </c>
      <c r="C28" s="22">
        <v>0</v>
      </c>
      <c r="D28" s="22">
        <v>0</v>
      </c>
      <c r="E28" s="22">
        <v>0</v>
      </c>
      <c r="F28" s="22">
        <v>-166639521.50642052</v>
      </c>
      <c r="G28" s="22">
        <v>-12413887.398124237</v>
      </c>
      <c r="H28" s="22">
        <v>-12413887.398124237</v>
      </c>
      <c r="I28" s="22">
        <v>-26177560.30717352</v>
      </c>
      <c r="J28" s="22">
        <v>0</v>
      </c>
      <c r="K28" s="22">
        <v>-26177560.30717352</v>
      </c>
      <c r="L28" s="22">
        <v>-205230969.21171829</v>
      </c>
      <c r="M28" s="14"/>
    </row>
    <row r="29" spans="1:16" x14ac:dyDescent="0.25">
      <c r="A29" s="4" t="s">
        <v>17</v>
      </c>
      <c r="B29" s="10">
        <v>16894188.164198816</v>
      </c>
      <c r="C29" s="10">
        <v>-33933.26799999924</v>
      </c>
      <c r="D29" s="10">
        <v>35986759.385928169</v>
      </c>
      <c r="E29" s="10">
        <v>43788663.490422145</v>
      </c>
      <c r="F29" s="10">
        <v>96635677.772549152</v>
      </c>
      <c r="G29" s="10">
        <v>26174162.860357493</v>
      </c>
      <c r="H29" s="10">
        <v>26174162.860357493</v>
      </c>
      <c r="I29" s="10">
        <v>-8013804.0033493582</v>
      </c>
      <c r="J29" s="10">
        <v>5548338.7946931347</v>
      </c>
      <c r="K29" s="10">
        <v>-2465465.2086562216</v>
      </c>
      <c r="L29" s="10">
        <v>120344375.42425048</v>
      </c>
      <c r="N29" s="13" t="s">
        <v>55</v>
      </c>
      <c r="O29" s="13" t="s">
        <v>88</v>
      </c>
    </row>
    <row r="30" spans="1:16" x14ac:dyDescent="0.25">
      <c r="A30" s="11" t="s">
        <v>7</v>
      </c>
      <c r="B30" s="10">
        <v>-371181924.24879837</v>
      </c>
      <c r="C30" s="10">
        <v>-33933.267999999225</v>
      </c>
      <c r="D30" s="10">
        <v>-64939700.032399535</v>
      </c>
      <c r="E30" s="10">
        <v>-59357467.833600521</v>
      </c>
      <c r="F30" s="10">
        <v>-495513025.38279843</v>
      </c>
      <c r="G30" s="10">
        <v>-39108360.400000028</v>
      </c>
      <c r="H30" s="10">
        <v>-39108360.400000028</v>
      </c>
      <c r="I30" s="10">
        <v>-24283530.905199945</v>
      </c>
      <c r="J30" s="10">
        <v>-28603482.820400178</v>
      </c>
      <c r="K30" s="10">
        <v>-52887013.725600123</v>
      </c>
      <c r="L30" s="10">
        <v>-587508399.50839853</v>
      </c>
      <c r="M30" s="14"/>
      <c r="N30" s="18">
        <f>+GETPIVOTDATA("Value",$A$3,"Category","Hedges","Greek Name","Convexity","Company","AGL")/-GETPIVOTDATA("Value",$A$3,"Category","Liability","Greek Name","Convexity","Company","AGL")</f>
        <v>1.1950214683012526</v>
      </c>
      <c r="O30" s="18">
        <f>+GETPIVOTDATA("Value",$A$3,"Category","Hedges","Greek Name","Convexity")/-GETPIVOTDATA("Value",$A$3,"Category","Liability","Greek Name","Convexity")</f>
        <v>1.2048385614996304</v>
      </c>
    </row>
    <row r="31" spans="1:16" x14ac:dyDescent="0.25">
      <c r="A31" s="11" t="s">
        <v>25</v>
      </c>
      <c r="B31" s="10">
        <v>388076112.41299719</v>
      </c>
      <c r="C31" s="10">
        <v>-1.5245363317146389E-11</v>
      </c>
      <c r="D31" s="10">
        <v>100926459.4183277</v>
      </c>
      <c r="E31" s="10">
        <v>103146131.32402267</v>
      </c>
      <c r="F31" s="10">
        <v>592148703.15534759</v>
      </c>
      <c r="G31" s="10">
        <v>65282523.260357521</v>
      </c>
      <c r="H31" s="10">
        <v>65282523.260357521</v>
      </c>
      <c r="I31" s="10">
        <v>16269726.901850587</v>
      </c>
      <c r="J31" s="10">
        <v>34151821.615093313</v>
      </c>
      <c r="K31" s="10">
        <v>50421548.516943902</v>
      </c>
      <c r="L31" s="10">
        <v>707852774.93264902</v>
      </c>
      <c r="N31" s="14"/>
    </row>
    <row r="32" spans="1:16" x14ac:dyDescent="0.25">
      <c r="A32" s="4" t="s">
        <v>65</v>
      </c>
      <c r="B32" s="10">
        <v>237146660.93300074</v>
      </c>
      <c r="C32" s="10">
        <v>0</v>
      </c>
      <c r="D32" s="10">
        <v>95093136.088563323</v>
      </c>
      <c r="E32" s="10">
        <v>104575272.80982892</v>
      </c>
      <c r="F32" s="10">
        <v>436815069.831393</v>
      </c>
      <c r="G32" s="10">
        <v>49957385.382127412</v>
      </c>
      <c r="H32" s="10">
        <v>49957385.382127412</v>
      </c>
      <c r="I32" s="10">
        <v>13642934.583569666</v>
      </c>
      <c r="J32" s="10">
        <v>23762798.876412034</v>
      </c>
      <c r="K32" s="10">
        <v>37405733.459981702</v>
      </c>
      <c r="L32" s="10">
        <v>524178188.67350215</v>
      </c>
      <c r="M32" s="14"/>
    </row>
    <row r="33" spans="1:14" x14ac:dyDescent="0.25">
      <c r="A33" s="11" t="s">
        <v>27</v>
      </c>
      <c r="B33" s="10">
        <v>30052241.183762521</v>
      </c>
      <c r="C33" s="10">
        <v>0</v>
      </c>
      <c r="D33" s="10">
        <v>0</v>
      </c>
      <c r="E33" s="10">
        <v>0</v>
      </c>
      <c r="F33" s="10">
        <v>30052241.183762521</v>
      </c>
      <c r="G33" s="10">
        <v>10887650.005880686</v>
      </c>
      <c r="H33" s="10">
        <v>10887650.005880686</v>
      </c>
      <c r="I33" s="10">
        <v>131359.12951311583</v>
      </c>
      <c r="J33" s="10">
        <v>192660.20261475589</v>
      </c>
      <c r="K33" s="10">
        <v>324019.33212787169</v>
      </c>
      <c r="L33" s="10">
        <v>41263910.521771073</v>
      </c>
      <c r="M33" s="14"/>
      <c r="N33" s="14">
        <f>+L33/(L33+L34)</f>
        <v>8.9452802353644958E-2</v>
      </c>
    </row>
    <row r="34" spans="1:14" x14ac:dyDescent="0.25">
      <c r="A34" s="11" t="s">
        <v>28</v>
      </c>
      <c r="B34" s="10">
        <v>184082402.93843839</v>
      </c>
      <c r="C34" s="10">
        <v>0</v>
      </c>
      <c r="D34" s="10">
        <v>80366748.248584375</v>
      </c>
      <c r="E34" s="10">
        <v>83605697.895626009</v>
      </c>
      <c r="F34" s="10">
        <v>348054849.08264875</v>
      </c>
      <c r="G34" s="10">
        <v>37157079.431666106</v>
      </c>
      <c r="H34" s="10">
        <v>37157079.431666106</v>
      </c>
      <c r="I34" s="10">
        <v>12686247.774764176</v>
      </c>
      <c r="J34" s="10">
        <v>22130454.462896571</v>
      </c>
      <c r="K34" s="10">
        <v>34816702.237660751</v>
      </c>
      <c r="L34" s="10">
        <v>420028630.75197566</v>
      </c>
      <c r="N34" s="14">
        <f>1-N33</f>
        <v>0.91054719764635506</v>
      </c>
    </row>
    <row r="35" spans="1:14" x14ac:dyDescent="0.25">
      <c r="A35" s="11" t="s">
        <v>66</v>
      </c>
      <c r="B35" s="10">
        <v>21884035.652202971</v>
      </c>
      <c r="C35" s="10">
        <v>0</v>
      </c>
      <c r="D35" s="10">
        <v>13844699.528595831</v>
      </c>
      <c r="E35" s="10">
        <v>20095834.686549578</v>
      </c>
      <c r="F35" s="10">
        <v>55824569.867348373</v>
      </c>
      <c r="G35" s="10">
        <v>1745756.4837634398</v>
      </c>
      <c r="H35" s="10">
        <v>1745756.4837634398</v>
      </c>
      <c r="I35" s="10">
        <v>744141.76221005095</v>
      </c>
      <c r="J35" s="10">
        <v>1298081.1187769992</v>
      </c>
      <c r="K35" s="10">
        <v>2042222.88098705</v>
      </c>
      <c r="L35" s="10">
        <v>59612549.232098863</v>
      </c>
    </row>
    <row r="36" spans="1:14" x14ac:dyDescent="0.25">
      <c r="A36" s="11" t="s">
        <v>83</v>
      </c>
      <c r="B36" s="10">
        <v>1127981.1585968668</v>
      </c>
      <c r="C36" s="10">
        <v>0</v>
      </c>
      <c r="D36" s="10">
        <v>881688.31138311245</v>
      </c>
      <c r="E36" s="10">
        <v>873740.22765334544</v>
      </c>
      <c r="F36" s="10">
        <v>2883409.6976333247</v>
      </c>
      <c r="G36" s="10">
        <v>166899.46081718049</v>
      </c>
      <c r="H36" s="10">
        <v>166899.46081718049</v>
      </c>
      <c r="I36" s="10">
        <v>81185.917082322572</v>
      </c>
      <c r="J36" s="10">
        <v>141603.09212371122</v>
      </c>
      <c r="K36" s="10">
        <v>222789.00920603378</v>
      </c>
      <c r="L36" s="10">
        <v>3273098.167656539</v>
      </c>
    </row>
    <row r="37" spans="1:14" x14ac:dyDescent="0.25">
      <c r="A37" s="4" t="s">
        <v>99</v>
      </c>
      <c r="B37" s="10">
        <v>125617287.72280812</v>
      </c>
      <c r="C37" s="10">
        <v>0</v>
      </c>
      <c r="D37" s="10">
        <v>58491051.843399882</v>
      </c>
      <c r="E37" s="10">
        <v>60674424.244199991</v>
      </c>
      <c r="F37" s="10">
        <v>244782763.810408</v>
      </c>
      <c r="G37" s="10">
        <v>19449219.112831481</v>
      </c>
      <c r="H37" s="10">
        <v>19449219.112831481</v>
      </c>
      <c r="I37" s="10">
        <v>-10823117.651866138</v>
      </c>
      <c r="J37" s="10">
        <v>23100989.938800141</v>
      </c>
      <c r="K37" s="10">
        <v>12277872.286934003</v>
      </c>
      <c r="L37" s="10">
        <v>276509855.21017349</v>
      </c>
    </row>
    <row r="38" spans="1:14" x14ac:dyDescent="0.25">
      <c r="A38" s="11" t="s">
        <v>7</v>
      </c>
      <c r="B38" s="10">
        <v>292206009.64019871</v>
      </c>
      <c r="C38" s="10">
        <v>0</v>
      </c>
      <c r="D38" s="10">
        <v>58491051.843399882</v>
      </c>
      <c r="E38" s="10">
        <v>60674424.244199991</v>
      </c>
      <c r="F38" s="10">
        <v>411371485.72779858</v>
      </c>
      <c r="G38" s="10">
        <v>31859172.477999851</v>
      </c>
      <c r="H38" s="10">
        <v>31859172.477999851</v>
      </c>
      <c r="I38" s="10">
        <v>15346416.673599839</v>
      </c>
      <c r="J38" s="10">
        <v>23100989.938800141</v>
      </c>
      <c r="K38" s="10">
        <v>38447406.61239998</v>
      </c>
      <c r="L38" s="10">
        <v>481678064.81819844</v>
      </c>
    </row>
    <row r="39" spans="1:14" x14ac:dyDescent="0.25">
      <c r="A39" s="11" t="s">
        <v>25</v>
      </c>
      <c r="B39" s="10">
        <v>-166588721.91739058</v>
      </c>
      <c r="C39" s="10">
        <v>0</v>
      </c>
      <c r="D39" s="10">
        <v>0</v>
      </c>
      <c r="E39" s="10">
        <v>0</v>
      </c>
      <c r="F39" s="10">
        <v>-166588721.91739058</v>
      </c>
      <c r="G39" s="10">
        <v>-12409953.365168368</v>
      </c>
      <c r="H39" s="10">
        <v>-12409953.365168368</v>
      </c>
      <c r="I39" s="10">
        <v>-26169534.325465977</v>
      </c>
      <c r="J39" s="10">
        <v>0</v>
      </c>
      <c r="K39" s="10">
        <v>-26169534.325465977</v>
      </c>
      <c r="L39" s="10">
        <v>-205168209.60802492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3.42578125" style="4" customWidth="1"/>
    <col min="2" max="2" width="17.42578125" customWidth="1"/>
    <col min="3" max="3" width="21.85546875" bestFit="1" customWidth="1"/>
    <col min="4" max="4" width="22.28515625" customWidth="1"/>
    <col min="5" max="5" width="17.42578125" style="8" customWidth="1"/>
  </cols>
  <sheetData>
    <row r="1" spans="1:6" x14ac:dyDescent="0.25">
      <c r="A1" s="4" t="s">
        <v>0</v>
      </c>
      <c r="B1" t="s">
        <v>1</v>
      </c>
      <c r="C1" t="s">
        <v>5</v>
      </c>
      <c r="D1" t="s">
        <v>2</v>
      </c>
      <c r="E1" s="8" t="s">
        <v>3</v>
      </c>
      <c r="F1" t="s">
        <v>54</v>
      </c>
    </row>
    <row r="2" spans="1:6" x14ac:dyDescent="0.25">
      <c r="A2" s="4">
        <v>20151030</v>
      </c>
      <c r="B2" t="s">
        <v>6</v>
      </c>
      <c r="C2" t="s">
        <v>7</v>
      </c>
      <c r="D2" t="s">
        <v>14</v>
      </c>
      <c r="E2" s="8">
        <v>1806212.8782839775</v>
      </c>
      <c r="F2" t="s">
        <v>55</v>
      </c>
    </row>
    <row r="3" spans="1:6" x14ac:dyDescent="0.25">
      <c r="A3" s="4">
        <v>20151030</v>
      </c>
      <c r="B3" t="s">
        <v>6</v>
      </c>
      <c r="C3" t="s">
        <v>7</v>
      </c>
      <c r="D3" t="s">
        <v>58</v>
      </c>
      <c r="E3" s="8">
        <v>-338.24373996734619</v>
      </c>
      <c r="F3" t="s">
        <v>55</v>
      </c>
    </row>
    <row r="4" spans="1:6" x14ac:dyDescent="0.25">
      <c r="A4" s="4">
        <v>20151030</v>
      </c>
      <c r="B4" t="s">
        <v>6</v>
      </c>
      <c r="C4" t="s">
        <v>7</v>
      </c>
      <c r="D4" t="s">
        <v>15</v>
      </c>
      <c r="E4" s="8">
        <v>1131013245.0537205</v>
      </c>
      <c r="F4" t="s">
        <v>55</v>
      </c>
    </row>
    <row r="5" spans="1:6" x14ac:dyDescent="0.25">
      <c r="A5" s="4">
        <v>20151030</v>
      </c>
      <c r="B5" t="s">
        <v>6</v>
      </c>
      <c r="C5" t="s">
        <v>7</v>
      </c>
      <c r="D5" t="s">
        <v>16</v>
      </c>
      <c r="E5" s="8">
        <v>5516790.5907030106</v>
      </c>
      <c r="F5" t="s">
        <v>55</v>
      </c>
    </row>
    <row r="6" spans="1:6" x14ac:dyDescent="0.25">
      <c r="A6" s="4">
        <v>20151030</v>
      </c>
      <c r="B6" t="s">
        <v>6</v>
      </c>
      <c r="C6" t="s">
        <v>7</v>
      </c>
      <c r="D6" t="s">
        <v>17</v>
      </c>
      <c r="E6" s="8">
        <v>-371181924.24879837</v>
      </c>
      <c r="F6" t="s">
        <v>55</v>
      </c>
    </row>
    <row r="7" spans="1:6" x14ac:dyDescent="0.25">
      <c r="A7" s="4">
        <v>20151030</v>
      </c>
      <c r="B7" t="s">
        <v>6</v>
      </c>
      <c r="C7" t="s">
        <v>25</v>
      </c>
      <c r="D7" t="s">
        <v>14</v>
      </c>
      <c r="E7" s="8">
        <v>-1831091.1974784355</v>
      </c>
      <c r="F7" t="s">
        <v>55</v>
      </c>
    </row>
    <row r="8" spans="1:6" x14ac:dyDescent="0.25">
      <c r="A8" s="4">
        <v>20151030</v>
      </c>
      <c r="B8" t="s">
        <v>6</v>
      </c>
      <c r="C8" t="s">
        <v>25</v>
      </c>
      <c r="D8" t="s">
        <v>58</v>
      </c>
      <c r="E8" s="8">
        <v>142.11479540417582</v>
      </c>
      <c r="F8" t="s">
        <v>55</v>
      </c>
    </row>
    <row r="9" spans="1:6" x14ac:dyDescent="0.25">
      <c r="A9" s="4">
        <v>20151030</v>
      </c>
      <c r="B9" t="s">
        <v>6</v>
      </c>
      <c r="C9" t="s">
        <v>25</v>
      </c>
      <c r="D9" t="s">
        <v>15</v>
      </c>
      <c r="E9" s="8">
        <v>-1043318290.235997</v>
      </c>
      <c r="F9" t="s">
        <v>55</v>
      </c>
    </row>
    <row r="10" spans="1:6" x14ac:dyDescent="0.25">
      <c r="A10" s="4">
        <v>20151030</v>
      </c>
      <c r="B10" t="s">
        <v>6</v>
      </c>
      <c r="C10" t="s">
        <v>25</v>
      </c>
      <c r="D10" t="s">
        <v>16</v>
      </c>
      <c r="E10" s="8">
        <v>692344.37487014395</v>
      </c>
      <c r="F10" t="s">
        <v>55</v>
      </c>
    </row>
    <row r="11" spans="1:6" x14ac:dyDescent="0.25">
      <c r="A11" s="4">
        <v>20151030</v>
      </c>
      <c r="B11" t="s">
        <v>6</v>
      </c>
      <c r="C11" t="s">
        <v>25</v>
      </c>
      <c r="D11" t="s">
        <v>17</v>
      </c>
      <c r="E11" s="8">
        <v>388076112.41299719</v>
      </c>
      <c r="F11" t="s">
        <v>55</v>
      </c>
    </row>
    <row r="12" spans="1:6" x14ac:dyDescent="0.25">
      <c r="A12" s="4">
        <v>20151030</v>
      </c>
      <c r="B12" t="s">
        <v>6</v>
      </c>
      <c r="C12" t="s">
        <v>27</v>
      </c>
      <c r="D12" t="s">
        <v>65</v>
      </c>
      <c r="E12" s="8">
        <v>30052241.183762521</v>
      </c>
      <c r="F12" t="s">
        <v>55</v>
      </c>
    </row>
    <row r="13" spans="1:6" x14ac:dyDescent="0.25">
      <c r="A13" s="4">
        <v>20151030</v>
      </c>
      <c r="B13" t="s">
        <v>6</v>
      </c>
      <c r="C13" t="s">
        <v>28</v>
      </c>
      <c r="D13" t="s">
        <v>65</v>
      </c>
      <c r="E13" s="8">
        <v>184082402.93843839</v>
      </c>
      <c r="F13" t="s">
        <v>55</v>
      </c>
    </row>
    <row r="14" spans="1:6" x14ac:dyDescent="0.25">
      <c r="A14" s="4">
        <v>20151030</v>
      </c>
      <c r="B14" t="s">
        <v>6</v>
      </c>
      <c r="C14" t="s">
        <v>83</v>
      </c>
      <c r="D14" t="s">
        <v>65</v>
      </c>
      <c r="E14" s="8">
        <v>1127981.1585968668</v>
      </c>
      <c r="F14" t="s">
        <v>55</v>
      </c>
    </row>
    <row r="15" spans="1:6" x14ac:dyDescent="0.25">
      <c r="A15" s="4">
        <v>20151030</v>
      </c>
      <c r="B15" t="s">
        <v>6</v>
      </c>
      <c r="C15" t="s">
        <v>66</v>
      </c>
      <c r="D15" t="s">
        <v>65</v>
      </c>
      <c r="E15" s="8">
        <v>21884035.652202971</v>
      </c>
      <c r="F15" t="s">
        <v>55</v>
      </c>
    </row>
    <row r="16" spans="1:6" x14ac:dyDescent="0.25">
      <c r="A16" s="4">
        <v>20151030</v>
      </c>
      <c r="B16" t="s">
        <v>6</v>
      </c>
      <c r="C16" t="s">
        <v>26</v>
      </c>
      <c r="D16" t="s">
        <v>15</v>
      </c>
      <c r="E16" s="8">
        <v>-101303477.72625199</v>
      </c>
      <c r="F16" t="s">
        <v>55</v>
      </c>
    </row>
    <row r="17" spans="1:6" x14ac:dyDescent="0.25">
      <c r="A17" s="4">
        <v>20151030</v>
      </c>
      <c r="B17" t="s">
        <v>6</v>
      </c>
      <c r="C17" t="s">
        <v>25</v>
      </c>
      <c r="D17" t="s">
        <v>67</v>
      </c>
      <c r="E17" s="8">
        <v>186.54322201746137</v>
      </c>
      <c r="F17" t="s">
        <v>55</v>
      </c>
    </row>
    <row r="18" spans="1:6" x14ac:dyDescent="0.25">
      <c r="A18" s="4">
        <v>20151030</v>
      </c>
      <c r="B18" t="s">
        <v>6</v>
      </c>
      <c r="C18" t="s">
        <v>69</v>
      </c>
      <c r="D18" t="s">
        <v>70</v>
      </c>
      <c r="E18" s="8">
        <v>-841680475.91047502</v>
      </c>
      <c r="F18" t="s">
        <v>55</v>
      </c>
    </row>
    <row r="19" spans="1:6" x14ac:dyDescent="0.25">
      <c r="A19" s="4">
        <v>20151030</v>
      </c>
      <c r="B19" t="s">
        <v>6</v>
      </c>
      <c r="C19" t="s">
        <v>71</v>
      </c>
      <c r="D19" t="s">
        <v>70</v>
      </c>
      <c r="E19" s="8">
        <v>-59558547.082835935</v>
      </c>
      <c r="F19" t="s">
        <v>55</v>
      </c>
    </row>
    <row r="20" spans="1:6" x14ac:dyDescent="0.25">
      <c r="A20" s="4">
        <v>20151030</v>
      </c>
      <c r="B20" t="s">
        <v>6</v>
      </c>
      <c r="C20" t="s">
        <v>72</v>
      </c>
      <c r="D20" t="s">
        <v>70</v>
      </c>
      <c r="E20" s="8">
        <v>29974165.473885179</v>
      </c>
      <c r="F20" t="s">
        <v>55</v>
      </c>
    </row>
    <row r="21" spans="1:6" x14ac:dyDescent="0.25">
      <c r="A21" s="4">
        <v>20151030</v>
      </c>
      <c r="B21" t="s">
        <v>6</v>
      </c>
      <c r="C21" t="s">
        <v>73</v>
      </c>
      <c r="D21" t="s">
        <v>70</v>
      </c>
      <c r="E21" s="8">
        <v>0</v>
      </c>
      <c r="F21" t="s">
        <v>55</v>
      </c>
    </row>
    <row r="22" spans="1:6" x14ac:dyDescent="0.25">
      <c r="A22" s="4">
        <v>20151030</v>
      </c>
      <c r="B22" t="s">
        <v>6</v>
      </c>
      <c r="C22" t="s">
        <v>84</v>
      </c>
      <c r="D22" t="s">
        <v>70</v>
      </c>
      <c r="E22" s="8">
        <v>-4937619.7116067372</v>
      </c>
      <c r="F22" t="s">
        <v>55</v>
      </c>
    </row>
    <row r="23" spans="1:6" x14ac:dyDescent="0.25">
      <c r="A23" s="4">
        <v>20151030</v>
      </c>
      <c r="B23" t="s">
        <v>6</v>
      </c>
      <c r="C23" t="s">
        <v>85</v>
      </c>
      <c r="D23" t="s">
        <v>70</v>
      </c>
      <c r="E23" s="8">
        <v>-378283.05041150452</v>
      </c>
      <c r="F23" t="s">
        <v>55</v>
      </c>
    </row>
    <row r="24" spans="1:6" x14ac:dyDescent="0.25">
      <c r="A24" s="4">
        <v>20151030</v>
      </c>
      <c r="B24" t="s">
        <v>6</v>
      </c>
      <c r="C24" t="s">
        <v>73</v>
      </c>
      <c r="D24" t="s">
        <v>91</v>
      </c>
      <c r="E24" s="8">
        <v>0</v>
      </c>
      <c r="F24" t="s">
        <v>55</v>
      </c>
    </row>
    <row r="25" spans="1:6" x14ac:dyDescent="0.25">
      <c r="A25" s="4">
        <v>20151030</v>
      </c>
      <c r="B25" t="s">
        <v>6</v>
      </c>
      <c r="C25" t="s">
        <v>7</v>
      </c>
      <c r="D25" t="s">
        <v>92</v>
      </c>
      <c r="E25" s="8">
        <v>146103004.82009935</v>
      </c>
      <c r="F25" t="s">
        <v>55</v>
      </c>
    </row>
    <row r="26" spans="1:6" x14ac:dyDescent="0.25">
      <c r="A26" s="4">
        <v>20151030</v>
      </c>
      <c r="B26" t="s">
        <v>6</v>
      </c>
      <c r="C26" t="s">
        <v>95</v>
      </c>
      <c r="D26" t="s">
        <v>70</v>
      </c>
      <c r="E26" s="8">
        <v>-166639521.50642052</v>
      </c>
      <c r="F26" t="s">
        <v>55</v>
      </c>
    </row>
    <row r="27" spans="1:6" x14ac:dyDescent="0.25">
      <c r="A27" s="4">
        <v>20151030</v>
      </c>
      <c r="B27" t="s">
        <v>6</v>
      </c>
      <c r="C27" t="s">
        <v>7</v>
      </c>
      <c r="D27" t="s">
        <v>99</v>
      </c>
      <c r="E27" s="8">
        <v>292206009.64019871</v>
      </c>
      <c r="F27" t="s">
        <v>55</v>
      </c>
    </row>
    <row r="28" spans="1:6" x14ac:dyDescent="0.25">
      <c r="A28" s="4">
        <v>20151030</v>
      </c>
      <c r="B28" t="s">
        <v>6</v>
      </c>
      <c r="C28" t="s">
        <v>25</v>
      </c>
      <c r="D28" t="s">
        <v>99</v>
      </c>
      <c r="E28" s="8">
        <v>-166588721.91739058</v>
      </c>
      <c r="F28" t="s">
        <v>55</v>
      </c>
    </row>
    <row r="29" spans="1:6" x14ac:dyDescent="0.25">
      <c r="A29" s="4">
        <v>20151030</v>
      </c>
      <c r="B29" t="s">
        <v>8</v>
      </c>
      <c r="C29" t="s">
        <v>7</v>
      </c>
      <c r="D29" t="s">
        <v>14</v>
      </c>
      <c r="E29" s="8">
        <v>392554.2598772049</v>
      </c>
      <c r="F29" t="s">
        <v>55</v>
      </c>
    </row>
    <row r="30" spans="1:6" x14ac:dyDescent="0.25">
      <c r="A30" s="4">
        <v>20151030</v>
      </c>
      <c r="B30" t="s">
        <v>8</v>
      </c>
      <c r="C30" t="s">
        <v>7</v>
      </c>
      <c r="D30" t="s">
        <v>58</v>
      </c>
      <c r="E30" s="8">
        <v>-541.09673999607571</v>
      </c>
      <c r="F30" t="s">
        <v>55</v>
      </c>
    </row>
    <row r="31" spans="1:6" x14ac:dyDescent="0.25">
      <c r="A31" s="4">
        <v>20151030</v>
      </c>
      <c r="B31" t="s">
        <v>8</v>
      </c>
      <c r="C31" t="s">
        <v>7</v>
      </c>
      <c r="D31" t="s">
        <v>15</v>
      </c>
      <c r="E31" s="8">
        <v>195507533.16701597</v>
      </c>
      <c r="F31" t="s">
        <v>55</v>
      </c>
    </row>
    <row r="32" spans="1:6" x14ac:dyDescent="0.25">
      <c r="A32" s="4">
        <v>20151030</v>
      </c>
      <c r="B32" t="s">
        <v>8</v>
      </c>
      <c r="C32" t="s">
        <v>7</v>
      </c>
      <c r="D32" t="s">
        <v>16</v>
      </c>
      <c r="E32" s="8">
        <v>-5918385.488948822</v>
      </c>
      <c r="F32" t="s">
        <v>55</v>
      </c>
    </row>
    <row r="33" spans="1:6" x14ac:dyDescent="0.25">
      <c r="A33" s="4">
        <v>20151030</v>
      </c>
      <c r="B33" t="s">
        <v>8</v>
      </c>
      <c r="C33" t="s">
        <v>7</v>
      </c>
      <c r="D33" t="s">
        <v>17</v>
      </c>
      <c r="E33" s="8">
        <v>-64939700.032399535</v>
      </c>
      <c r="F33" t="s">
        <v>55</v>
      </c>
    </row>
    <row r="34" spans="1:6" x14ac:dyDescent="0.25">
      <c r="A34" s="4">
        <v>20151030</v>
      </c>
      <c r="B34" t="s">
        <v>8</v>
      </c>
      <c r="C34" t="s">
        <v>25</v>
      </c>
      <c r="D34" t="s">
        <v>14</v>
      </c>
      <c r="E34" s="8">
        <v>-392438.35528146499</v>
      </c>
      <c r="F34" t="s">
        <v>55</v>
      </c>
    </row>
    <row r="35" spans="1:6" x14ac:dyDescent="0.25">
      <c r="A35" s="4">
        <v>20151030</v>
      </c>
      <c r="B35" t="s">
        <v>8</v>
      </c>
      <c r="C35" t="s">
        <v>25</v>
      </c>
      <c r="D35" t="s">
        <v>58</v>
      </c>
      <c r="E35" s="8">
        <v>43.380636680311241</v>
      </c>
      <c r="F35" t="s">
        <v>55</v>
      </c>
    </row>
    <row r="36" spans="1:6" x14ac:dyDescent="0.25">
      <c r="A36" s="4">
        <v>20151030</v>
      </c>
      <c r="B36" t="s">
        <v>8</v>
      </c>
      <c r="C36" t="s">
        <v>25</v>
      </c>
      <c r="D36" t="s">
        <v>15</v>
      </c>
      <c r="E36" s="8">
        <v>-187277334.69283611</v>
      </c>
      <c r="F36" t="s">
        <v>55</v>
      </c>
    </row>
    <row r="37" spans="1:6" x14ac:dyDescent="0.25">
      <c r="A37" s="4">
        <v>20151030</v>
      </c>
      <c r="B37" t="s">
        <v>8</v>
      </c>
      <c r="C37" t="s">
        <v>25</v>
      </c>
      <c r="D37" t="s">
        <v>16</v>
      </c>
      <c r="E37" s="8">
        <v>648531.21875539131</v>
      </c>
      <c r="F37" t="s">
        <v>55</v>
      </c>
    </row>
    <row r="38" spans="1:6" x14ac:dyDescent="0.25">
      <c r="A38" s="4">
        <v>20151030</v>
      </c>
      <c r="B38" t="s">
        <v>8</v>
      </c>
      <c r="C38" t="s">
        <v>25</v>
      </c>
      <c r="D38" t="s">
        <v>17</v>
      </c>
      <c r="E38" s="8">
        <v>100926459.4183277</v>
      </c>
      <c r="F38" t="s">
        <v>55</v>
      </c>
    </row>
    <row r="39" spans="1:6" x14ac:dyDescent="0.25">
      <c r="A39" s="4">
        <v>20151030</v>
      </c>
      <c r="B39" t="s">
        <v>8</v>
      </c>
      <c r="C39" t="s">
        <v>27</v>
      </c>
      <c r="D39" t="s">
        <v>65</v>
      </c>
      <c r="E39" s="8">
        <v>0</v>
      </c>
      <c r="F39" t="s">
        <v>55</v>
      </c>
    </row>
    <row r="40" spans="1:6" x14ac:dyDescent="0.25">
      <c r="A40" s="4">
        <v>20151030</v>
      </c>
      <c r="B40" t="s">
        <v>8</v>
      </c>
      <c r="C40" t="s">
        <v>28</v>
      </c>
      <c r="D40" t="s">
        <v>65</v>
      </c>
      <c r="E40" s="8">
        <v>80366748.248584375</v>
      </c>
      <c r="F40" t="s">
        <v>55</v>
      </c>
    </row>
    <row r="41" spans="1:6" x14ac:dyDescent="0.25">
      <c r="A41" s="4">
        <v>20151030</v>
      </c>
      <c r="B41" t="s">
        <v>8</v>
      </c>
      <c r="C41" t="s">
        <v>83</v>
      </c>
      <c r="D41" t="s">
        <v>65</v>
      </c>
      <c r="E41" s="8">
        <v>881688.31138311245</v>
      </c>
      <c r="F41" t="s">
        <v>55</v>
      </c>
    </row>
    <row r="42" spans="1:6" x14ac:dyDescent="0.25">
      <c r="A42" s="4">
        <v>20151030</v>
      </c>
      <c r="B42" t="s">
        <v>8</v>
      </c>
      <c r="C42" t="s">
        <v>66</v>
      </c>
      <c r="D42" t="s">
        <v>65</v>
      </c>
      <c r="E42" s="8">
        <v>13844699.528595831</v>
      </c>
      <c r="F42" t="s">
        <v>55</v>
      </c>
    </row>
    <row r="43" spans="1:6" x14ac:dyDescent="0.25">
      <c r="A43" s="4">
        <v>20151030</v>
      </c>
      <c r="B43" t="s">
        <v>8</v>
      </c>
      <c r="C43" t="s">
        <v>26</v>
      </c>
      <c r="D43" t="s">
        <v>15</v>
      </c>
      <c r="E43" s="8">
        <v>-10874302.023958649</v>
      </c>
      <c r="F43" t="s">
        <v>55</v>
      </c>
    </row>
    <row r="44" spans="1:6" x14ac:dyDescent="0.25">
      <c r="A44" s="4">
        <v>20151030</v>
      </c>
      <c r="B44" t="s">
        <v>8</v>
      </c>
      <c r="C44" t="s">
        <v>25</v>
      </c>
      <c r="D44" t="s">
        <v>67</v>
      </c>
      <c r="E44" s="8">
        <v>120.42145316659681</v>
      </c>
      <c r="F44" t="s">
        <v>55</v>
      </c>
    </row>
    <row r="45" spans="1:6" x14ac:dyDescent="0.25">
      <c r="A45" s="4">
        <v>20151030</v>
      </c>
      <c r="B45" t="s">
        <v>8</v>
      </c>
      <c r="C45" t="s">
        <v>69</v>
      </c>
      <c r="D45" t="s">
        <v>70</v>
      </c>
      <c r="E45" s="8">
        <v>-147171400.43724427</v>
      </c>
      <c r="F45" t="s">
        <v>55</v>
      </c>
    </row>
    <row r="46" spans="1:6" x14ac:dyDescent="0.25">
      <c r="A46" s="4">
        <v>20151030</v>
      </c>
      <c r="B46" t="s">
        <v>8</v>
      </c>
      <c r="C46" t="s">
        <v>71</v>
      </c>
      <c r="D46" t="s">
        <v>70</v>
      </c>
      <c r="E46" s="8">
        <v>-38456485.92379798</v>
      </c>
      <c r="F46" t="s">
        <v>55</v>
      </c>
    </row>
    <row r="47" spans="1:6" x14ac:dyDescent="0.25">
      <c r="A47" s="4">
        <v>20151030</v>
      </c>
      <c r="B47" t="s">
        <v>8</v>
      </c>
      <c r="C47" t="s">
        <v>72</v>
      </c>
      <c r="D47" t="s">
        <v>70</v>
      </c>
      <c r="E47" s="8">
        <v>0</v>
      </c>
      <c r="F47" t="s">
        <v>55</v>
      </c>
    </row>
    <row r="48" spans="1:6" x14ac:dyDescent="0.25">
      <c r="A48" s="4">
        <v>20151030</v>
      </c>
      <c r="B48" t="s">
        <v>8</v>
      </c>
      <c r="C48" t="s">
        <v>73</v>
      </c>
      <c r="D48" t="s">
        <v>70</v>
      </c>
      <c r="E48" s="8">
        <v>0</v>
      </c>
      <c r="F48" t="s">
        <v>55</v>
      </c>
    </row>
    <row r="49" spans="1:6" x14ac:dyDescent="0.25">
      <c r="A49" s="4">
        <v>20151030</v>
      </c>
      <c r="B49" t="s">
        <v>8</v>
      </c>
      <c r="C49" t="s">
        <v>84</v>
      </c>
      <c r="D49" t="s">
        <v>70</v>
      </c>
      <c r="E49" s="8">
        <v>-1072627.781767217</v>
      </c>
      <c r="F49" t="s">
        <v>55</v>
      </c>
    </row>
    <row r="50" spans="1:6" x14ac:dyDescent="0.25">
      <c r="A50" s="4">
        <v>20151030</v>
      </c>
      <c r="B50" t="s">
        <v>8</v>
      </c>
      <c r="C50" t="s">
        <v>85</v>
      </c>
      <c r="D50" t="s">
        <v>70</v>
      </c>
      <c r="E50" s="8">
        <v>-603234.17434612708</v>
      </c>
      <c r="F50" t="s">
        <v>55</v>
      </c>
    </row>
    <row r="51" spans="1:6" x14ac:dyDescent="0.25">
      <c r="A51" s="4">
        <v>20151030</v>
      </c>
      <c r="B51" t="s">
        <v>8</v>
      </c>
      <c r="C51" t="s">
        <v>73</v>
      </c>
      <c r="D51" t="s">
        <v>91</v>
      </c>
      <c r="E51" s="8">
        <v>0</v>
      </c>
      <c r="F51" t="s">
        <v>55</v>
      </c>
    </row>
    <row r="52" spans="1:6" x14ac:dyDescent="0.25">
      <c r="A52" s="4">
        <v>20151030</v>
      </c>
      <c r="B52" t="s">
        <v>8</v>
      </c>
      <c r="C52" t="s">
        <v>7</v>
      </c>
      <c r="D52" t="s">
        <v>92</v>
      </c>
      <c r="E52" s="8">
        <v>29245525.921699941</v>
      </c>
      <c r="F52" t="s">
        <v>55</v>
      </c>
    </row>
    <row r="53" spans="1:6" x14ac:dyDescent="0.25">
      <c r="A53" s="4">
        <v>20151030</v>
      </c>
      <c r="B53" t="s">
        <v>8</v>
      </c>
      <c r="C53" t="s">
        <v>95</v>
      </c>
      <c r="D53" t="s">
        <v>70</v>
      </c>
      <c r="E53" s="8">
        <v>0</v>
      </c>
      <c r="F53" t="s">
        <v>55</v>
      </c>
    </row>
    <row r="54" spans="1:6" x14ac:dyDescent="0.25">
      <c r="A54" s="4">
        <v>20151030</v>
      </c>
      <c r="B54" t="s">
        <v>8</v>
      </c>
      <c r="C54" t="s">
        <v>7</v>
      </c>
      <c r="D54" t="s">
        <v>99</v>
      </c>
      <c r="E54" s="8">
        <v>58491051.843399882</v>
      </c>
      <c r="F54" t="s">
        <v>55</v>
      </c>
    </row>
    <row r="55" spans="1:6" x14ac:dyDescent="0.25">
      <c r="A55" s="4">
        <v>20151030</v>
      </c>
      <c r="B55" t="s">
        <v>8</v>
      </c>
      <c r="C55" t="s">
        <v>25</v>
      </c>
      <c r="D55" t="s">
        <v>99</v>
      </c>
      <c r="E55" s="8">
        <v>0</v>
      </c>
      <c r="F55" t="s">
        <v>55</v>
      </c>
    </row>
    <row r="56" spans="1:6" x14ac:dyDescent="0.25">
      <c r="A56" s="4">
        <v>20151030</v>
      </c>
      <c r="B56" t="s">
        <v>9</v>
      </c>
      <c r="C56" t="s">
        <v>7</v>
      </c>
      <c r="D56" t="s">
        <v>14</v>
      </c>
      <c r="E56" s="8">
        <v>189266.20137143135</v>
      </c>
      <c r="F56" t="s">
        <v>9</v>
      </c>
    </row>
    <row r="57" spans="1:6" x14ac:dyDescent="0.25">
      <c r="A57" s="4">
        <v>20151030</v>
      </c>
      <c r="B57" t="s">
        <v>9</v>
      </c>
      <c r="C57" t="s">
        <v>7</v>
      </c>
      <c r="D57" t="s">
        <v>58</v>
      </c>
      <c r="E57" s="8">
        <v>-69.598703998899424</v>
      </c>
      <c r="F57" t="s">
        <v>9</v>
      </c>
    </row>
    <row r="58" spans="1:6" x14ac:dyDescent="0.25">
      <c r="A58" s="4">
        <v>20151030</v>
      </c>
      <c r="B58" t="s">
        <v>9</v>
      </c>
      <c r="C58" t="s">
        <v>7</v>
      </c>
      <c r="D58" t="s">
        <v>15</v>
      </c>
      <c r="E58" s="8">
        <v>117975511.79943456</v>
      </c>
      <c r="F58" t="s">
        <v>9</v>
      </c>
    </row>
    <row r="59" spans="1:6" x14ac:dyDescent="0.25">
      <c r="A59" s="4">
        <v>20151030</v>
      </c>
      <c r="B59" t="s">
        <v>9</v>
      </c>
      <c r="C59" t="s">
        <v>7</v>
      </c>
      <c r="D59" t="s">
        <v>16</v>
      </c>
      <c r="E59" s="8">
        <v>177080.76736915112</v>
      </c>
      <c r="F59" t="s">
        <v>9</v>
      </c>
    </row>
    <row r="60" spans="1:6" x14ac:dyDescent="0.25">
      <c r="A60" s="4">
        <v>20151030</v>
      </c>
      <c r="B60" t="s">
        <v>9</v>
      </c>
      <c r="C60" t="s">
        <v>7</v>
      </c>
      <c r="D60" t="s">
        <v>17</v>
      </c>
      <c r="E60" s="8">
        <v>-39108360.400000028</v>
      </c>
      <c r="F60" t="s">
        <v>9</v>
      </c>
    </row>
    <row r="61" spans="1:6" x14ac:dyDescent="0.25">
      <c r="A61" s="4">
        <v>20151030</v>
      </c>
      <c r="B61" t="s">
        <v>9</v>
      </c>
      <c r="C61" t="s">
        <v>25</v>
      </c>
      <c r="D61" t="s">
        <v>14</v>
      </c>
      <c r="E61" s="8">
        <v>-189286.47079628191</v>
      </c>
      <c r="F61" t="s">
        <v>9</v>
      </c>
    </row>
    <row r="62" spans="1:6" x14ac:dyDescent="0.25">
      <c r="A62" s="4">
        <v>20151030</v>
      </c>
      <c r="B62" t="s">
        <v>9</v>
      </c>
      <c r="C62" t="s">
        <v>25</v>
      </c>
      <c r="D62" t="s">
        <v>58</v>
      </c>
      <c r="E62" s="8">
        <v>59.153156815133229</v>
      </c>
      <c r="F62" t="s">
        <v>9</v>
      </c>
    </row>
    <row r="63" spans="1:6" x14ac:dyDescent="0.25">
      <c r="A63" s="4">
        <v>20151030</v>
      </c>
      <c r="B63" t="s">
        <v>9</v>
      </c>
      <c r="C63" t="s">
        <v>25</v>
      </c>
      <c r="D63" t="s">
        <v>15</v>
      </c>
      <c r="E63" s="8">
        <v>-119368213.33112982</v>
      </c>
      <c r="F63" t="s">
        <v>9</v>
      </c>
    </row>
    <row r="64" spans="1:6" x14ac:dyDescent="0.25">
      <c r="A64" s="4">
        <v>20151030</v>
      </c>
      <c r="B64" t="s">
        <v>9</v>
      </c>
      <c r="C64" t="s">
        <v>25</v>
      </c>
      <c r="D64" t="s">
        <v>16</v>
      </c>
      <c r="E64" s="8">
        <v>327623.20928327891</v>
      </c>
      <c r="F64" t="s">
        <v>9</v>
      </c>
    </row>
    <row r="65" spans="1:6" x14ac:dyDescent="0.25">
      <c r="A65" s="4">
        <v>20151030</v>
      </c>
      <c r="B65" t="s">
        <v>9</v>
      </c>
      <c r="C65" t="s">
        <v>25</v>
      </c>
      <c r="D65" t="s">
        <v>17</v>
      </c>
      <c r="E65" s="8">
        <v>65282523.260357521</v>
      </c>
      <c r="F65" t="s">
        <v>9</v>
      </c>
    </row>
    <row r="66" spans="1:6" x14ac:dyDescent="0.25">
      <c r="A66" s="4">
        <v>20151030</v>
      </c>
      <c r="B66" t="s">
        <v>9</v>
      </c>
      <c r="C66" t="s">
        <v>27</v>
      </c>
      <c r="D66" t="s">
        <v>65</v>
      </c>
      <c r="E66" s="8">
        <v>10887650.005880686</v>
      </c>
      <c r="F66" t="s">
        <v>9</v>
      </c>
    </row>
    <row r="67" spans="1:6" x14ac:dyDescent="0.25">
      <c r="A67" s="4">
        <v>20151030</v>
      </c>
      <c r="B67" t="s">
        <v>9</v>
      </c>
      <c r="C67" t="s">
        <v>28</v>
      </c>
      <c r="D67" t="s">
        <v>65</v>
      </c>
      <c r="E67" s="8">
        <v>37157079.431666106</v>
      </c>
      <c r="F67" t="s">
        <v>9</v>
      </c>
    </row>
    <row r="68" spans="1:6" x14ac:dyDescent="0.25">
      <c r="A68" s="4">
        <v>20151030</v>
      </c>
      <c r="B68" t="s">
        <v>9</v>
      </c>
      <c r="C68" t="s">
        <v>83</v>
      </c>
      <c r="D68" t="s">
        <v>65</v>
      </c>
      <c r="E68" s="8">
        <v>166899.46081718049</v>
      </c>
      <c r="F68" t="s">
        <v>9</v>
      </c>
    </row>
    <row r="69" spans="1:6" x14ac:dyDescent="0.25">
      <c r="A69" s="4">
        <v>20151030</v>
      </c>
      <c r="B69" t="s">
        <v>9</v>
      </c>
      <c r="C69" t="s">
        <v>66</v>
      </c>
      <c r="D69" t="s">
        <v>65</v>
      </c>
      <c r="E69" s="8">
        <v>1745756.4837634398</v>
      </c>
      <c r="F69" t="s">
        <v>9</v>
      </c>
    </row>
    <row r="70" spans="1:6" x14ac:dyDescent="0.25">
      <c r="A70" s="4">
        <v>20151030</v>
      </c>
      <c r="B70" t="s">
        <v>9</v>
      </c>
      <c r="C70" t="s">
        <v>26</v>
      </c>
      <c r="D70" t="s">
        <v>15</v>
      </c>
      <c r="E70" s="8">
        <v>-7213699.465495646</v>
      </c>
      <c r="F70" t="s">
        <v>9</v>
      </c>
    </row>
    <row r="71" spans="1:6" x14ac:dyDescent="0.25">
      <c r="A71" s="4">
        <v>20151030</v>
      </c>
      <c r="B71" t="s">
        <v>9</v>
      </c>
      <c r="C71" t="s">
        <v>25</v>
      </c>
      <c r="D71" t="s">
        <v>67</v>
      </c>
      <c r="E71" s="8">
        <v>152.29682486746901</v>
      </c>
      <c r="F71" t="s">
        <v>9</v>
      </c>
    </row>
    <row r="72" spans="1:6" x14ac:dyDescent="0.25">
      <c r="A72" s="4">
        <v>20151030</v>
      </c>
      <c r="B72" t="s">
        <v>9</v>
      </c>
      <c r="C72" t="s">
        <v>69</v>
      </c>
      <c r="D72" t="s">
        <v>70</v>
      </c>
      <c r="E72" s="8">
        <v>-101089325.20064412</v>
      </c>
      <c r="F72" t="s">
        <v>9</v>
      </c>
    </row>
    <row r="73" spans="1:6" x14ac:dyDescent="0.25">
      <c r="A73" s="4">
        <v>20151030</v>
      </c>
      <c r="B73" t="s">
        <v>9</v>
      </c>
      <c r="C73" t="s">
        <v>71</v>
      </c>
      <c r="D73" t="s">
        <v>70</v>
      </c>
      <c r="E73" s="8">
        <v>-7181217.0845456515</v>
      </c>
      <c r="F73" t="s">
        <v>9</v>
      </c>
    </row>
    <row r="74" spans="1:6" x14ac:dyDescent="0.25">
      <c r="A74" s="4">
        <v>20151030</v>
      </c>
      <c r="B74" t="s">
        <v>9</v>
      </c>
      <c r="C74" t="s">
        <v>72</v>
      </c>
      <c r="D74" t="s">
        <v>70</v>
      </c>
      <c r="E74" s="8">
        <v>1951687.3232291711</v>
      </c>
      <c r="F74" t="s">
        <v>9</v>
      </c>
    </row>
    <row r="75" spans="1:6" x14ac:dyDescent="0.25">
      <c r="A75" s="4">
        <v>20151030</v>
      </c>
      <c r="B75" t="s">
        <v>9</v>
      </c>
      <c r="C75" t="s">
        <v>73</v>
      </c>
      <c r="D75" t="s">
        <v>70</v>
      </c>
      <c r="E75" s="8">
        <v>0</v>
      </c>
      <c r="F75" t="s">
        <v>9</v>
      </c>
    </row>
    <row r="76" spans="1:6" x14ac:dyDescent="0.25">
      <c r="A76" s="4">
        <v>20151030</v>
      </c>
      <c r="B76" t="s">
        <v>9</v>
      </c>
      <c r="C76" t="s">
        <v>84</v>
      </c>
      <c r="D76" t="s">
        <v>70</v>
      </c>
      <c r="E76" s="8">
        <v>-486445.76408089779</v>
      </c>
      <c r="F76" t="s">
        <v>9</v>
      </c>
    </row>
    <row r="77" spans="1:6" x14ac:dyDescent="0.25">
      <c r="A77" s="4">
        <v>20151030</v>
      </c>
      <c r="B77" t="s">
        <v>9</v>
      </c>
      <c r="C77" t="s">
        <v>85</v>
      </c>
      <c r="D77" t="s">
        <v>70</v>
      </c>
      <c r="E77" s="8">
        <v>-142074.25319588333</v>
      </c>
      <c r="F77" t="s">
        <v>9</v>
      </c>
    </row>
    <row r="78" spans="1:6" x14ac:dyDescent="0.25">
      <c r="A78" s="4">
        <v>20151030</v>
      </c>
      <c r="B78" t="s">
        <v>9</v>
      </c>
      <c r="C78" t="s">
        <v>73</v>
      </c>
      <c r="D78" t="s">
        <v>91</v>
      </c>
      <c r="E78" s="8">
        <v>0</v>
      </c>
      <c r="F78" t="s">
        <v>9</v>
      </c>
    </row>
    <row r="79" spans="1:6" x14ac:dyDescent="0.25">
      <c r="A79" s="4">
        <v>20151030</v>
      </c>
      <c r="B79" t="s">
        <v>9</v>
      </c>
      <c r="C79" t="s">
        <v>7</v>
      </c>
      <c r="D79" t="s">
        <v>92</v>
      </c>
      <c r="E79" s="8">
        <v>15929586.238999926</v>
      </c>
      <c r="F79" t="s">
        <v>9</v>
      </c>
    </row>
    <row r="80" spans="1:6" x14ac:dyDescent="0.25">
      <c r="A80" s="4">
        <v>20151030</v>
      </c>
      <c r="B80" t="s">
        <v>9</v>
      </c>
      <c r="C80" t="s">
        <v>95</v>
      </c>
      <c r="D80" t="s">
        <v>70</v>
      </c>
      <c r="E80" s="8">
        <v>-12413887.398124237</v>
      </c>
      <c r="F80" t="s">
        <v>9</v>
      </c>
    </row>
    <row r="81" spans="1:6" x14ac:dyDescent="0.25">
      <c r="A81" s="4">
        <v>20151030</v>
      </c>
      <c r="B81" t="s">
        <v>9</v>
      </c>
      <c r="C81" t="s">
        <v>7</v>
      </c>
      <c r="D81" t="s">
        <v>99</v>
      </c>
      <c r="E81" s="8">
        <v>31859172.477999851</v>
      </c>
      <c r="F81" t="s">
        <v>9</v>
      </c>
    </row>
    <row r="82" spans="1:6" x14ac:dyDescent="0.25">
      <c r="A82" s="4">
        <v>20151030</v>
      </c>
      <c r="B82" t="s">
        <v>9</v>
      </c>
      <c r="C82" t="s">
        <v>25</v>
      </c>
      <c r="D82" t="s">
        <v>99</v>
      </c>
      <c r="E82" s="8">
        <v>-12409953.365168368</v>
      </c>
      <c r="F82" t="s">
        <v>9</v>
      </c>
    </row>
    <row r="83" spans="1:6" x14ac:dyDescent="0.25">
      <c r="A83" s="4">
        <v>20151030</v>
      </c>
      <c r="B83" t="s">
        <v>10</v>
      </c>
      <c r="C83" t="s">
        <v>7</v>
      </c>
      <c r="D83" t="s">
        <v>14</v>
      </c>
      <c r="E83" s="8">
        <v>66902.22488617897</v>
      </c>
      <c r="F83" t="s">
        <v>56</v>
      </c>
    </row>
    <row r="84" spans="1:6" x14ac:dyDescent="0.25">
      <c r="A84" s="4">
        <v>20151030</v>
      </c>
      <c r="B84" t="s">
        <v>10</v>
      </c>
      <c r="C84" t="s">
        <v>7</v>
      </c>
      <c r="D84" t="s">
        <v>58</v>
      </c>
      <c r="E84" s="8">
        <v>-233.77528400182723</v>
      </c>
      <c r="F84" t="s">
        <v>56</v>
      </c>
    </row>
    <row r="85" spans="1:6" x14ac:dyDescent="0.25">
      <c r="A85" s="4">
        <v>20151030</v>
      </c>
      <c r="B85" t="s">
        <v>10</v>
      </c>
      <c r="C85" t="s">
        <v>7</v>
      </c>
      <c r="D85" t="s">
        <v>15</v>
      </c>
      <c r="E85" s="8">
        <v>78340038.874884129</v>
      </c>
      <c r="F85" t="s">
        <v>56</v>
      </c>
    </row>
    <row r="86" spans="1:6" x14ac:dyDescent="0.25">
      <c r="A86" s="4">
        <v>20151030</v>
      </c>
      <c r="B86" t="s">
        <v>10</v>
      </c>
      <c r="C86" t="s">
        <v>7</v>
      </c>
      <c r="D86" t="s">
        <v>16</v>
      </c>
      <c r="E86" s="8">
        <v>-2705483.5447947085</v>
      </c>
      <c r="F86" t="s">
        <v>56</v>
      </c>
    </row>
    <row r="87" spans="1:6" x14ac:dyDescent="0.25">
      <c r="A87" s="4">
        <v>20151030</v>
      </c>
      <c r="B87" t="s">
        <v>10</v>
      </c>
      <c r="C87" t="s">
        <v>7</v>
      </c>
      <c r="D87" t="s">
        <v>17</v>
      </c>
      <c r="E87" s="8">
        <v>-24283530.905199945</v>
      </c>
      <c r="F87" t="s">
        <v>56</v>
      </c>
    </row>
    <row r="88" spans="1:6" x14ac:dyDescent="0.25">
      <c r="A88" s="4">
        <v>20151030</v>
      </c>
      <c r="B88" t="s">
        <v>10</v>
      </c>
      <c r="C88" t="s">
        <v>25</v>
      </c>
      <c r="D88" t="s">
        <v>14</v>
      </c>
      <c r="E88" s="8">
        <v>-66986.382732531827</v>
      </c>
      <c r="F88" t="s">
        <v>56</v>
      </c>
    </row>
    <row r="89" spans="1:6" x14ac:dyDescent="0.25">
      <c r="A89" s="4">
        <v>20151030</v>
      </c>
      <c r="B89" t="s">
        <v>10</v>
      </c>
      <c r="C89" t="s">
        <v>25</v>
      </c>
      <c r="D89" t="s">
        <v>58</v>
      </c>
      <c r="E89" s="8">
        <v>138.48935593642145</v>
      </c>
      <c r="F89" t="s">
        <v>56</v>
      </c>
    </row>
    <row r="90" spans="1:6" x14ac:dyDescent="0.25">
      <c r="A90" s="4">
        <v>20151030</v>
      </c>
      <c r="B90" t="s">
        <v>10</v>
      </c>
      <c r="C90" t="s">
        <v>25</v>
      </c>
      <c r="D90" t="s">
        <v>15</v>
      </c>
      <c r="E90" s="8">
        <v>-77527913.258004069</v>
      </c>
      <c r="F90" t="s">
        <v>56</v>
      </c>
    </row>
    <row r="91" spans="1:6" x14ac:dyDescent="0.25">
      <c r="A91" s="4">
        <v>20151030</v>
      </c>
      <c r="B91" t="s">
        <v>10</v>
      </c>
      <c r="C91" t="s">
        <v>25</v>
      </c>
      <c r="D91" t="s">
        <v>16</v>
      </c>
      <c r="E91" s="8">
        <v>2713277.4459181922</v>
      </c>
      <c r="F91" t="s">
        <v>56</v>
      </c>
    </row>
    <row r="92" spans="1:6" x14ac:dyDescent="0.25">
      <c r="A92" s="4">
        <v>20151030</v>
      </c>
      <c r="B92" t="s">
        <v>10</v>
      </c>
      <c r="C92" t="s">
        <v>25</v>
      </c>
      <c r="D92" t="s">
        <v>17</v>
      </c>
      <c r="E92" s="8">
        <v>16269726.901850587</v>
      </c>
      <c r="F92" t="s">
        <v>56</v>
      </c>
    </row>
    <row r="93" spans="1:6" x14ac:dyDescent="0.25">
      <c r="A93" s="4">
        <v>20151030</v>
      </c>
      <c r="B93" t="s">
        <v>10</v>
      </c>
      <c r="C93" t="s">
        <v>27</v>
      </c>
      <c r="D93" t="s">
        <v>65</v>
      </c>
      <c r="E93" s="8">
        <v>131359.12951311583</v>
      </c>
      <c r="F93" t="s">
        <v>56</v>
      </c>
    </row>
    <row r="94" spans="1:6" x14ac:dyDescent="0.25">
      <c r="A94" s="4">
        <v>20151030</v>
      </c>
      <c r="B94" t="s">
        <v>10</v>
      </c>
      <c r="C94" t="s">
        <v>28</v>
      </c>
      <c r="D94" t="s">
        <v>65</v>
      </c>
      <c r="E94" s="8">
        <v>12686247.774764176</v>
      </c>
      <c r="F94" t="s">
        <v>56</v>
      </c>
    </row>
    <row r="95" spans="1:6" x14ac:dyDescent="0.25">
      <c r="A95" s="4">
        <v>20151030</v>
      </c>
      <c r="B95" t="s">
        <v>10</v>
      </c>
      <c r="C95" t="s">
        <v>83</v>
      </c>
      <c r="D95" t="s">
        <v>65</v>
      </c>
      <c r="E95" s="8">
        <v>81185.917082322572</v>
      </c>
      <c r="F95" t="s">
        <v>56</v>
      </c>
    </row>
    <row r="96" spans="1:6" x14ac:dyDescent="0.25">
      <c r="A96" s="4">
        <v>20151030</v>
      </c>
      <c r="B96" t="s">
        <v>10</v>
      </c>
      <c r="C96" t="s">
        <v>66</v>
      </c>
      <c r="D96" t="s">
        <v>65</v>
      </c>
      <c r="E96" s="8">
        <v>744141.76221005095</v>
      </c>
      <c r="F96" t="s">
        <v>56</v>
      </c>
    </row>
    <row r="97" spans="1:6" x14ac:dyDescent="0.25">
      <c r="A97" s="4">
        <v>20151030</v>
      </c>
      <c r="B97" t="s">
        <v>10</v>
      </c>
      <c r="C97" t="s">
        <v>26</v>
      </c>
      <c r="D97" t="s">
        <v>15</v>
      </c>
      <c r="E97" s="8">
        <v>-427202.78704600414</v>
      </c>
      <c r="F97" t="s">
        <v>56</v>
      </c>
    </row>
    <row r="98" spans="1:6" x14ac:dyDescent="0.25">
      <c r="A98" s="4">
        <v>20151030</v>
      </c>
      <c r="B98" t="s">
        <v>10</v>
      </c>
      <c r="C98" t="s">
        <v>25</v>
      </c>
      <c r="D98" t="s">
        <v>67</v>
      </c>
      <c r="E98" s="8">
        <v>216.1995603305198</v>
      </c>
      <c r="F98" t="s">
        <v>56</v>
      </c>
    </row>
    <row r="99" spans="1:6" x14ac:dyDescent="0.25">
      <c r="A99" s="4">
        <v>20151030</v>
      </c>
      <c r="B99" t="s">
        <v>10</v>
      </c>
      <c r="C99" t="s">
        <v>69</v>
      </c>
      <c r="D99" t="s">
        <v>70</v>
      </c>
      <c r="E99" s="8">
        <v>-49529961.731415138</v>
      </c>
      <c r="F99" t="s">
        <v>56</v>
      </c>
    </row>
    <row r="100" spans="1:6" x14ac:dyDescent="0.25">
      <c r="A100" s="4">
        <v>20151030</v>
      </c>
      <c r="B100" t="s">
        <v>10</v>
      </c>
      <c r="C100" t="s">
        <v>71</v>
      </c>
      <c r="D100" t="s">
        <v>70</v>
      </c>
      <c r="E100" s="8">
        <v>-3547909.1079348754</v>
      </c>
      <c r="F100" t="s">
        <v>56</v>
      </c>
    </row>
    <row r="101" spans="1:6" x14ac:dyDescent="0.25">
      <c r="A101" s="4">
        <v>20151030</v>
      </c>
      <c r="B101" t="s">
        <v>10</v>
      </c>
      <c r="C101" t="s">
        <v>72</v>
      </c>
      <c r="D101" t="s">
        <v>70</v>
      </c>
      <c r="E101" s="8">
        <v>4334561.3806601344</v>
      </c>
      <c r="F101" t="s">
        <v>56</v>
      </c>
    </row>
    <row r="102" spans="1:6" x14ac:dyDescent="0.25">
      <c r="A102" s="4">
        <v>20151030</v>
      </c>
      <c r="B102" t="s">
        <v>10</v>
      </c>
      <c r="C102" t="s">
        <v>73</v>
      </c>
      <c r="D102" t="s">
        <v>70</v>
      </c>
      <c r="E102" s="8">
        <v>0</v>
      </c>
      <c r="F102" t="s">
        <v>56</v>
      </c>
    </row>
    <row r="103" spans="1:6" x14ac:dyDescent="0.25">
      <c r="A103" s="4">
        <v>20151030</v>
      </c>
      <c r="B103" t="s">
        <v>10</v>
      </c>
      <c r="C103" t="s">
        <v>84</v>
      </c>
      <c r="D103" t="s">
        <v>70</v>
      </c>
      <c r="E103" s="8">
        <v>-22289.710765891679</v>
      </c>
      <c r="F103" t="s">
        <v>56</v>
      </c>
    </row>
    <row r="104" spans="1:6" x14ac:dyDescent="0.25">
      <c r="A104" s="4">
        <v>20151030</v>
      </c>
      <c r="B104" t="s">
        <v>10</v>
      </c>
      <c r="C104" t="s">
        <v>85</v>
      </c>
      <c r="D104" t="s">
        <v>70</v>
      </c>
      <c r="E104" s="8">
        <v>-2581278.3044906603</v>
      </c>
      <c r="F104" t="s">
        <v>56</v>
      </c>
    </row>
    <row r="105" spans="1:6" x14ac:dyDescent="0.25">
      <c r="A105" s="4">
        <v>20151030</v>
      </c>
      <c r="B105" t="s">
        <v>10</v>
      </c>
      <c r="C105" t="s">
        <v>73</v>
      </c>
      <c r="D105" t="s">
        <v>91</v>
      </c>
      <c r="E105" s="8">
        <v>0</v>
      </c>
      <c r="F105" t="s">
        <v>56</v>
      </c>
    </row>
    <row r="106" spans="1:6" x14ac:dyDescent="0.25">
      <c r="A106" s="4">
        <v>20151030</v>
      </c>
      <c r="B106" t="s">
        <v>10</v>
      </c>
      <c r="C106" t="s">
        <v>7</v>
      </c>
      <c r="D106" t="s">
        <v>92</v>
      </c>
      <c r="E106" s="8">
        <v>7673208.3367999196</v>
      </c>
      <c r="F106" t="s">
        <v>56</v>
      </c>
    </row>
    <row r="107" spans="1:6" x14ac:dyDescent="0.25">
      <c r="A107" s="4">
        <v>20151030</v>
      </c>
      <c r="B107" t="s">
        <v>10</v>
      </c>
      <c r="C107" t="s">
        <v>95</v>
      </c>
      <c r="D107" t="s">
        <v>70</v>
      </c>
      <c r="E107" s="8">
        <v>-26177560.30717352</v>
      </c>
      <c r="F107" t="s">
        <v>56</v>
      </c>
    </row>
    <row r="108" spans="1:6" x14ac:dyDescent="0.25">
      <c r="A108" s="4">
        <v>20151030</v>
      </c>
      <c r="B108" t="s">
        <v>10</v>
      </c>
      <c r="C108" t="s">
        <v>7</v>
      </c>
      <c r="D108" t="s">
        <v>99</v>
      </c>
      <c r="E108" s="8">
        <v>15346416.673599839</v>
      </c>
      <c r="F108" t="s">
        <v>56</v>
      </c>
    </row>
    <row r="109" spans="1:6" x14ac:dyDescent="0.25">
      <c r="A109" s="4">
        <v>20151030</v>
      </c>
      <c r="B109" t="s">
        <v>10</v>
      </c>
      <c r="C109" t="s">
        <v>25</v>
      </c>
      <c r="D109" t="s">
        <v>99</v>
      </c>
      <c r="E109" s="8">
        <v>-26169534.325465977</v>
      </c>
      <c r="F109" t="s">
        <v>56</v>
      </c>
    </row>
    <row r="110" spans="1:6" x14ac:dyDescent="0.25">
      <c r="A110" s="4">
        <v>20151030</v>
      </c>
      <c r="B110" t="s">
        <v>11</v>
      </c>
      <c r="C110" t="s">
        <v>7</v>
      </c>
      <c r="D110" t="s">
        <v>14</v>
      </c>
      <c r="E110" s="8">
        <v>88895.112281799316</v>
      </c>
      <c r="F110" t="s">
        <v>56</v>
      </c>
    </row>
    <row r="111" spans="1:6" x14ac:dyDescent="0.25">
      <c r="A111" s="4">
        <v>20151030</v>
      </c>
      <c r="B111" t="s">
        <v>11</v>
      </c>
      <c r="C111" t="s">
        <v>7</v>
      </c>
      <c r="D111" t="s">
        <v>58</v>
      </c>
      <c r="E111" s="8">
        <v>-37.961772000193591</v>
      </c>
      <c r="F111" t="s">
        <v>56</v>
      </c>
    </row>
    <row r="112" spans="1:6" x14ac:dyDescent="0.25">
      <c r="A112" s="4">
        <v>20151030</v>
      </c>
      <c r="B112" t="s">
        <v>11</v>
      </c>
      <c r="C112" t="s">
        <v>7</v>
      </c>
      <c r="D112" t="s">
        <v>15</v>
      </c>
      <c r="E112" s="8">
        <v>72399153.11897862</v>
      </c>
      <c r="F112" t="s">
        <v>56</v>
      </c>
    </row>
    <row r="113" spans="1:6" x14ac:dyDescent="0.25">
      <c r="A113" s="4">
        <v>20151030</v>
      </c>
      <c r="B113" t="s">
        <v>11</v>
      </c>
      <c r="C113" t="s">
        <v>7</v>
      </c>
      <c r="D113" t="s">
        <v>16</v>
      </c>
      <c r="E113" s="8">
        <v>-352766.46276271343</v>
      </c>
      <c r="F113" t="s">
        <v>56</v>
      </c>
    </row>
    <row r="114" spans="1:6" x14ac:dyDescent="0.25">
      <c r="A114" s="4">
        <v>20151030</v>
      </c>
      <c r="B114" t="s">
        <v>11</v>
      </c>
      <c r="C114" t="s">
        <v>7</v>
      </c>
      <c r="D114" t="s">
        <v>17</v>
      </c>
      <c r="E114" s="8">
        <v>-28603482.820400178</v>
      </c>
      <c r="F114" t="s">
        <v>56</v>
      </c>
    </row>
    <row r="115" spans="1:6" x14ac:dyDescent="0.25">
      <c r="A115" s="4">
        <v>20151030</v>
      </c>
      <c r="B115" t="s">
        <v>11</v>
      </c>
      <c r="C115" t="s">
        <v>25</v>
      </c>
      <c r="D115" t="s">
        <v>14</v>
      </c>
      <c r="E115" s="8">
        <v>-88953.912406578005</v>
      </c>
      <c r="F115" t="s">
        <v>56</v>
      </c>
    </row>
    <row r="116" spans="1:6" x14ac:dyDescent="0.25">
      <c r="A116" s="4">
        <v>20151030</v>
      </c>
      <c r="B116" t="s">
        <v>11</v>
      </c>
      <c r="C116" t="s">
        <v>25</v>
      </c>
      <c r="D116" t="s">
        <v>58</v>
      </c>
      <c r="E116" s="8">
        <v>51.932273704421547</v>
      </c>
      <c r="F116" t="s">
        <v>56</v>
      </c>
    </row>
    <row r="117" spans="1:6" x14ac:dyDescent="0.25">
      <c r="A117" s="4">
        <v>20151030</v>
      </c>
      <c r="B117" t="s">
        <v>11</v>
      </c>
      <c r="C117" t="s">
        <v>25</v>
      </c>
      <c r="D117" t="s">
        <v>15</v>
      </c>
      <c r="E117" s="8">
        <v>-71733680.180022612</v>
      </c>
      <c r="F117" t="s">
        <v>56</v>
      </c>
    </row>
    <row r="118" spans="1:6" x14ac:dyDescent="0.25">
      <c r="A118" s="4">
        <v>20151030</v>
      </c>
      <c r="B118" t="s">
        <v>11</v>
      </c>
      <c r="C118" t="s">
        <v>25</v>
      </c>
      <c r="D118" t="s">
        <v>16</v>
      </c>
      <c r="E118" s="8">
        <v>606311.84886427398</v>
      </c>
      <c r="F118" t="s">
        <v>56</v>
      </c>
    </row>
    <row r="119" spans="1:6" x14ac:dyDescent="0.25">
      <c r="A119" s="4">
        <v>20151030</v>
      </c>
      <c r="B119" t="s">
        <v>11</v>
      </c>
      <c r="C119" t="s">
        <v>25</v>
      </c>
      <c r="D119" t="s">
        <v>17</v>
      </c>
      <c r="E119" s="8">
        <v>34151821.615093313</v>
      </c>
      <c r="F119" t="s">
        <v>56</v>
      </c>
    </row>
    <row r="120" spans="1:6" x14ac:dyDescent="0.25">
      <c r="A120" s="4">
        <v>20151030</v>
      </c>
      <c r="B120" t="s">
        <v>11</v>
      </c>
      <c r="C120" t="s">
        <v>27</v>
      </c>
      <c r="D120" t="s">
        <v>65</v>
      </c>
      <c r="E120" s="8">
        <v>192660.20261475589</v>
      </c>
      <c r="F120" t="s">
        <v>56</v>
      </c>
    </row>
    <row r="121" spans="1:6" x14ac:dyDescent="0.25">
      <c r="A121" s="4">
        <v>20151030</v>
      </c>
      <c r="B121" t="s">
        <v>11</v>
      </c>
      <c r="C121" t="s">
        <v>28</v>
      </c>
      <c r="D121" t="s">
        <v>65</v>
      </c>
      <c r="E121" s="8">
        <v>22130454.462896571</v>
      </c>
      <c r="F121" t="s">
        <v>56</v>
      </c>
    </row>
    <row r="122" spans="1:6" x14ac:dyDescent="0.25">
      <c r="A122" s="4">
        <v>20151030</v>
      </c>
      <c r="B122" t="s">
        <v>11</v>
      </c>
      <c r="C122" t="s">
        <v>83</v>
      </c>
      <c r="D122" t="s">
        <v>65</v>
      </c>
      <c r="E122" s="8">
        <v>141603.09212371122</v>
      </c>
      <c r="F122" t="s">
        <v>56</v>
      </c>
    </row>
    <row r="123" spans="1:6" x14ac:dyDescent="0.25">
      <c r="A123" s="4">
        <v>20151030</v>
      </c>
      <c r="B123" t="s">
        <v>11</v>
      </c>
      <c r="C123" t="s">
        <v>66</v>
      </c>
      <c r="D123" t="s">
        <v>65</v>
      </c>
      <c r="E123" s="8">
        <v>1298081.1187769992</v>
      </c>
      <c r="F123" t="s">
        <v>56</v>
      </c>
    </row>
    <row r="124" spans="1:6" x14ac:dyDescent="0.25">
      <c r="A124" s="4">
        <v>20151030</v>
      </c>
      <c r="B124" t="s">
        <v>11</v>
      </c>
      <c r="C124" t="s">
        <v>26</v>
      </c>
      <c r="D124" t="s">
        <v>15</v>
      </c>
      <c r="E124" s="8">
        <v>-1371450.6612972412</v>
      </c>
      <c r="F124" t="s">
        <v>56</v>
      </c>
    </row>
    <row r="125" spans="1:6" x14ac:dyDescent="0.25">
      <c r="A125" s="4">
        <v>20151030</v>
      </c>
      <c r="B125" t="s">
        <v>11</v>
      </c>
      <c r="C125" t="s">
        <v>25</v>
      </c>
      <c r="D125" t="s">
        <v>67</v>
      </c>
      <c r="E125" s="8">
        <v>112.58830110891151</v>
      </c>
      <c r="F125" t="s">
        <v>56</v>
      </c>
    </row>
    <row r="126" spans="1:6" x14ac:dyDescent="0.25">
      <c r="A126" s="4">
        <v>20151030</v>
      </c>
      <c r="B126" t="s">
        <v>11</v>
      </c>
      <c r="C126" t="s">
        <v>69</v>
      </c>
      <c r="D126" t="s">
        <v>70</v>
      </c>
      <c r="E126" s="8">
        <v>-64932104.746955216</v>
      </c>
      <c r="F126" t="s">
        <v>56</v>
      </c>
    </row>
    <row r="127" spans="1:6" x14ac:dyDescent="0.25">
      <c r="A127" s="4">
        <v>20151030</v>
      </c>
      <c r="B127" t="s">
        <v>11</v>
      </c>
      <c r="C127" t="s">
        <v>71</v>
      </c>
      <c r="D127" t="s">
        <v>70</v>
      </c>
      <c r="E127" s="8">
        <v>-6190174.3937889365</v>
      </c>
      <c r="F127" t="s">
        <v>56</v>
      </c>
    </row>
    <row r="128" spans="1:6" x14ac:dyDescent="0.25">
      <c r="A128" s="4">
        <v>20151030</v>
      </c>
      <c r="B128" t="s">
        <v>11</v>
      </c>
      <c r="C128" t="s">
        <v>72</v>
      </c>
      <c r="D128" t="s">
        <v>70</v>
      </c>
      <c r="E128" s="8">
        <v>0</v>
      </c>
      <c r="F128" t="s">
        <v>56</v>
      </c>
    </row>
    <row r="129" spans="1:6" x14ac:dyDescent="0.25">
      <c r="A129" s="4">
        <v>20151030</v>
      </c>
      <c r="B129" t="s">
        <v>11</v>
      </c>
      <c r="C129" t="s">
        <v>73</v>
      </c>
      <c r="D129" t="s">
        <v>70</v>
      </c>
      <c r="E129" s="8">
        <v>0</v>
      </c>
      <c r="F129" t="s">
        <v>56</v>
      </c>
    </row>
    <row r="130" spans="1:6" x14ac:dyDescent="0.25">
      <c r="A130" s="4">
        <v>20151030</v>
      </c>
      <c r="B130" t="s">
        <v>11</v>
      </c>
      <c r="C130" t="s">
        <v>84</v>
      </c>
      <c r="D130" t="s">
        <v>70</v>
      </c>
      <c r="E130" s="8">
        <v>-200359.8142596957</v>
      </c>
      <c r="F130" t="s">
        <v>56</v>
      </c>
    </row>
    <row r="131" spans="1:6" x14ac:dyDescent="0.25">
      <c r="A131" s="4">
        <v>20151030</v>
      </c>
      <c r="B131" t="s">
        <v>11</v>
      </c>
      <c r="C131" t="s">
        <v>85</v>
      </c>
      <c r="D131" t="s">
        <v>70</v>
      </c>
      <c r="E131" s="8">
        <v>-408955.93888828414</v>
      </c>
      <c r="F131" t="s">
        <v>56</v>
      </c>
    </row>
    <row r="132" spans="1:6" x14ac:dyDescent="0.25">
      <c r="A132" s="4">
        <v>20151030</v>
      </c>
      <c r="B132" t="s">
        <v>11</v>
      </c>
      <c r="C132" t="s">
        <v>73</v>
      </c>
      <c r="D132" t="s">
        <v>91</v>
      </c>
      <c r="E132" s="8">
        <v>0</v>
      </c>
      <c r="F132" t="s">
        <v>56</v>
      </c>
    </row>
    <row r="133" spans="1:6" x14ac:dyDescent="0.25">
      <c r="A133" s="4">
        <v>20151030</v>
      </c>
      <c r="B133" t="s">
        <v>11</v>
      </c>
      <c r="C133" t="s">
        <v>7</v>
      </c>
      <c r="D133" t="s">
        <v>92</v>
      </c>
      <c r="E133" s="8">
        <v>11550494.969400071</v>
      </c>
      <c r="F133" t="s">
        <v>56</v>
      </c>
    </row>
    <row r="134" spans="1:6" x14ac:dyDescent="0.25">
      <c r="A134" s="4">
        <v>20151030</v>
      </c>
      <c r="B134" t="s">
        <v>11</v>
      </c>
      <c r="C134" t="s">
        <v>95</v>
      </c>
      <c r="D134" t="s">
        <v>70</v>
      </c>
      <c r="E134" s="8">
        <v>0</v>
      </c>
      <c r="F134" t="s">
        <v>56</v>
      </c>
    </row>
    <row r="135" spans="1:6" x14ac:dyDescent="0.25">
      <c r="A135" s="4">
        <v>20151030</v>
      </c>
      <c r="B135" t="s">
        <v>11</v>
      </c>
      <c r="C135" t="s">
        <v>7</v>
      </c>
      <c r="D135" t="s">
        <v>99</v>
      </c>
      <c r="E135" s="8">
        <v>23100989.938800141</v>
      </c>
      <c r="F135" t="s">
        <v>56</v>
      </c>
    </row>
    <row r="136" spans="1:6" x14ac:dyDescent="0.25">
      <c r="A136" s="4">
        <v>20151030</v>
      </c>
      <c r="B136" t="s">
        <v>11</v>
      </c>
      <c r="C136" t="s">
        <v>25</v>
      </c>
      <c r="D136" t="s">
        <v>99</v>
      </c>
      <c r="E136" s="8">
        <v>0</v>
      </c>
      <c r="F136" t="s">
        <v>56</v>
      </c>
    </row>
    <row r="137" spans="1:6" x14ac:dyDescent="0.25">
      <c r="A137" s="4">
        <v>20151030</v>
      </c>
      <c r="B137" t="s">
        <v>12</v>
      </c>
      <c r="C137" t="s">
        <v>7</v>
      </c>
      <c r="D137" t="s">
        <v>14</v>
      </c>
      <c r="E137" s="8">
        <v>288897.24210739136</v>
      </c>
      <c r="F137" t="s">
        <v>55</v>
      </c>
    </row>
    <row r="138" spans="1:6" x14ac:dyDescent="0.25">
      <c r="A138" s="4">
        <v>20151030</v>
      </c>
      <c r="B138" t="s">
        <v>12</v>
      </c>
      <c r="C138" t="s">
        <v>7</v>
      </c>
      <c r="D138" t="s">
        <v>58</v>
      </c>
      <c r="E138" s="8">
        <v>-390.69811200141908</v>
      </c>
      <c r="F138" t="s">
        <v>55</v>
      </c>
    </row>
    <row r="139" spans="1:6" x14ac:dyDescent="0.25">
      <c r="A139" s="4">
        <v>20151030</v>
      </c>
      <c r="B139" t="s">
        <v>12</v>
      </c>
      <c r="C139" t="s">
        <v>7</v>
      </c>
      <c r="D139" t="s">
        <v>15</v>
      </c>
      <c r="E139" s="8">
        <v>171533547.83112395</v>
      </c>
      <c r="F139" t="s">
        <v>55</v>
      </c>
    </row>
    <row r="140" spans="1:6" x14ac:dyDescent="0.25">
      <c r="A140" s="4">
        <v>20151030</v>
      </c>
      <c r="B140" t="s">
        <v>12</v>
      </c>
      <c r="C140" t="s">
        <v>7</v>
      </c>
      <c r="D140" t="s">
        <v>16</v>
      </c>
      <c r="E140" s="8">
        <v>-1161388.4691610336</v>
      </c>
      <c r="F140" t="s">
        <v>55</v>
      </c>
    </row>
    <row r="141" spans="1:6" x14ac:dyDescent="0.25">
      <c r="A141" s="4">
        <v>20151030</v>
      </c>
      <c r="B141" t="s">
        <v>12</v>
      </c>
      <c r="C141" t="s">
        <v>7</v>
      </c>
      <c r="D141" t="s">
        <v>17</v>
      </c>
      <c r="E141" s="8">
        <v>-59357467.833600521</v>
      </c>
      <c r="F141" t="s">
        <v>55</v>
      </c>
    </row>
    <row r="142" spans="1:6" x14ac:dyDescent="0.25">
      <c r="A142" s="4">
        <v>20151030</v>
      </c>
      <c r="B142" t="s">
        <v>12</v>
      </c>
      <c r="C142" t="s">
        <v>25</v>
      </c>
      <c r="D142" t="s">
        <v>14</v>
      </c>
      <c r="E142" s="8">
        <v>-288911.52413905482</v>
      </c>
      <c r="F142" t="s">
        <v>55</v>
      </c>
    </row>
    <row r="143" spans="1:6" x14ac:dyDescent="0.25">
      <c r="A143" s="4">
        <v>20151030</v>
      </c>
      <c r="B143" t="s">
        <v>12</v>
      </c>
      <c r="C143" t="s">
        <v>25</v>
      </c>
      <c r="D143" t="s">
        <v>58</v>
      </c>
      <c r="E143" s="8">
        <v>188.9079666887508</v>
      </c>
      <c r="F143" t="s">
        <v>55</v>
      </c>
    </row>
    <row r="144" spans="1:6" x14ac:dyDescent="0.25">
      <c r="A144" s="4">
        <v>20151030</v>
      </c>
      <c r="B144" t="s">
        <v>12</v>
      </c>
      <c r="C144" t="s">
        <v>25</v>
      </c>
      <c r="D144" t="s">
        <v>15</v>
      </c>
      <c r="E144" s="8">
        <v>-162721683.99911326</v>
      </c>
      <c r="F144" t="s">
        <v>55</v>
      </c>
    </row>
    <row r="145" spans="1:6" x14ac:dyDescent="0.25">
      <c r="A145" s="4">
        <v>20151030</v>
      </c>
      <c r="B145" t="s">
        <v>12</v>
      </c>
      <c r="C145" t="s">
        <v>25</v>
      </c>
      <c r="D145" t="s">
        <v>16</v>
      </c>
      <c r="E145" s="8">
        <v>2008102.7165654898</v>
      </c>
      <c r="F145" t="s">
        <v>55</v>
      </c>
    </row>
    <row r="146" spans="1:6" x14ac:dyDescent="0.25">
      <c r="A146" s="4">
        <v>20151030</v>
      </c>
      <c r="B146" t="s">
        <v>12</v>
      </c>
      <c r="C146" t="s">
        <v>25</v>
      </c>
      <c r="D146" t="s">
        <v>17</v>
      </c>
      <c r="E146" s="8">
        <v>103146131.32402267</v>
      </c>
      <c r="F146" t="s">
        <v>55</v>
      </c>
    </row>
    <row r="147" spans="1:6" x14ac:dyDescent="0.25">
      <c r="A147" s="4">
        <v>20151030</v>
      </c>
      <c r="B147" t="s">
        <v>12</v>
      </c>
      <c r="C147" t="s">
        <v>27</v>
      </c>
      <c r="D147" t="s">
        <v>65</v>
      </c>
      <c r="E147" s="8">
        <v>0</v>
      </c>
      <c r="F147" t="s">
        <v>55</v>
      </c>
    </row>
    <row r="148" spans="1:6" x14ac:dyDescent="0.25">
      <c r="A148" s="4">
        <v>20151030</v>
      </c>
      <c r="B148" t="s">
        <v>12</v>
      </c>
      <c r="C148" t="s">
        <v>28</v>
      </c>
      <c r="D148" t="s">
        <v>65</v>
      </c>
      <c r="E148" s="8">
        <v>83605697.895626009</v>
      </c>
      <c r="F148" t="s">
        <v>55</v>
      </c>
    </row>
    <row r="149" spans="1:6" x14ac:dyDescent="0.25">
      <c r="A149" s="4">
        <v>20151030</v>
      </c>
      <c r="B149" t="s">
        <v>12</v>
      </c>
      <c r="C149" t="s">
        <v>83</v>
      </c>
      <c r="D149" t="s">
        <v>65</v>
      </c>
      <c r="E149" s="8">
        <v>873740.22765334544</v>
      </c>
      <c r="F149" t="s">
        <v>55</v>
      </c>
    </row>
    <row r="150" spans="1:6" x14ac:dyDescent="0.25">
      <c r="A150" s="4">
        <v>20151030</v>
      </c>
      <c r="B150" t="s">
        <v>12</v>
      </c>
      <c r="C150" t="s">
        <v>66</v>
      </c>
      <c r="D150" t="s">
        <v>65</v>
      </c>
      <c r="E150" s="8">
        <v>20095834.686549578</v>
      </c>
      <c r="F150" t="s">
        <v>55</v>
      </c>
    </row>
    <row r="151" spans="1:6" x14ac:dyDescent="0.25">
      <c r="A151" s="4">
        <v>20151030</v>
      </c>
      <c r="B151" t="s">
        <v>12</v>
      </c>
      <c r="C151" t="s">
        <v>26</v>
      </c>
      <c r="D151" t="s">
        <v>15</v>
      </c>
      <c r="E151" s="8">
        <v>-10805664.73932598</v>
      </c>
      <c r="F151" t="s">
        <v>55</v>
      </c>
    </row>
    <row r="152" spans="1:6" x14ac:dyDescent="0.25">
      <c r="A152" s="4">
        <v>20151030</v>
      </c>
      <c r="B152" t="s">
        <v>12</v>
      </c>
      <c r="C152" t="s">
        <v>25</v>
      </c>
      <c r="D152" t="s">
        <v>67</v>
      </c>
      <c r="E152" s="8">
        <v>670.14720565650964</v>
      </c>
      <c r="F152" t="s">
        <v>55</v>
      </c>
    </row>
    <row r="153" spans="1:6" x14ac:dyDescent="0.25">
      <c r="A153" s="4">
        <v>20151030</v>
      </c>
      <c r="B153" t="s">
        <v>12</v>
      </c>
      <c r="C153" t="s">
        <v>69</v>
      </c>
      <c r="D153" t="s">
        <v>70</v>
      </c>
      <c r="E153" s="8">
        <v>-112120744.56110381</v>
      </c>
      <c r="F153" t="s">
        <v>55</v>
      </c>
    </row>
    <row r="154" spans="1:6" x14ac:dyDescent="0.25">
      <c r="A154" s="4">
        <v>20151030</v>
      </c>
      <c r="B154" t="s">
        <v>12</v>
      </c>
      <c r="C154" t="s">
        <v>71</v>
      </c>
      <c r="D154" t="s">
        <v>70</v>
      </c>
      <c r="E154" s="8">
        <v>-47831858.432198979</v>
      </c>
      <c r="F154" t="s">
        <v>55</v>
      </c>
    </row>
    <row r="155" spans="1:6" x14ac:dyDescent="0.25">
      <c r="A155" s="4">
        <v>20151030</v>
      </c>
      <c r="B155" t="s">
        <v>12</v>
      </c>
      <c r="C155" t="s">
        <v>72</v>
      </c>
      <c r="D155" t="s">
        <v>70</v>
      </c>
      <c r="E155" s="8">
        <v>0</v>
      </c>
      <c r="F155" t="s">
        <v>55</v>
      </c>
    </row>
    <row r="156" spans="1:6" x14ac:dyDescent="0.25">
      <c r="A156" s="4">
        <v>20151030</v>
      </c>
      <c r="B156" t="s">
        <v>12</v>
      </c>
      <c r="C156" t="s">
        <v>73</v>
      </c>
      <c r="D156" t="s">
        <v>70</v>
      </c>
      <c r="E156" s="8">
        <v>0</v>
      </c>
      <c r="F156" t="s">
        <v>55</v>
      </c>
    </row>
    <row r="157" spans="1:6" x14ac:dyDescent="0.25">
      <c r="A157" s="4">
        <v>20151030</v>
      </c>
      <c r="B157" t="s">
        <v>12</v>
      </c>
      <c r="C157" t="s">
        <v>84</v>
      </c>
      <c r="D157" t="s">
        <v>70</v>
      </c>
      <c r="E157" s="8">
        <v>-656693.46224818192</v>
      </c>
      <c r="F157" t="s">
        <v>55</v>
      </c>
    </row>
    <row r="158" spans="1:6" x14ac:dyDescent="0.25">
      <c r="A158" s="4">
        <v>20151030</v>
      </c>
      <c r="B158" t="s">
        <v>12</v>
      </c>
      <c r="C158" t="s">
        <v>85</v>
      </c>
      <c r="D158" t="s">
        <v>70</v>
      </c>
      <c r="E158" s="8">
        <v>-2106131.68517084</v>
      </c>
      <c r="F158" t="s">
        <v>55</v>
      </c>
    </row>
    <row r="159" spans="1:6" x14ac:dyDescent="0.25">
      <c r="A159" s="4">
        <v>20151030</v>
      </c>
      <c r="B159" t="s">
        <v>12</v>
      </c>
      <c r="C159" t="s">
        <v>73</v>
      </c>
      <c r="D159" t="s">
        <v>91</v>
      </c>
      <c r="E159" s="8">
        <v>0</v>
      </c>
      <c r="F159" t="s">
        <v>55</v>
      </c>
    </row>
    <row r="160" spans="1:6" x14ac:dyDescent="0.25">
      <c r="A160" s="4">
        <v>20151030</v>
      </c>
      <c r="B160" t="s">
        <v>12</v>
      </c>
      <c r="C160" t="s">
        <v>7</v>
      </c>
      <c r="D160" t="s">
        <v>92</v>
      </c>
      <c r="E160" s="8">
        <v>30337212.122099996</v>
      </c>
      <c r="F160" t="s">
        <v>55</v>
      </c>
    </row>
    <row r="161" spans="1:6" x14ac:dyDescent="0.25">
      <c r="A161" s="4">
        <v>20151030</v>
      </c>
      <c r="B161" t="s">
        <v>12</v>
      </c>
      <c r="C161" t="s">
        <v>95</v>
      </c>
      <c r="D161" t="s">
        <v>70</v>
      </c>
      <c r="E161" s="8">
        <v>0</v>
      </c>
      <c r="F161" t="s">
        <v>55</v>
      </c>
    </row>
    <row r="162" spans="1:6" x14ac:dyDescent="0.25">
      <c r="A162" s="4">
        <v>20151030</v>
      </c>
      <c r="B162" t="s">
        <v>12</v>
      </c>
      <c r="C162" t="s">
        <v>7</v>
      </c>
      <c r="D162" t="s">
        <v>99</v>
      </c>
      <c r="E162" s="8">
        <v>60674424.244199991</v>
      </c>
      <c r="F162" t="s">
        <v>55</v>
      </c>
    </row>
    <row r="163" spans="1:6" x14ac:dyDescent="0.25">
      <c r="A163" s="4">
        <v>20151030</v>
      </c>
      <c r="B163" t="s">
        <v>12</v>
      </c>
      <c r="C163" t="s">
        <v>25</v>
      </c>
      <c r="D163" t="s">
        <v>99</v>
      </c>
      <c r="E163" s="8">
        <v>0</v>
      </c>
      <c r="F163" t="s">
        <v>55</v>
      </c>
    </row>
    <row r="164" spans="1:6" x14ac:dyDescent="0.25">
      <c r="A164" s="4">
        <v>20151030</v>
      </c>
      <c r="B164" t="s">
        <v>13</v>
      </c>
      <c r="C164" t="s">
        <v>7</v>
      </c>
      <c r="D164" t="s">
        <v>14</v>
      </c>
      <c r="E164" s="8">
        <v>6090.3566673286259</v>
      </c>
      <c r="F164" t="s">
        <v>55</v>
      </c>
    </row>
    <row r="165" spans="1:6" x14ac:dyDescent="0.25">
      <c r="A165" s="4">
        <v>20151030</v>
      </c>
      <c r="B165" t="s">
        <v>13</v>
      </c>
      <c r="C165" t="s">
        <v>7</v>
      </c>
      <c r="D165" t="s">
        <v>58</v>
      </c>
      <c r="E165" s="8">
        <v>-17.083371999971568</v>
      </c>
      <c r="F165" t="s">
        <v>55</v>
      </c>
    </row>
    <row r="166" spans="1:6" x14ac:dyDescent="0.25">
      <c r="A166" s="4">
        <v>20151030</v>
      </c>
      <c r="B166" t="s">
        <v>13</v>
      </c>
      <c r="C166" t="s">
        <v>7</v>
      </c>
      <c r="D166" t="s">
        <v>15</v>
      </c>
      <c r="E166" s="8">
        <v>302240.48414051719</v>
      </c>
      <c r="F166" t="s">
        <v>55</v>
      </c>
    </row>
    <row r="167" spans="1:6" x14ac:dyDescent="0.25">
      <c r="A167" s="4">
        <v>20151030</v>
      </c>
      <c r="B167" t="s">
        <v>13</v>
      </c>
      <c r="C167" t="s">
        <v>7</v>
      </c>
      <c r="D167" t="s">
        <v>16</v>
      </c>
      <c r="E167" s="8">
        <v>-124131.74610601552</v>
      </c>
      <c r="F167" t="s">
        <v>55</v>
      </c>
    </row>
    <row r="168" spans="1:6" x14ac:dyDescent="0.25">
      <c r="A168" s="4">
        <v>20151030</v>
      </c>
      <c r="B168" t="s">
        <v>13</v>
      </c>
      <c r="C168" t="s">
        <v>7</v>
      </c>
      <c r="D168" t="s">
        <v>17</v>
      </c>
      <c r="E168" s="8">
        <v>-33933.267999999225</v>
      </c>
      <c r="F168" t="s">
        <v>55</v>
      </c>
    </row>
    <row r="169" spans="1:6" x14ac:dyDescent="0.25">
      <c r="A169" s="4">
        <v>20151030</v>
      </c>
      <c r="B169" t="s">
        <v>13</v>
      </c>
      <c r="C169" t="s">
        <v>25</v>
      </c>
      <c r="D169" t="s">
        <v>14</v>
      </c>
      <c r="E169" s="8">
        <v>-6321.7500000000009</v>
      </c>
      <c r="F169" t="s">
        <v>55</v>
      </c>
    </row>
    <row r="170" spans="1:6" x14ac:dyDescent="0.25">
      <c r="A170" s="4">
        <v>20151030</v>
      </c>
      <c r="B170" t="s">
        <v>13</v>
      </c>
      <c r="C170" t="s">
        <v>25</v>
      </c>
      <c r="D170" t="s">
        <v>58</v>
      </c>
      <c r="E170" s="8">
        <v>0</v>
      </c>
      <c r="F170" t="s">
        <v>55</v>
      </c>
    </row>
    <row r="171" spans="1:6" x14ac:dyDescent="0.25">
      <c r="A171" s="4">
        <v>20151030</v>
      </c>
      <c r="B171" t="s">
        <v>13</v>
      </c>
      <c r="C171" t="s">
        <v>25</v>
      </c>
      <c r="D171" t="s">
        <v>15</v>
      </c>
      <c r="E171" s="8">
        <v>-17427.72396910578</v>
      </c>
      <c r="F171" t="s">
        <v>55</v>
      </c>
    </row>
    <row r="172" spans="1:6" x14ac:dyDescent="0.25">
      <c r="A172" s="4">
        <v>20151030</v>
      </c>
      <c r="B172" t="s">
        <v>13</v>
      </c>
      <c r="C172" t="s">
        <v>25</v>
      </c>
      <c r="D172" t="s">
        <v>16</v>
      </c>
      <c r="E172" s="8">
        <v>0</v>
      </c>
      <c r="F172" t="s">
        <v>55</v>
      </c>
    </row>
    <row r="173" spans="1:6" x14ac:dyDescent="0.25">
      <c r="A173" s="4">
        <v>20151030</v>
      </c>
      <c r="B173" t="s">
        <v>13</v>
      </c>
      <c r="C173" t="s">
        <v>25</v>
      </c>
      <c r="D173" t="s">
        <v>17</v>
      </c>
      <c r="E173" s="8">
        <v>-1.5245363317146389E-11</v>
      </c>
      <c r="F173" t="s">
        <v>55</v>
      </c>
    </row>
    <row r="174" spans="1:6" x14ac:dyDescent="0.25">
      <c r="A174" s="4">
        <v>20151030</v>
      </c>
      <c r="B174" t="s">
        <v>13</v>
      </c>
      <c r="C174" t="s">
        <v>27</v>
      </c>
      <c r="D174" t="s">
        <v>65</v>
      </c>
      <c r="E174" s="8">
        <v>0</v>
      </c>
      <c r="F174" t="s">
        <v>55</v>
      </c>
    </row>
    <row r="175" spans="1:6" x14ac:dyDescent="0.25">
      <c r="A175" s="4">
        <v>20151030</v>
      </c>
      <c r="B175" t="s">
        <v>13</v>
      </c>
      <c r="C175" t="s">
        <v>28</v>
      </c>
      <c r="D175" t="s">
        <v>65</v>
      </c>
      <c r="E175" s="8">
        <v>0</v>
      </c>
      <c r="F175" t="s">
        <v>55</v>
      </c>
    </row>
    <row r="176" spans="1:6" x14ac:dyDescent="0.25">
      <c r="A176" s="4">
        <v>20151030</v>
      </c>
      <c r="B176" t="s">
        <v>13</v>
      </c>
      <c r="C176" t="s">
        <v>83</v>
      </c>
      <c r="D176" t="s">
        <v>65</v>
      </c>
      <c r="E176" s="8">
        <v>0</v>
      </c>
      <c r="F176" t="s">
        <v>55</v>
      </c>
    </row>
    <row r="177" spans="1:6" x14ac:dyDescent="0.25">
      <c r="A177" s="4">
        <v>20151030</v>
      </c>
      <c r="B177" t="s">
        <v>13</v>
      </c>
      <c r="C177" t="s">
        <v>66</v>
      </c>
      <c r="D177" t="s">
        <v>65</v>
      </c>
      <c r="E177" s="8">
        <v>0</v>
      </c>
      <c r="F177" t="s">
        <v>55</v>
      </c>
    </row>
    <row r="178" spans="1:6" x14ac:dyDescent="0.25">
      <c r="A178" s="4">
        <v>20151030</v>
      </c>
      <c r="B178" t="s">
        <v>13</v>
      </c>
      <c r="C178" t="s">
        <v>26</v>
      </c>
      <c r="D178" t="s">
        <v>15</v>
      </c>
      <c r="E178" s="8">
        <v>0</v>
      </c>
      <c r="F178" t="s">
        <v>55</v>
      </c>
    </row>
    <row r="179" spans="1:6" x14ac:dyDescent="0.25">
      <c r="A179" s="4">
        <v>20151030</v>
      </c>
      <c r="B179" t="s">
        <v>13</v>
      </c>
      <c r="C179" t="s">
        <v>25</v>
      </c>
      <c r="D179" t="s">
        <v>67</v>
      </c>
      <c r="E179" s="8">
        <v>0</v>
      </c>
      <c r="F179" t="s">
        <v>55</v>
      </c>
    </row>
    <row r="180" spans="1:6" x14ac:dyDescent="0.25">
      <c r="A180" s="4">
        <v>20151030</v>
      </c>
      <c r="B180" t="s">
        <v>13</v>
      </c>
      <c r="C180" t="s">
        <v>69</v>
      </c>
      <c r="D180" t="s">
        <v>70</v>
      </c>
      <c r="E180" s="8">
        <v>0</v>
      </c>
      <c r="F180" t="s">
        <v>55</v>
      </c>
    </row>
    <row r="181" spans="1:6" x14ac:dyDescent="0.25">
      <c r="A181" s="4">
        <v>20151030</v>
      </c>
      <c r="B181" t="s">
        <v>13</v>
      </c>
      <c r="C181" t="s">
        <v>71</v>
      </c>
      <c r="D181" t="s">
        <v>70</v>
      </c>
      <c r="E181" s="8">
        <v>0</v>
      </c>
      <c r="F181" t="s">
        <v>55</v>
      </c>
    </row>
    <row r="182" spans="1:6" x14ac:dyDescent="0.25">
      <c r="A182" s="4">
        <v>20151030</v>
      </c>
      <c r="B182" t="s">
        <v>13</v>
      </c>
      <c r="C182" t="s">
        <v>72</v>
      </c>
      <c r="D182" t="s">
        <v>70</v>
      </c>
      <c r="E182" s="8">
        <v>0</v>
      </c>
      <c r="F182" t="s">
        <v>55</v>
      </c>
    </row>
    <row r="183" spans="1:6" x14ac:dyDescent="0.25">
      <c r="A183" s="4">
        <v>20151030</v>
      </c>
      <c r="B183" t="s">
        <v>13</v>
      </c>
      <c r="C183" t="s">
        <v>73</v>
      </c>
      <c r="D183" t="s">
        <v>70</v>
      </c>
      <c r="E183" s="8">
        <v>0</v>
      </c>
      <c r="F183" t="s">
        <v>55</v>
      </c>
    </row>
    <row r="184" spans="1:6" x14ac:dyDescent="0.25">
      <c r="A184" s="4">
        <v>20151030</v>
      </c>
      <c r="B184" t="s">
        <v>13</v>
      </c>
      <c r="C184" t="s">
        <v>84</v>
      </c>
      <c r="D184" t="s">
        <v>70</v>
      </c>
      <c r="E184" s="8">
        <v>-17427.723969109134</v>
      </c>
      <c r="F184" t="s">
        <v>55</v>
      </c>
    </row>
    <row r="185" spans="1:6" x14ac:dyDescent="0.25">
      <c r="A185" s="4">
        <v>20151030</v>
      </c>
      <c r="B185" t="s">
        <v>13</v>
      </c>
      <c r="C185" t="s">
        <v>85</v>
      </c>
      <c r="D185" t="s">
        <v>70</v>
      </c>
      <c r="E185" s="8">
        <v>0</v>
      </c>
      <c r="F185" t="s">
        <v>55</v>
      </c>
    </row>
    <row r="186" spans="1:6" x14ac:dyDescent="0.25">
      <c r="A186" s="4">
        <v>20151030</v>
      </c>
      <c r="B186" t="s">
        <v>13</v>
      </c>
      <c r="C186" t="s">
        <v>73</v>
      </c>
      <c r="D186" t="s">
        <v>91</v>
      </c>
      <c r="E186" s="8">
        <v>0</v>
      </c>
      <c r="F186" t="s">
        <v>55</v>
      </c>
    </row>
    <row r="187" spans="1:6" x14ac:dyDescent="0.25">
      <c r="A187" s="4">
        <v>20151030</v>
      </c>
      <c r="B187" t="s">
        <v>13</v>
      </c>
      <c r="C187" t="s">
        <v>7</v>
      </c>
      <c r="D187" t="s">
        <v>92</v>
      </c>
      <c r="E187" s="8">
        <v>0</v>
      </c>
      <c r="F187" t="s">
        <v>55</v>
      </c>
    </row>
    <row r="188" spans="1:6" x14ac:dyDescent="0.25">
      <c r="A188" s="4">
        <v>20151030</v>
      </c>
      <c r="B188" t="s">
        <v>13</v>
      </c>
      <c r="C188" t="s">
        <v>95</v>
      </c>
      <c r="D188" t="s">
        <v>70</v>
      </c>
      <c r="E188" s="8">
        <v>0</v>
      </c>
      <c r="F188" t="s">
        <v>55</v>
      </c>
    </row>
    <row r="189" spans="1:6" x14ac:dyDescent="0.25">
      <c r="A189" s="4">
        <v>20151030</v>
      </c>
      <c r="B189" t="s">
        <v>13</v>
      </c>
      <c r="C189" t="s">
        <v>7</v>
      </c>
      <c r="D189" t="s">
        <v>99</v>
      </c>
      <c r="E189" s="8">
        <v>0</v>
      </c>
      <c r="F189" t="s">
        <v>55</v>
      </c>
    </row>
    <row r="190" spans="1:6" x14ac:dyDescent="0.25">
      <c r="A190" s="4">
        <v>20151030</v>
      </c>
      <c r="B190" t="s">
        <v>13</v>
      </c>
      <c r="C190" t="s">
        <v>25</v>
      </c>
      <c r="D190" t="s">
        <v>99</v>
      </c>
      <c r="E190" s="8">
        <v>0</v>
      </c>
      <c r="F190" t="s">
        <v>55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Inputs">
                <anchor moveWithCells="1" sizeWithCells="1">
                  <from>
                    <xdr:col>7</xdr:col>
                    <xdr:colOff>495300</xdr:colOff>
                    <xdr:row>1</xdr:row>
                    <xdr:rowOff>9525</xdr:rowOff>
                  </from>
                  <to>
                    <xdr:col>10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Report">
                <anchor moveWithCells="1" sizeWithCells="1">
                  <from>
                    <xdr:col>7</xdr:col>
                    <xdr:colOff>495300</xdr:colOff>
                    <xdr:row>5</xdr:row>
                    <xdr:rowOff>0</xdr:rowOff>
                  </from>
                  <to>
                    <xdr:col>10</xdr:col>
                    <xdr:colOff>333375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EmailRpt">
                <anchor moveWithCells="1" sizeWithCells="1">
                  <from>
                    <xdr:col>7</xdr:col>
                    <xdr:colOff>514350</xdr:colOff>
                    <xdr:row>12</xdr:row>
                    <xdr:rowOff>123825</xdr:rowOff>
                  </from>
                  <to>
                    <xdr:col>10</xdr:col>
                    <xdr:colOff>361950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rchive">
                <anchor moveWithCells="1" sizeWithCells="1">
                  <from>
                    <xdr:col>7</xdr:col>
                    <xdr:colOff>514350</xdr:colOff>
                    <xdr:row>9</xdr:row>
                    <xdr:rowOff>9525</xdr:rowOff>
                  </from>
                  <to>
                    <xdr:col>10</xdr:col>
                    <xdr:colOff>342900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9"/>
  <sheetViews>
    <sheetView workbookViewId="0">
      <selection activeCell="B4" sqref="B4:B10"/>
    </sheetView>
  </sheetViews>
  <sheetFormatPr defaultRowHeight="15" x14ac:dyDescent="0.25"/>
  <cols>
    <col min="1" max="1" width="21.85546875" bestFit="1" customWidth="1"/>
    <col min="2" max="2" width="16.5703125" customWidth="1"/>
    <col min="3" max="3" width="20.7109375" customWidth="1"/>
    <col min="4" max="4" width="26" customWidth="1"/>
    <col min="5" max="5" width="20.7109375" customWidth="1"/>
    <col min="6" max="6" width="21.85546875" bestFit="1" customWidth="1"/>
    <col min="7" max="7" width="20.5703125" customWidth="1"/>
    <col min="8" max="8" width="13.42578125" customWidth="1"/>
    <col min="11" max="11" width="14.42578125" bestFit="1" customWidth="1"/>
    <col min="12" max="12" width="14.42578125" customWidth="1"/>
    <col min="13" max="13" width="21.85546875" bestFit="1" customWidth="1"/>
    <col min="14" max="14" width="15" bestFit="1" customWidth="1"/>
  </cols>
  <sheetData>
    <row r="1" spans="1:6" x14ac:dyDescent="0.25">
      <c r="A1" t="s">
        <v>40</v>
      </c>
      <c r="B1" s="3" t="s">
        <v>41</v>
      </c>
    </row>
    <row r="2" spans="1:6" x14ac:dyDescent="0.25">
      <c r="B2" s="4"/>
      <c r="C2" s="4"/>
      <c r="D2" s="4"/>
    </row>
    <row r="3" spans="1:6" x14ac:dyDescent="0.25">
      <c r="B3" s="5" t="s">
        <v>42</v>
      </c>
      <c r="C3" s="5" t="s">
        <v>43</v>
      </c>
      <c r="D3" s="5" t="s">
        <v>44</v>
      </c>
      <c r="E3" s="5" t="s">
        <v>54</v>
      </c>
    </row>
    <row r="4" spans="1:6" x14ac:dyDescent="0.25">
      <c r="A4" s="6" t="s">
        <v>6</v>
      </c>
      <c r="B4" s="4">
        <v>20151030</v>
      </c>
      <c r="C4" s="1" t="s">
        <v>18</v>
      </c>
      <c r="D4" s="7" t="str">
        <f>A4&amp;"-Hedge-"</f>
        <v>DAP-Hedge-</v>
      </c>
      <c r="E4" t="s">
        <v>55</v>
      </c>
    </row>
    <row r="5" spans="1:6" x14ac:dyDescent="0.25">
      <c r="A5" s="6" t="s">
        <v>8</v>
      </c>
      <c r="B5" s="4">
        <v>20151030</v>
      </c>
      <c r="C5" s="1" t="s">
        <v>19</v>
      </c>
      <c r="D5" s="7" t="str">
        <f t="shared" ref="D5:D10" si="0">A5&amp;"-Hedge-"</f>
        <v>ML-Hedge-</v>
      </c>
      <c r="E5" t="s">
        <v>55</v>
      </c>
    </row>
    <row r="6" spans="1:6" x14ac:dyDescent="0.25">
      <c r="A6" s="6" t="s">
        <v>9</v>
      </c>
      <c r="B6" s="4">
        <v>20151030</v>
      </c>
      <c r="C6" s="1" t="s">
        <v>9</v>
      </c>
      <c r="D6" s="7" t="str">
        <f t="shared" si="0"/>
        <v>USL-Hedge-</v>
      </c>
      <c r="E6" t="s">
        <v>9</v>
      </c>
    </row>
    <row r="7" spans="1:6" x14ac:dyDescent="0.25">
      <c r="A7" s="6" t="s">
        <v>10</v>
      </c>
      <c r="B7" s="4">
        <v>20151030</v>
      </c>
      <c r="C7" s="1" t="s">
        <v>20</v>
      </c>
      <c r="D7" s="7" t="str">
        <f t="shared" si="0"/>
        <v>VALIC-GMWB-Hedge-</v>
      </c>
      <c r="E7" t="s">
        <v>56</v>
      </c>
    </row>
    <row r="8" spans="1:6" x14ac:dyDescent="0.25">
      <c r="A8" s="6" t="s">
        <v>11</v>
      </c>
      <c r="B8" s="4">
        <v>20151030</v>
      </c>
      <c r="C8" s="1" t="s">
        <v>21</v>
      </c>
      <c r="D8" s="7" t="str">
        <f t="shared" si="0"/>
        <v>VALIC-VIX-DAP-Hedge-</v>
      </c>
      <c r="E8" t="s">
        <v>56</v>
      </c>
    </row>
    <row r="9" spans="1:6" x14ac:dyDescent="0.25">
      <c r="A9" s="6" t="s">
        <v>12</v>
      </c>
      <c r="B9" s="4">
        <v>20151030</v>
      </c>
      <c r="C9" s="1" t="s">
        <v>22</v>
      </c>
      <c r="D9" s="7" t="str">
        <f t="shared" si="0"/>
        <v>VIX-Hedge-</v>
      </c>
      <c r="E9" t="s">
        <v>55</v>
      </c>
    </row>
    <row r="10" spans="1:6" x14ac:dyDescent="0.25">
      <c r="A10" s="6" t="s">
        <v>13</v>
      </c>
      <c r="B10" s="4">
        <v>20151030</v>
      </c>
      <c r="C10" s="1" t="s">
        <v>13</v>
      </c>
      <c r="D10" s="7" t="str">
        <f t="shared" si="0"/>
        <v>GMAB-Hedge-</v>
      </c>
      <c r="E10" t="s">
        <v>55</v>
      </c>
    </row>
    <row r="12" spans="1:6" x14ac:dyDescent="0.25">
      <c r="A12" s="2" t="s">
        <v>5</v>
      </c>
      <c r="B12" s="2" t="s">
        <v>2</v>
      </c>
      <c r="C12" s="2" t="s">
        <v>4</v>
      </c>
      <c r="D12" s="2" t="s">
        <v>45</v>
      </c>
      <c r="E12" s="2" t="s">
        <v>46</v>
      </c>
      <c r="F12" s="5" t="s">
        <v>57</v>
      </c>
    </row>
    <row r="13" spans="1:6" x14ac:dyDescent="0.25">
      <c r="A13" t="s">
        <v>7</v>
      </c>
      <c r="B13" t="s">
        <v>14</v>
      </c>
      <c r="C13" t="s">
        <v>23</v>
      </c>
      <c r="D13" t="s">
        <v>24</v>
      </c>
      <c r="E13" t="s">
        <v>24</v>
      </c>
      <c r="F13" s="4">
        <v>1</v>
      </c>
    </row>
    <row r="14" spans="1:6" x14ac:dyDescent="0.25">
      <c r="A14" t="s">
        <v>7</v>
      </c>
      <c r="B14" t="s">
        <v>58</v>
      </c>
      <c r="C14" t="s">
        <v>23</v>
      </c>
      <c r="D14" t="s">
        <v>59</v>
      </c>
      <c r="E14" t="s">
        <v>59</v>
      </c>
      <c r="F14" s="4">
        <v>1</v>
      </c>
    </row>
    <row r="15" spans="1:6" x14ac:dyDescent="0.25">
      <c r="A15" t="s">
        <v>7</v>
      </c>
      <c r="B15" t="s">
        <v>15</v>
      </c>
      <c r="C15" t="s">
        <v>23</v>
      </c>
      <c r="D15" t="s">
        <v>53</v>
      </c>
      <c r="E15" t="s">
        <v>53</v>
      </c>
      <c r="F15" s="4">
        <v>1</v>
      </c>
    </row>
    <row r="16" spans="1:6" x14ac:dyDescent="0.25">
      <c r="A16" t="s">
        <v>7</v>
      </c>
      <c r="B16" t="s">
        <v>16</v>
      </c>
      <c r="C16" t="s">
        <v>23</v>
      </c>
      <c r="D16" t="s">
        <v>29</v>
      </c>
      <c r="E16" t="s">
        <v>29</v>
      </c>
      <c r="F16" s="4">
        <v>1</v>
      </c>
    </row>
    <row r="17" spans="1:6" x14ac:dyDescent="0.25">
      <c r="A17" t="s">
        <v>7</v>
      </c>
      <c r="B17" t="s">
        <v>17</v>
      </c>
      <c r="C17" t="s">
        <v>23</v>
      </c>
      <c r="D17" t="s">
        <v>30</v>
      </c>
      <c r="E17" t="s">
        <v>30</v>
      </c>
      <c r="F17" s="4">
        <v>1</v>
      </c>
    </row>
    <row r="18" spans="1:6" x14ac:dyDescent="0.25">
      <c r="A18" t="s">
        <v>25</v>
      </c>
      <c r="B18" t="s">
        <v>14</v>
      </c>
      <c r="C18" t="s">
        <v>23</v>
      </c>
      <c r="D18" t="s">
        <v>31</v>
      </c>
      <c r="E18" t="s">
        <v>31</v>
      </c>
      <c r="F18" s="4">
        <v>1</v>
      </c>
    </row>
    <row r="19" spans="1:6" x14ac:dyDescent="0.25">
      <c r="A19" t="s">
        <v>25</v>
      </c>
      <c r="B19" t="s">
        <v>58</v>
      </c>
      <c r="C19" t="s">
        <v>23</v>
      </c>
      <c r="D19" t="s">
        <v>60</v>
      </c>
      <c r="E19" t="s">
        <v>60</v>
      </c>
      <c r="F19" s="4">
        <v>1</v>
      </c>
    </row>
    <row r="20" spans="1:6" x14ac:dyDescent="0.25">
      <c r="A20" t="s">
        <v>25</v>
      </c>
      <c r="B20" t="s">
        <v>15</v>
      </c>
      <c r="C20" t="s">
        <v>23</v>
      </c>
      <c r="D20" t="s">
        <v>32</v>
      </c>
      <c r="E20" t="s">
        <v>32</v>
      </c>
      <c r="F20" s="4">
        <v>1</v>
      </c>
    </row>
    <row r="21" spans="1:6" x14ac:dyDescent="0.25">
      <c r="A21" t="s">
        <v>25</v>
      </c>
      <c r="B21" t="s">
        <v>16</v>
      </c>
      <c r="C21" t="s">
        <v>23</v>
      </c>
      <c r="D21" t="s">
        <v>33</v>
      </c>
      <c r="E21" t="s">
        <v>33</v>
      </c>
      <c r="F21" s="4">
        <v>1</v>
      </c>
    </row>
    <row r="22" spans="1:6" x14ac:dyDescent="0.25">
      <c r="A22" t="s">
        <v>25</v>
      </c>
      <c r="B22" t="s">
        <v>17</v>
      </c>
      <c r="C22" t="s">
        <v>23</v>
      </c>
      <c r="D22" t="s">
        <v>34</v>
      </c>
      <c r="E22" t="s">
        <v>34</v>
      </c>
      <c r="F22" s="4">
        <v>1</v>
      </c>
    </row>
    <row r="23" spans="1:6" x14ac:dyDescent="0.25">
      <c r="A23" t="s">
        <v>27</v>
      </c>
      <c r="B23" t="s">
        <v>65</v>
      </c>
      <c r="C23" t="s">
        <v>23</v>
      </c>
      <c r="D23" t="s">
        <v>35</v>
      </c>
      <c r="E23" t="s">
        <v>35</v>
      </c>
      <c r="F23" s="4">
        <v>1</v>
      </c>
    </row>
    <row r="24" spans="1:6" x14ac:dyDescent="0.25">
      <c r="A24" t="s">
        <v>28</v>
      </c>
      <c r="B24" t="s">
        <v>65</v>
      </c>
      <c r="C24" t="s">
        <v>23</v>
      </c>
      <c r="D24" t="s">
        <v>36</v>
      </c>
      <c r="E24" t="s">
        <v>36</v>
      </c>
      <c r="F24" s="4">
        <v>1</v>
      </c>
    </row>
    <row r="25" spans="1:6" x14ac:dyDescent="0.25">
      <c r="A25" t="s">
        <v>83</v>
      </c>
      <c r="B25" t="s">
        <v>65</v>
      </c>
      <c r="C25" t="s">
        <v>37</v>
      </c>
      <c r="D25" s="19" t="s">
        <v>64</v>
      </c>
      <c r="E25" s="19" t="s">
        <v>47</v>
      </c>
      <c r="F25" s="4">
        <v>1</v>
      </c>
    </row>
    <row r="26" spans="1:6" x14ac:dyDescent="0.25">
      <c r="A26" t="s">
        <v>66</v>
      </c>
      <c r="B26" t="s">
        <v>65</v>
      </c>
      <c r="C26" t="s">
        <v>37</v>
      </c>
      <c r="D26" s="19" t="s">
        <v>38</v>
      </c>
      <c r="E26" s="19" t="s">
        <v>48</v>
      </c>
      <c r="F26" s="4">
        <v>1</v>
      </c>
    </row>
    <row r="27" spans="1:6" x14ac:dyDescent="0.25">
      <c r="A27" t="s">
        <v>26</v>
      </c>
      <c r="B27" t="s">
        <v>15</v>
      </c>
      <c r="C27" t="s">
        <v>23</v>
      </c>
      <c r="D27" s="19" t="s">
        <v>39</v>
      </c>
      <c r="E27" s="19" t="s">
        <v>39</v>
      </c>
      <c r="F27" s="4">
        <v>-1</v>
      </c>
    </row>
    <row r="28" spans="1:6" x14ac:dyDescent="0.25">
      <c r="A28" t="s">
        <v>25</v>
      </c>
      <c r="B28" t="s">
        <v>67</v>
      </c>
      <c r="C28" t="s">
        <v>23</v>
      </c>
      <c r="D28" s="19" t="s">
        <v>68</v>
      </c>
      <c r="E28" s="19" t="s">
        <v>68</v>
      </c>
      <c r="F28" s="4">
        <v>1</v>
      </c>
    </row>
    <row r="29" spans="1:6" x14ac:dyDescent="0.25">
      <c r="A29" t="s">
        <v>69</v>
      </c>
      <c r="B29" t="s">
        <v>70</v>
      </c>
      <c r="C29" t="s">
        <v>74</v>
      </c>
      <c r="D29" s="20" t="s">
        <v>75</v>
      </c>
      <c r="E29" s="20" t="s">
        <v>79</v>
      </c>
      <c r="F29" s="4">
        <v>1</v>
      </c>
    </row>
    <row r="30" spans="1:6" x14ac:dyDescent="0.25">
      <c r="A30" t="s">
        <v>71</v>
      </c>
      <c r="B30" t="s">
        <v>70</v>
      </c>
      <c r="C30" t="s">
        <v>74</v>
      </c>
      <c r="D30" s="20" t="s">
        <v>76</v>
      </c>
      <c r="E30" s="20" t="s">
        <v>80</v>
      </c>
      <c r="F30" s="4">
        <v>1</v>
      </c>
    </row>
    <row r="31" spans="1:6" x14ac:dyDescent="0.25">
      <c r="A31" t="s">
        <v>72</v>
      </c>
      <c r="B31" t="s">
        <v>70</v>
      </c>
      <c r="C31" t="s">
        <v>74</v>
      </c>
      <c r="D31" s="20" t="s">
        <v>77</v>
      </c>
      <c r="E31" s="20" t="s">
        <v>81</v>
      </c>
      <c r="F31" s="4">
        <v>1</v>
      </c>
    </row>
    <row r="32" spans="1:6" x14ac:dyDescent="0.25">
      <c r="A32" t="s">
        <v>73</v>
      </c>
      <c r="B32" t="s">
        <v>70</v>
      </c>
      <c r="C32" t="s">
        <v>74</v>
      </c>
      <c r="D32" s="20" t="s">
        <v>78</v>
      </c>
      <c r="E32" s="20" t="s">
        <v>82</v>
      </c>
      <c r="F32" s="4">
        <v>1</v>
      </c>
    </row>
    <row r="33" spans="1:6" x14ac:dyDescent="0.25">
      <c r="A33" t="s">
        <v>84</v>
      </c>
      <c r="B33" t="s">
        <v>70</v>
      </c>
      <c r="C33" t="s">
        <v>23</v>
      </c>
      <c r="D33" s="20" t="s">
        <v>86</v>
      </c>
      <c r="E33" s="20" t="s">
        <v>86</v>
      </c>
      <c r="F33" s="4">
        <v>1</v>
      </c>
    </row>
    <row r="34" spans="1:6" x14ac:dyDescent="0.25">
      <c r="A34" t="s">
        <v>85</v>
      </c>
      <c r="B34" t="s">
        <v>70</v>
      </c>
      <c r="C34" t="s">
        <v>23</v>
      </c>
      <c r="D34" s="20" t="s">
        <v>87</v>
      </c>
      <c r="E34" s="20" t="s">
        <v>87</v>
      </c>
      <c r="F34" s="4">
        <v>1</v>
      </c>
    </row>
    <row r="35" spans="1:6" x14ac:dyDescent="0.25">
      <c r="A35" t="s">
        <v>73</v>
      </c>
      <c r="B35" t="s">
        <v>91</v>
      </c>
      <c r="C35" t="s">
        <v>90</v>
      </c>
      <c r="D35" s="20" t="s">
        <v>89</v>
      </c>
      <c r="E35" s="20" t="s">
        <v>89</v>
      </c>
      <c r="F35" s="4">
        <v>1</v>
      </c>
    </row>
    <row r="36" spans="1:6" x14ac:dyDescent="0.25">
      <c r="A36" t="s">
        <v>7</v>
      </c>
      <c r="B36" t="s">
        <v>92</v>
      </c>
      <c r="C36" t="s">
        <v>93</v>
      </c>
      <c r="D36" s="20" t="s">
        <v>94</v>
      </c>
      <c r="E36" s="20" t="s">
        <v>94</v>
      </c>
      <c r="F36" s="4">
        <v>1</v>
      </c>
    </row>
    <row r="37" spans="1:6" x14ac:dyDescent="0.25">
      <c r="A37" t="s">
        <v>95</v>
      </c>
      <c r="B37" t="s">
        <v>70</v>
      </c>
      <c r="C37" t="s">
        <v>23</v>
      </c>
      <c r="D37" s="20" t="s">
        <v>96</v>
      </c>
      <c r="E37" s="20" t="s">
        <v>96</v>
      </c>
      <c r="F37" s="4">
        <v>1</v>
      </c>
    </row>
    <row r="38" spans="1:6" x14ac:dyDescent="0.25">
      <c r="A38" t="s">
        <v>7</v>
      </c>
      <c r="B38" t="s">
        <v>99</v>
      </c>
      <c r="C38" t="s">
        <v>23</v>
      </c>
      <c r="D38" s="20" t="s">
        <v>97</v>
      </c>
      <c r="E38" s="20" t="s">
        <v>97</v>
      </c>
      <c r="F38" s="4">
        <v>1</v>
      </c>
    </row>
    <row r="39" spans="1:6" x14ac:dyDescent="0.25">
      <c r="A39" t="s">
        <v>25</v>
      </c>
      <c r="B39" t="s">
        <v>99</v>
      </c>
      <c r="C39" t="s">
        <v>23</v>
      </c>
      <c r="D39" s="20" t="s">
        <v>98</v>
      </c>
      <c r="E39" s="20" t="s">
        <v>100</v>
      </c>
      <c r="F39" s="4">
        <v>1</v>
      </c>
    </row>
  </sheetData>
  <hyperlinks>
    <hyperlink ref="B1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Summary</vt:lpstr>
      <vt:lpstr>Report_1</vt:lpstr>
      <vt:lpstr>Database View</vt:lpstr>
      <vt:lpstr>Input</vt:lpstr>
      <vt:lpstr>DBDataStart</vt:lpstr>
      <vt:lpstr>DBDefStart</vt:lpstr>
      <vt:lpstr>FormFolder</vt:lpstr>
      <vt:lpstr>InputStart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 Saint Didier, Emmanuel</dc:creator>
  <cp:lastModifiedBy>Li, Mei</cp:lastModifiedBy>
  <dcterms:created xsi:type="dcterms:W3CDTF">2006-09-16T00:00:00Z</dcterms:created>
  <dcterms:modified xsi:type="dcterms:W3CDTF">2015-11-03T01:12:30Z</dcterms:modified>
</cp:coreProperties>
</file>