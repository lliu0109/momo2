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2705" yWindow="-15" windowWidth="12510" windowHeight="12405"/>
  </bookViews>
  <sheets>
    <sheet name="Run" sheetId="1" r:id="rId1"/>
    <sheet name="Input" sheetId="2" r:id="rId2"/>
  </sheets>
  <functionGroups builtInGroupCount="17"/>
  <definedNames>
    <definedName name="FormFolder">Input!$C$3</definedName>
    <definedName name="InputStart">Input!$B$5</definedName>
    <definedName name="ReportData">Run!$C$6:$I$15</definedName>
    <definedName name="ReportDataToCopy">Run!$B$5:$I$15</definedName>
    <definedName name="ReportStart">Run!$B$5</definedName>
  </definedNames>
  <calcPr calcId="145621"/>
</workbook>
</file>

<file path=xl/calcChain.xml><?xml version="1.0" encoding="utf-8"?>
<calcChain xmlns="http://schemas.openxmlformats.org/spreadsheetml/2006/main">
  <c r="I29" i="1" l="1"/>
  <c r="H29" i="1"/>
  <c r="G29" i="1"/>
  <c r="F29" i="1"/>
  <c r="E29" i="1"/>
  <c r="D29" i="1"/>
  <c r="I28" i="1"/>
  <c r="H28" i="1"/>
  <c r="G28" i="1"/>
  <c r="F28" i="1"/>
  <c r="E28" i="1"/>
  <c r="D28" i="1"/>
  <c r="I27" i="1"/>
  <c r="H27" i="1"/>
  <c r="G27" i="1"/>
  <c r="F27" i="1"/>
  <c r="E27" i="1"/>
  <c r="D27" i="1"/>
  <c r="I26" i="1"/>
  <c r="H26" i="1"/>
  <c r="G26" i="1"/>
  <c r="F26" i="1"/>
  <c r="E26" i="1"/>
  <c r="D26" i="1"/>
  <c r="I25" i="1"/>
  <c r="H25" i="1"/>
  <c r="G25" i="1"/>
  <c r="F25" i="1"/>
  <c r="E25" i="1"/>
  <c r="D25" i="1"/>
  <c r="I24" i="1"/>
  <c r="H24" i="1"/>
  <c r="G24" i="1"/>
  <c r="F24" i="1"/>
  <c r="E24" i="1"/>
  <c r="D24" i="1"/>
  <c r="I23" i="1"/>
  <c r="H23" i="1"/>
  <c r="G23" i="1"/>
  <c r="F23" i="1"/>
  <c r="E23" i="1"/>
  <c r="D23" i="1"/>
  <c r="I22" i="1"/>
  <c r="H22" i="1"/>
  <c r="G22" i="1"/>
  <c r="F22" i="1"/>
  <c r="E22" i="1"/>
  <c r="D22" i="1"/>
  <c r="I21" i="1"/>
  <c r="H21" i="1"/>
  <c r="G21" i="1"/>
  <c r="F21" i="1"/>
  <c r="E21" i="1"/>
  <c r="D21" i="1"/>
  <c r="I20" i="1"/>
  <c r="H20" i="1"/>
  <c r="G20" i="1"/>
  <c r="F20" i="1"/>
  <c r="E20" i="1"/>
  <c r="D20" i="1"/>
  <c r="C29" i="1"/>
  <c r="C28" i="1"/>
  <c r="C27" i="1"/>
  <c r="C26" i="1"/>
  <c r="C25" i="1"/>
  <c r="C24" i="1"/>
  <c r="C23" i="1"/>
  <c r="C22" i="1"/>
  <c r="C21" i="1"/>
  <c r="C20" i="1"/>
  <c r="I16" i="1" l="1"/>
  <c r="H16" i="1"/>
  <c r="G16" i="1"/>
  <c r="F16" i="1"/>
  <c r="E16" i="1"/>
  <c r="D16" i="1"/>
  <c r="C16" i="1"/>
  <c r="E12" i="2" l="1"/>
  <c r="E11" i="2"/>
  <c r="E10" i="2"/>
  <c r="E9" i="2"/>
  <c r="E8" i="2"/>
  <c r="E7" i="2"/>
  <c r="E6" i="2"/>
  <c r="B5" i="1" l="1"/>
</calcChain>
</file>

<file path=xl/sharedStrings.xml><?xml version="1.0" encoding="utf-8"?>
<sst xmlns="http://schemas.openxmlformats.org/spreadsheetml/2006/main" count="71" uniqueCount="33">
  <si>
    <t>Form Folder</t>
  </si>
  <si>
    <t>DAP</t>
  </si>
  <si>
    <t>ML</t>
  </si>
  <si>
    <t>USL</t>
  </si>
  <si>
    <t>VALIC-GMWB</t>
  </si>
  <si>
    <t>VALIC-VIX-DAP</t>
  </si>
  <si>
    <t>VIX</t>
  </si>
  <si>
    <t>GMAB</t>
  </si>
  <si>
    <t>Folder Name</t>
  </si>
  <si>
    <t>GMWB-DAP</t>
  </si>
  <si>
    <t>GMWB-ML</t>
  </si>
  <si>
    <t>VALIC_GMWB</t>
  </si>
  <si>
    <t>VALIC_VIX_DAP</t>
  </si>
  <si>
    <t>GMWB-VIX</t>
  </si>
  <si>
    <t>File Name Prefix</t>
  </si>
  <si>
    <t>Last Trade Date</t>
  </si>
  <si>
    <t>\\whpnxx6070n1\mrm_dept\v02\FORMS\GMLB\</t>
  </si>
  <si>
    <t>0-1</t>
  </si>
  <si>
    <t>1-2</t>
  </si>
  <si>
    <t>2-3</t>
  </si>
  <si>
    <t>3-5</t>
  </si>
  <si>
    <t>5-7</t>
  </si>
  <si>
    <t>7-10</t>
  </si>
  <si>
    <t>10-15</t>
  </si>
  <si>
    <t>15-20</t>
  </si>
  <si>
    <t>20-25</t>
  </si>
  <si>
    <t>25+</t>
  </si>
  <si>
    <t>Key Vega Sheet</t>
  </si>
  <si>
    <t>LiabilitySQL</t>
  </si>
  <si>
    <t>Key Vega Cell Start</t>
  </si>
  <si>
    <t>Total</t>
  </si>
  <si>
    <t>AI33</t>
  </si>
  <si>
    <t>Key Vega %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</si>
</sst>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43" formatCode="_(* #,##0.00_);_(* \(#,##0.00\);_(* &quot;-&quot;??_);_(@_)"/>
  </numFmts>
  <fonts count="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70C0"/>
      <name val="Calibri"/>
      <family val="2"/>
      <scheme val="minor"/>
    </font>
    <font>
      <b/>
      <sz val="11"/>
      <color rgb="FF0070C0"/>
      <name val="Calibri"/>
      <family val="2"/>
      <scheme val="minor"/>
    </font>
    <font>
      <sz val="11"/>
      <color rgb="FF000000"/>
      <name val="Calibri"/>
      <family val="2"/>
    </font>
    <font>
      <u/>
      <sz val="11"/>
      <color theme="10"/>
      <name val="Calibri"/>
      <family val="2"/>
      <scheme val="minor"/>
    </font>
    <font>
      <sz val="9"/>
      <color theme="1"/>
      <name val="Calibri"/>
      <family val="2"/>
      <scheme val="minor"/>
    </font>
    <font>
      <sz val="1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/>
        <bgColor indexed="64"/>
      </patternFill>
    </fill>
  </fills>
  <borders count="3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4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6" fillId="0" borderId="0" applyNumberFormat="0" applyFill="0" applyBorder="0" applyAlignment="0" applyProtection="0"/>
  </cellStyleXfs>
  <cellXfs count="23">
    <xf numFmtId="0" fontId="0" fillId="0" borderId="0" xfId="0"/>
    <xf numFmtId="14" fontId="2" fillId="2" borderId="1" xfId="0" applyNumberFormat="1" applyFont="1" applyFill="1" applyBorder="1" applyAlignment="1">
      <alignment horizontal="center"/>
    </xf>
    <xf numFmtId="0" fontId="2" fillId="0" borderId="0" xfId="0" applyFont="1" applyAlignment="1">
      <alignment horizontal="left"/>
    </xf>
    <xf numFmtId="0" fontId="4" fillId="0" borderId="0" xfId="0" applyFont="1"/>
    <xf numFmtId="0" fontId="3" fillId="0" borderId="0" xfId="0" applyFont="1" applyAlignment="1">
      <alignment horizontal="left"/>
    </xf>
    <xf numFmtId="3" fontId="3" fillId="0" borderId="0" xfId="0" applyNumberFormat="1" applyFont="1" applyAlignment="1">
      <alignment horizontal="left"/>
    </xf>
    <xf numFmtId="0" fontId="0" fillId="0" borderId="0" xfId="0" applyFont="1" applyAlignment="1">
      <alignment horizontal="left"/>
    </xf>
    <xf numFmtId="0" fontId="0" fillId="0" borderId="0" xfId="0" applyAlignment="1">
      <alignment horizontal="left"/>
    </xf>
    <xf numFmtId="0" fontId="2" fillId="2" borderId="1" xfId="0" applyFont="1" applyFill="1" applyBorder="1" applyAlignment="1">
      <alignment horizontal="right"/>
    </xf>
    <xf numFmtId="0" fontId="6" fillId="0" borderId="0" xfId="3"/>
    <xf numFmtId="0" fontId="0" fillId="3" borderId="0" xfId="0" applyFill="1"/>
    <xf numFmtId="0" fontId="7" fillId="0" borderId="0" xfId="0" applyFont="1" applyFill="1"/>
    <xf numFmtId="0" fontId="0" fillId="3" borderId="0" xfId="0" applyFill="1" applyBorder="1"/>
    <xf numFmtId="0" fontId="7" fillId="0" borderId="0" xfId="0" applyFont="1" applyFill="1" applyBorder="1"/>
    <xf numFmtId="0" fontId="7" fillId="0" borderId="2" xfId="0" applyFont="1" applyFill="1" applyBorder="1"/>
    <xf numFmtId="3" fontId="8" fillId="0" borderId="0" xfId="0" applyNumberFormat="1" applyFont="1" applyFill="1" applyBorder="1" applyAlignment="1">
      <alignment horizontal="right"/>
    </xf>
    <xf numFmtId="3" fontId="8" fillId="0" borderId="0" xfId="2" applyNumberFormat="1" applyFont="1" applyFill="1" applyBorder="1" applyAlignment="1">
      <alignment horizontal="right"/>
    </xf>
    <xf numFmtId="3" fontId="8" fillId="0" borderId="0" xfId="1" applyNumberFormat="1" applyFont="1" applyFill="1" applyBorder="1" applyAlignment="1">
      <alignment horizontal="right"/>
    </xf>
    <xf numFmtId="3" fontId="8" fillId="0" borderId="2" xfId="0" applyNumberFormat="1" applyFont="1" applyFill="1" applyBorder="1" applyAlignment="1">
      <alignment horizontal="right"/>
    </xf>
    <xf numFmtId="0" fontId="0" fillId="3" borderId="0" xfId="0" applyFill="1" applyAlignment="1">
      <alignment horizontal="left"/>
    </xf>
    <xf numFmtId="37" fontId="0" fillId="3" borderId="0" xfId="0" applyNumberFormat="1" applyFill="1" applyBorder="1" applyAlignment="1">
      <alignment horizontal="right"/>
    </xf>
    <xf numFmtId="10" fontId="8" fillId="0" borderId="0" xfId="2" applyNumberFormat="1" applyFont="1" applyFill="1" applyBorder="1" applyAlignment="1">
      <alignment horizontal="right"/>
    </xf>
    <xf numFmtId="10" fontId="8" fillId="0" borderId="2" xfId="2" applyNumberFormat="1" applyFont="1" applyFill="1" applyBorder="1" applyAlignment="1">
      <alignment horizontal="right"/>
    </xf>
  </cellXfs>
  <cellStyles count="4">
    <cellStyle name="Comma" xfId="1" builtinId="3"/>
    <cellStyle name="Hyperlink" xfId="3" builtinId="8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cat>
            <c:strRef>
              <c:f>Run!$B$6:$B$15</c:f>
              <c:strCache>
                <c:ptCount val="10"/>
                <c:pt idx="0">
                  <c:v>0-1</c:v>
                </c:pt>
                <c:pt idx="1">
                  <c:v>1-2</c:v>
                </c:pt>
                <c:pt idx="2">
                  <c:v>2-3</c:v>
                </c:pt>
                <c:pt idx="3">
                  <c:v>3-5</c:v>
                </c:pt>
                <c:pt idx="4">
                  <c:v>5-7</c:v>
                </c:pt>
                <c:pt idx="5">
                  <c:v>7-10</c:v>
                </c:pt>
                <c:pt idx="6">
                  <c:v>10-15</c:v>
                </c:pt>
                <c:pt idx="7">
                  <c:v>15-20</c:v>
                </c:pt>
                <c:pt idx="8">
                  <c:v>20-25</c:v>
                </c:pt>
                <c:pt idx="9">
                  <c:v>25+</c:v>
                </c:pt>
              </c:strCache>
            </c:strRef>
          </c:cat>
          <c:val>
            <c:numRef>
              <c:f>Run!$C$6:$C$15</c:f>
              <c:numCache>
                <c:formatCode>#,##0</c:formatCode>
                <c:ptCount val="10"/>
                <c:pt idx="0">
                  <c:v>1414616.7261002064</c:v>
                </c:pt>
                <c:pt idx="1">
                  <c:v>1690520.79529953</c:v>
                </c:pt>
                <c:pt idx="2">
                  <c:v>2704476.6987998486</c:v>
                </c:pt>
                <c:pt idx="3">
                  <c:v>6124998.4145998955</c:v>
                </c:pt>
                <c:pt idx="4">
                  <c:v>4191472.3980998993</c:v>
                </c:pt>
                <c:pt idx="5">
                  <c:v>3990746.3247001171</c:v>
                </c:pt>
                <c:pt idx="6">
                  <c:v>3054326.0685999393</c:v>
                </c:pt>
                <c:pt idx="7">
                  <c:v>427381.73140025139</c:v>
                </c:pt>
                <c:pt idx="8">
                  <c:v>35073.226100444794</c:v>
                </c:pt>
                <c:pt idx="9">
                  <c:v>3930.8036000728607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73657472"/>
        <c:axId val="573659392"/>
      </c:barChart>
      <c:catAx>
        <c:axId val="573657472"/>
        <c:scaling>
          <c:orientation val="minMax"/>
        </c:scaling>
        <c:delete val="0"/>
        <c:axPos val="b"/>
        <c:majorTickMark val="out"/>
        <c:minorTickMark val="none"/>
        <c:tickLblPos val="nextTo"/>
        <c:crossAx val="573659392"/>
        <c:crosses val="autoZero"/>
        <c:auto val="1"/>
        <c:lblAlgn val="ctr"/>
        <c:lblOffset val="100"/>
        <c:noMultiLvlLbl val="0"/>
      </c:catAx>
      <c:valAx>
        <c:axId val="573659392"/>
        <c:scaling>
          <c:orientation val="minMax"/>
        </c:scaling>
        <c:delete val="0"/>
        <c:axPos val="l"/>
        <c:numFmt formatCode="#,##0" sourceLinked="1"/>
        <c:majorTickMark val="out"/>
        <c:minorTickMark val="none"/>
        <c:tickLblPos val="nextTo"/>
        <c:crossAx val="573657472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180975</xdr:rowOff>
        </xdr:from>
        <xdr:to>
          <xdr:col>2</xdr:col>
          <xdr:colOff>695325</xdr:colOff>
          <xdr:row>3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 Inputs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895350</xdr:colOff>
          <xdr:row>0</xdr:row>
          <xdr:rowOff>180975</xdr:rowOff>
        </xdr:from>
        <xdr:to>
          <xdr:col>3</xdr:col>
          <xdr:colOff>1200150</xdr:colOff>
          <xdr:row>3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571500</xdr:colOff>
      <xdr:row>30</xdr:row>
      <xdr:rowOff>61912</xdr:rowOff>
    </xdr:from>
    <xdr:to>
      <xdr:col>4</xdr:col>
      <xdr:colOff>495300</xdr:colOff>
      <xdr:row>44</xdr:row>
      <xdr:rowOff>138112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hyperlink" Target="../..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5:J29"/>
  <sheetViews>
    <sheetView tabSelected="1" workbookViewId="0">
      <selection activeCell="J34" sqref="J34"/>
    </sheetView>
  </sheetViews>
  <sheetFormatPr defaultRowHeight="15" x14ac:dyDescent="0.25"/>
  <cols>
    <col min="1" max="1" width="9.140625" style="10"/>
    <col min="2" max="2" width="14.42578125" style="10" bestFit="1" customWidth="1"/>
    <col min="3" max="3" width="20.28515625" style="10" customWidth="1"/>
    <col min="4" max="4" width="25.85546875" style="10" bestFit="1" customWidth="1"/>
    <col min="5" max="8" width="20.28515625" style="10" customWidth="1"/>
    <col min="9" max="9" width="24.140625" style="10" customWidth="1"/>
    <col min="10" max="10" width="20.28515625" style="10" customWidth="1"/>
    <col min="11" max="16384" width="9.140625" style="10"/>
  </cols>
  <sheetData>
    <row r="5" spans="2:10" x14ac:dyDescent="0.25">
      <c r="B5" s="1">
        <f ca="1">TODAY()</f>
        <v>42061</v>
      </c>
      <c r="C5" s="8" t="s">
        <v>1</v>
      </c>
      <c r="D5" s="8" t="s">
        <v>2</v>
      </c>
      <c r="E5" s="8" t="s">
        <v>3</v>
      </c>
      <c r="F5" s="8" t="s">
        <v>4</v>
      </c>
      <c r="G5" s="8" t="s">
        <v>5</v>
      </c>
      <c r="H5" s="8" t="s">
        <v>6</v>
      </c>
      <c r="I5" s="8" t="s">
        <v>7</v>
      </c>
    </row>
    <row r="6" spans="2:10" x14ac:dyDescent="0.25">
      <c r="B6" s="13" t="s">
        <v>17</v>
      </c>
      <c r="C6" s="15">
        <v>1414616.7261002064</v>
      </c>
      <c r="D6" s="15">
        <v>-4477729.2747999132</v>
      </c>
      <c r="E6" s="15">
        <v>-146661.52650002716</v>
      </c>
      <c r="F6" s="15">
        <v>-2013680.1121000051</v>
      </c>
      <c r="G6" s="15">
        <v>-518829.12380001694</v>
      </c>
      <c r="H6" s="15">
        <v>-1463197.0473999381</v>
      </c>
      <c r="I6" s="16">
        <v>-123976.86050000042</v>
      </c>
      <c r="J6" s="12"/>
    </row>
    <row r="7" spans="2:10" x14ac:dyDescent="0.25">
      <c r="B7" s="11" t="s">
        <v>18</v>
      </c>
      <c r="C7" s="15">
        <v>1690520.79529953</v>
      </c>
      <c r="D7" s="15">
        <v>-3610417.0068000555</v>
      </c>
      <c r="E7" s="15">
        <v>-62845.077899988159</v>
      </c>
      <c r="F7" s="15">
        <v>-1842169.7600000203</v>
      </c>
      <c r="G7" s="15">
        <v>-350091.36210002005</v>
      </c>
      <c r="H7" s="15">
        <v>-1017112.8897000551</v>
      </c>
      <c r="I7" s="16">
        <v>-92071.953800001182</v>
      </c>
      <c r="J7" s="12"/>
    </row>
    <row r="8" spans="2:10" x14ac:dyDescent="0.25">
      <c r="B8" s="11" t="s">
        <v>19</v>
      </c>
      <c r="C8" s="15">
        <v>2704476.6987998486</v>
      </c>
      <c r="D8" s="15">
        <v>-3025916.689899981</v>
      </c>
      <c r="E8" s="15">
        <v>75311.388999967137</v>
      </c>
      <c r="F8" s="15">
        <v>-1729117.9059999883</v>
      </c>
      <c r="G8" s="15">
        <v>-213588.32799997181</v>
      </c>
      <c r="H8" s="15">
        <v>-562565.39689999819</v>
      </c>
      <c r="I8" s="16">
        <v>-41351.890000000596</v>
      </c>
      <c r="J8" s="12"/>
    </row>
    <row r="9" spans="2:10" x14ac:dyDescent="0.25">
      <c r="B9" s="11" t="s">
        <v>20</v>
      </c>
      <c r="C9" s="15">
        <v>6124998.4145998955</v>
      </c>
      <c r="D9" s="15">
        <v>-3610997.4512999952</v>
      </c>
      <c r="E9" s="15">
        <v>363385.11339997803</v>
      </c>
      <c r="F9" s="15">
        <v>-2437297.3544999361</v>
      </c>
      <c r="G9" s="15">
        <v>-91645.582099989057</v>
      </c>
      <c r="H9" s="15">
        <v>-184253.5463000536</v>
      </c>
      <c r="I9" s="16">
        <v>-4113.7311000004411</v>
      </c>
      <c r="J9" s="12"/>
    </row>
    <row r="10" spans="2:10" x14ac:dyDescent="0.25">
      <c r="B10" s="11" t="s">
        <v>21</v>
      </c>
      <c r="C10" s="15">
        <v>4191472.3980998993</v>
      </c>
      <c r="D10" s="15">
        <v>-1770964.3955999315</v>
      </c>
      <c r="E10" s="15">
        <v>292332.49989997596</v>
      </c>
      <c r="F10" s="15">
        <v>-1384560.9714000225</v>
      </c>
      <c r="G10" s="15">
        <v>79473.806200005114</v>
      </c>
      <c r="H10" s="15">
        <v>289660.93559998274</v>
      </c>
      <c r="I10" s="16">
        <v>-29.21999999973923</v>
      </c>
      <c r="J10" s="12"/>
    </row>
    <row r="11" spans="2:10" x14ac:dyDescent="0.25">
      <c r="B11" s="11" t="s">
        <v>22</v>
      </c>
      <c r="C11" s="15">
        <v>3990746.3247001171</v>
      </c>
      <c r="D11" s="15">
        <v>-1041171.2967000008</v>
      </c>
      <c r="E11" s="15">
        <v>316204.34090000391</v>
      </c>
      <c r="F11" s="15">
        <v>-954032.13379999995</v>
      </c>
      <c r="G11" s="15">
        <v>240123.41349998116</v>
      </c>
      <c r="H11" s="15">
        <v>610102.50149995089</v>
      </c>
      <c r="I11" s="16">
        <v>0</v>
      </c>
      <c r="J11" s="12"/>
    </row>
    <row r="12" spans="2:10" x14ac:dyDescent="0.25">
      <c r="B12" s="11" t="s">
        <v>23</v>
      </c>
      <c r="C12" s="15">
        <v>3054326.0685999393</v>
      </c>
      <c r="D12" s="15">
        <v>-399005.96109995246</v>
      </c>
      <c r="E12" s="15">
        <v>266290.73240003735</v>
      </c>
      <c r="F12" s="15">
        <v>-478756.57490000129</v>
      </c>
      <c r="G12" s="15">
        <v>282971.64699999988</v>
      </c>
      <c r="H12" s="15">
        <v>479785.67419993877</v>
      </c>
      <c r="I12" s="16">
        <v>0</v>
      </c>
      <c r="J12" s="12"/>
    </row>
    <row r="13" spans="2:10" x14ac:dyDescent="0.25">
      <c r="B13" s="11" t="s">
        <v>24</v>
      </c>
      <c r="C13" s="17">
        <v>427381.73140025139</v>
      </c>
      <c r="D13" s="17">
        <v>-54206.114299982786</v>
      </c>
      <c r="E13" s="17">
        <v>37712.207700002939</v>
      </c>
      <c r="F13" s="17">
        <v>-91835.019900023937</v>
      </c>
      <c r="G13" s="17">
        <v>61072.891800001264</v>
      </c>
      <c r="H13" s="17">
        <v>60007.84450006485</v>
      </c>
      <c r="I13" s="16">
        <v>0</v>
      </c>
      <c r="J13" s="12"/>
    </row>
    <row r="14" spans="2:10" x14ac:dyDescent="0.25">
      <c r="B14" s="13" t="s">
        <v>25</v>
      </c>
      <c r="C14" s="15">
        <v>35073.226100444794</v>
      </c>
      <c r="D14" s="15">
        <v>-7204.0541998744011</v>
      </c>
      <c r="E14" s="15">
        <v>2787.4148999713361</v>
      </c>
      <c r="F14" s="15">
        <v>-16798.747000008821</v>
      </c>
      <c r="G14" s="15">
        <v>9631.7079999893904</v>
      </c>
      <c r="H14" s="15">
        <v>5487.423799932003</v>
      </c>
      <c r="I14" s="16">
        <v>0</v>
      </c>
      <c r="J14" s="12"/>
    </row>
    <row r="15" spans="2:10" x14ac:dyDescent="0.25">
      <c r="B15" s="14" t="s">
        <v>26</v>
      </c>
      <c r="C15" s="18">
        <v>3930.8036000728607</v>
      </c>
      <c r="D15" s="18">
        <v>-985.34249994158745</v>
      </c>
      <c r="E15" s="18">
        <v>301.72209998965263</v>
      </c>
      <c r="F15" s="18">
        <v>-3207.6083999872208</v>
      </c>
      <c r="G15" s="18">
        <v>1707.1935000047088</v>
      </c>
      <c r="H15" s="18">
        <v>665.05100005865097</v>
      </c>
      <c r="I15" s="18">
        <v>0</v>
      </c>
      <c r="J15" s="12"/>
    </row>
    <row r="16" spans="2:10" x14ac:dyDescent="0.25">
      <c r="B16" s="19" t="s">
        <v>30</v>
      </c>
      <c r="C16" s="20">
        <f>SUM(C6:C15)</f>
        <v>23637543.187300205</v>
      </c>
      <c r="D16" s="20">
        <f t="shared" ref="D16:I16" si="0">SUM(D6:D15)</f>
        <v>-17998597.587199628</v>
      </c>
      <c r="E16" s="20">
        <f t="shared" si="0"/>
        <v>1144818.8158999109</v>
      </c>
      <c r="F16" s="20">
        <f t="shared" si="0"/>
        <v>-10951456.187999994</v>
      </c>
      <c r="G16" s="20">
        <f t="shared" si="0"/>
        <v>-499173.73600001633</v>
      </c>
      <c r="H16" s="20">
        <f t="shared" si="0"/>
        <v>-1781419.4497001171</v>
      </c>
      <c r="I16" s="20">
        <f t="shared" si="0"/>
        <v>-261543.65540000238</v>
      </c>
      <c r="J16" s="12"/>
    </row>
    <row r="19" spans="2:9" x14ac:dyDescent="0.25">
      <c r="B19" s="1" t="s">
        <v>32</v>
      </c>
      <c r="C19" s="8" t="s">
        <v>1</v>
      </c>
      <c r="D19" s="8" t="s">
        <v>2</v>
      </c>
      <c r="E19" s="8" t="s">
        <v>3</v>
      </c>
      <c r="F19" s="8" t="s">
        <v>4</v>
      </c>
      <c r="G19" s="8" t="s">
        <v>5</v>
      </c>
      <c r="H19" s="8" t="s">
        <v>6</v>
      </c>
      <c r="I19" s="8" t="s">
        <v>7</v>
      </c>
    </row>
    <row r="20" spans="2:9" x14ac:dyDescent="0.25">
      <c r="B20" s="13" t="s">
        <v>17</v>
      </c>
      <c r="C20" s="21">
        <f>C6/SUM(C$6:C$15)</f>
        <v>5.9846182612592357E-2</v>
      </c>
      <c r="D20" s="21">
        <f t="shared" ref="D20:I20" si="1">D6/SUM(D$6:D$15)</f>
        <v>0.24878212055723811</v>
      </c>
      <c r="E20" s="21">
        <f t="shared" si="1"/>
        <v>-0.12810894131290157</v>
      </c>
      <c r="F20" s="21">
        <f t="shared" si="1"/>
        <v>0.18387327470720155</v>
      </c>
      <c r="G20" s="21">
        <f t="shared" si="1"/>
        <v>1.0393758452868602</v>
      </c>
      <c r="H20" s="21">
        <f t="shared" si="1"/>
        <v>0.82136582018695914</v>
      </c>
      <c r="I20" s="21">
        <f t="shared" si="1"/>
        <v>0.47401975899737037</v>
      </c>
    </row>
    <row r="21" spans="2:9" x14ac:dyDescent="0.25">
      <c r="B21" s="11" t="s">
        <v>18</v>
      </c>
      <c r="C21" s="21">
        <f t="shared" ref="C21:I29" si="2">C7/SUM(C$6:C$15)</f>
        <v>7.1518464584246627E-2</v>
      </c>
      <c r="D21" s="21">
        <f t="shared" si="2"/>
        <v>0.20059435127144226</v>
      </c>
      <c r="E21" s="21">
        <f t="shared" si="2"/>
        <v>-5.4895217502681726E-2</v>
      </c>
      <c r="F21" s="21">
        <f t="shared" si="2"/>
        <v>0.16821231152972782</v>
      </c>
      <c r="G21" s="21">
        <f t="shared" si="2"/>
        <v>0.70134171101503751</v>
      </c>
      <c r="H21" s="21">
        <f t="shared" si="2"/>
        <v>0.57095643020585363</v>
      </c>
      <c r="I21" s="21">
        <f t="shared" si="2"/>
        <v>0.35203283237434002</v>
      </c>
    </row>
    <row r="22" spans="2:9" x14ac:dyDescent="0.25">
      <c r="B22" s="11" t="s">
        <v>19</v>
      </c>
      <c r="C22" s="21">
        <f t="shared" si="2"/>
        <v>0.11441445827808741</v>
      </c>
      <c r="D22" s="21">
        <f t="shared" si="2"/>
        <v>0.16811958127515303</v>
      </c>
      <c r="E22" s="21">
        <f t="shared" si="2"/>
        <v>6.5784548571353546E-2</v>
      </c>
      <c r="F22" s="21">
        <f t="shared" si="2"/>
        <v>0.15788931410734777</v>
      </c>
      <c r="G22" s="21">
        <f t="shared" si="2"/>
        <v>0.42788374587072592</v>
      </c>
      <c r="H22" s="21">
        <f t="shared" si="2"/>
        <v>0.3157961461545174</v>
      </c>
      <c r="I22" s="21">
        <f t="shared" si="2"/>
        <v>0.15810702781819505</v>
      </c>
    </row>
    <row r="23" spans="2:9" x14ac:dyDescent="0.25">
      <c r="B23" s="11" t="s">
        <v>20</v>
      </c>
      <c r="C23" s="21">
        <f t="shared" si="2"/>
        <v>0.25912161708458292</v>
      </c>
      <c r="D23" s="21">
        <f t="shared" si="2"/>
        <v>0.20062660070071739</v>
      </c>
      <c r="E23" s="21">
        <f t="shared" si="2"/>
        <v>0.31741713916042769</v>
      </c>
      <c r="F23" s="21">
        <f t="shared" si="2"/>
        <v>0.22255463681355847</v>
      </c>
      <c r="G23" s="21">
        <f t="shared" si="2"/>
        <v>0.18359455934994556</v>
      </c>
      <c r="H23" s="21">
        <f t="shared" si="2"/>
        <v>0.10343074806501676</v>
      </c>
      <c r="I23" s="21">
        <f t="shared" si="2"/>
        <v>1.5728659499344152E-2</v>
      </c>
    </row>
    <row r="24" spans="2:9" x14ac:dyDescent="0.25">
      <c r="B24" s="11" t="s">
        <v>21</v>
      </c>
      <c r="C24" s="21">
        <f t="shared" si="2"/>
        <v>0.17732267541035571</v>
      </c>
      <c r="D24" s="21">
        <f t="shared" si="2"/>
        <v>9.8394576967453212E-2</v>
      </c>
      <c r="E24" s="21">
        <f t="shared" si="2"/>
        <v>0.25535263383156515</v>
      </c>
      <c r="F24" s="21">
        <f t="shared" si="2"/>
        <v>0.12642711139338242</v>
      </c>
      <c r="G24" s="21">
        <f t="shared" si="2"/>
        <v>-0.15921071256041106</v>
      </c>
      <c r="H24" s="21">
        <f t="shared" si="2"/>
        <v>-0.16260119740398257</v>
      </c>
      <c r="I24" s="21">
        <f t="shared" si="2"/>
        <v>1.1172131075040013E-4</v>
      </c>
    </row>
    <row r="25" spans="2:9" x14ac:dyDescent="0.25">
      <c r="B25" s="11" t="s">
        <v>22</v>
      </c>
      <c r="C25" s="21">
        <f t="shared" si="2"/>
        <v>0.16883084223593228</v>
      </c>
      <c r="D25" s="21">
        <f t="shared" si="2"/>
        <v>5.7847356809647685E-2</v>
      </c>
      <c r="E25" s="21">
        <f t="shared" si="2"/>
        <v>0.27620470288256427</v>
      </c>
      <c r="F25" s="21">
        <f t="shared" si="2"/>
        <v>8.711463730689771E-2</v>
      </c>
      <c r="G25" s="21">
        <f t="shared" si="2"/>
        <v>-0.48104176198078918</v>
      </c>
      <c r="H25" s="21">
        <f t="shared" si="2"/>
        <v>-0.34248110494283374</v>
      </c>
      <c r="I25" s="21">
        <f t="shared" si="2"/>
        <v>0</v>
      </c>
    </row>
    <row r="26" spans="2:9" x14ac:dyDescent="0.25">
      <c r="B26" s="11" t="s">
        <v>23</v>
      </c>
      <c r="C26" s="21">
        <f t="shared" si="2"/>
        <v>0.12921503916028565</v>
      </c>
      <c r="D26" s="21">
        <f t="shared" si="2"/>
        <v>2.2168725044651276E-2</v>
      </c>
      <c r="E26" s="21">
        <f t="shared" si="2"/>
        <v>0.2326051325341936</v>
      </c>
      <c r="F26" s="21">
        <f t="shared" si="2"/>
        <v>4.3716248020477542E-2</v>
      </c>
      <c r="G26" s="21">
        <f t="shared" si="2"/>
        <v>-0.56688007920350725</v>
      </c>
      <c r="H26" s="21">
        <f t="shared" si="2"/>
        <v>-0.26932773989904824</v>
      </c>
      <c r="I26" s="21">
        <f t="shared" si="2"/>
        <v>0</v>
      </c>
    </row>
    <row r="27" spans="2:9" x14ac:dyDescent="0.25">
      <c r="B27" s="11" t="s">
        <v>24</v>
      </c>
      <c r="C27" s="21">
        <f t="shared" si="2"/>
        <v>1.8080632492714882E-2</v>
      </c>
      <c r="D27" s="21">
        <f t="shared" si="2"/>
        <v>3.0116854403441679E-3</v>
      </c>
      <c r="E27" s="21">
        <f t="shared" si="2"/>
        <v>3.2941638603623404E-2</v>
      </c>
      <c r="F27" s="21">
        <f t="shared" si="2"/>
        <v>8.3856446415456354E-3</v>
      </c>
      <c r="G27" s="21">
        <f t="shared" si="2"/>
        <v>-0.12234796704127732</v>
      </c>
      <c r="H27" s="21">
        <f t="shared" si="2"/>
        <v>-3.3685409974706704E-2</v>
      </c>
      <c r="I27" s="21">
        <f t="shared" si="2"/>
        <v>0</v>
      </c>
    </row>
    <row r="28" spans="2:9" x14ac:dyDescent="0.25">
      <c r="B28" s="13" t="s">
        <v>25</v>
      </c>
      <c r="C28" s="21">
        <f t="shared" si="2"/>
        <v>1.4837932107634884E-3</v>
      </c>
      <c r="D28" s="21">
        <f t="shared" si="2"/>
        <v>4.0025641803324901E-4</v>
      </c>
      <c r="E28" s="21">
        <f t="shared" si="2"/>
        <v>2.4348087760771341E-3</v>
      </c>
      <c r="F28" s="21">
        <f t="shared" si="2"/>
        <v>1.5339281563684626E-3</v>
      </c>
      <c r="G28" s="21">
        <f t="shared" si="2"/>
        <v>-1.929530202684597E-2</v>
      </c>
      <c r="H28" s="21">
        <f t="shared" si="2"/>
        <v>-3.0803659412474431E-3</v>
      </c>
      <c r="I28" s="21">
        <f t="shared" si="2"/>
        <v>0</v>
      </c>
    </row>
    <row r="29" spans="2:9" x14ac:dyDescent="0.25">
      <c r="B29" s="14" t="s">
        <v>26</v>
      </c>
      <c r="C29" s="22">
        <f t="shared" si="2"/>
        <v>1.6629493043865794E-4</v>
      </c>
      <c r="D29" s="22">
        <f t="shared" si="2"/>
        <v>5.4745515319613036E-5</v>
      </c>
      <c r="E29" s="22">
        <f t="shared" si="2"/>
        <v>2.6355445577864398E-4</v>
      </c>
      <c r="F29" s="22">
        <f t="shared" si="2"/>
        <v>2.9289332349262761E-4</v>
      </c>
      <c r="G29" s="22">
        <f t="shared" si="2"/>
        <v>-3.420038709738232E-3</v>
      </c>
      <c r="H29" s="22">
        <f t="shared" si="2"/>
        <v>-3.7332645052831615E-4</v>
      </c>
      <c r="I29" s="22">
        <f t="shared" si="2"/>
        <v>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RefreshInputs">
                <anchor moveWithCells="1" sizeWithCells="1">
                  <from>
                    <xdr:col>1</xdr:col>
                    <xdr:colOff>0</xdr:colOff>
                    <xdr:row>0</xdr:row>
                    <xdr:rowOff>180975</xdr:rowOff>
                  </from>
                  <to>
                    <xdr:col>2</xdr:col>
                    <xdr:colOff>695325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GenerateReport">
                <anchor moveWithCells="1" sizeWithCells="1">
                  <from>
                    <xdr:col>2</xdr:col>
                    <xdr:colOff>895350</xdr:colOff>
                    <xdr:row>0</xdr:row>
                    <xdr:rowOff>180975</xdr:rowOff>
                  </from>
                  <to>
                    <xdr:col>3</xdr:col>
                    <xdr:colOff>1200150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3:M12"/>
  <sheetViews>
    <sheetView workbookViewId="0">
      <selection activeCell="I21" sqref="I21"/>
    </sheetView>
  </sheetViews>
  <sheetFormatPr defaultRowHeight="15" x14ac:dyDescent="0.25"/>
  <cols>
    <col min="2" max="3" width="20.42578125" customWidth="1"/>
    <col min="4" max="10" width="24.28515625" customWidth="1"/>
    <col min="11" max="11" width="20.7109375" customWidth="1"/>
    <col min="12" max="12" width="20.85546875" customWidth="1"/>
    <col min="13" max="13" width="17.85546875" customWidth="1"/>
  </cols>
  <sheetData>
    <row r="3" spans="2:13" x14ac:dyDescent="0.25">
      <c r="B3" t="s">
        <v>0</v>
      </c>
      <c r="C3" s="9" t="s">
        <v>16</v>
      </c>
    </row>
    <row r="4" spans="2:13" x14ac:dyDescent="0.25">
      <c r="C4" s="7"/>
      <c r="D4" s="7"/>
      <c r="E4" s="7"/>
      <c r="F4" s="7"/>
      <c r="G4" s="7"/>
      <c r="H4" s="7"/>
      <c r="I4" s="7"/>
      <c r="J4" s="7"/>
      <c r="K4" s="7"/>
      <c r="L4" s="7"/>
      <c r="M4" s="7"/>
    </row>
    <row r="5" spans="2:13" x14ac:dyDescent="0.25">
      <c r="C5" t="s">
        <v>15</v>
      </c>
      <c r="D5" s="2" t="s">
        <v>8</v>
      </c>
      <c r="E5" s="2" t="s">
        <v>14</v>
      </c>
      <c r="F5" s="2" t="s">
        <v>27</v>
      </c>
      <c r="G5" s="2" t="s">
        <v>29</v>
      </c>
      <c r="H5" s="2"/>
      <c r="I5" s="2"/>
      <c r="J5" s="2"/>
      <c r="K5" s="2"/>
      <c r="L5" s="2"/>
      <c r="M5" s="2"/>
    </row>
    <row r="6" spans="2:13" x14ac:dyDescent="0.25">
      <c r="B6" s="3" t="s">
        <v>1</v>
      </c>
      <c r="C6" s="7">
        <v>20150225</v>
      </c>
      <c r="D6" s="4" t="s">
        <v>9</v>
      </c>
      <c r="E6" s="6" t="str">
        <f>B6&amp;"-Hedge-"</f>
        <v>DAP-Hedge-</v>
      </c>
      <c r="F6" s="5" t="s">
        <v>28</v>
      </c>
      <c r="G6" s="5" t="s">
        <v>31</v>
      </c>
      <c r="H6" s="4"/>
      <c r="I6" s="4"/>
      <c r="J6" s="4"/>
      <c r="K6" s="4"/>
      <c r="L6" s="4"/>
      <c r="M6" s="4"/>
    </row>
    <row r="7" spans="2:13" x14ac:dyDescent="0.25">
      <c r="B7" s="3" t="s">
        <v>2</v>
      </c>
      <c r="C7" s="7">
        <v>20150224</v>
      </c>
      <c r="D7" s="4" t="s">
        <v>10</v>
      </c>
      <c r="E7" s="6" t="str">
        <f t="shared" ref="E7:E12" si="0">B7&amp;"-Hedge-"</f>
        <v>ML-Hedge-</v>
      </c>
      <c r="F7" s="5" t="s">
        <v>28</v>
      </c>
      <c r="G7" s="5" t="s">
        <v>31</v>
      </c>
      <c r="H7" s="4"/>
      <c r="I7" s="4"/>
      <c r="J7" s="4"/>
      <c r="K7" s="4"/>
      <c r="L7" s="4"/>
      <c r="M7" s="4"/>
    </row>
    <row r="8" spans="2:13" x14ac:dyDescent="0.25">
      <c r="B8" s="3" t="s">
        <v>3</v>
      </c>
      <c r="C8" s="7">
        <v>20150223</v>
      </c>
      <c r="D8" s="4" t="s">
        <v>3</v>
      </c>
      <c r="E8" s="6" t="str">
        <f t="shared" si="0"/>
        <v>USL-Hedge-</v>
      </c>
      <c r="F8" s="5" t="s">
        <v>28</v>
      </c>
      <c r="G8" s="5" t="s">
        <v>31</v>
      </c>
      <c r="H8" s="4"/>
      <c r="I8" s="4"/>
      <c r="J8" s="4"/>
      <c r="K8" s="4"/>
      <c r="L8" s="4"/>
      <c r="M8" s="4"/>
    </row>
    <row r="9" spans="2:13" x14ac:dyDescent="0.25">
      <c r="B9" s="3" t="s">
        <v>4</v>
      </c>
      <c r="C9" s="7">
        <v>20150223</v>
      </c>
      <c r="D9" s="4" t="s">
        <v>11</v>
      </c>
      <c r="E9" s="6" t="str">
        <f t="shared" si="0"/>
        <v>VALIC-GMWB-Hedge-</v>
      </c>
      <c r="F9" s="5" t="s">
        <v>28</v>
      </c>
      <c r="G9" s="5" t="s">
        <v>31</v>
      </c>
      <c r="H9" s="4"/>
      <c r="I9" s="4"/>
      <c r="J9" s="4"/>
      <c r="K9" s="4"/>
      <c r="L9" s="4"/>
      <c r="M9" s="4"/>
    </row>
    <row r="10" spans="2:13" x14ac:dyDescent="0.25">
      <c r="B10" s="3" t="s">
        <v>5</v>
      </c>
      <c r="C10" s="7">
        <v>20150223</v>
      </c>
      <c r="D10" s="4" t="s">
        <v>12</v>
      </c>
      <c r="E10" s="6" t="str">
        <f t="shared" si="0"/>
        <v>VALIC-VIX-DAP-Hedge-</v>
      </c>
      <c r="F10" s="5" t="s">
        <v>28</v>
      </c>
      <c r="G10" s="5" t="s">
        <v>31</v>
      </c>
      <c r="H10" s="4"/>
      <c r="I10" s="4"/>
      <c r="J10" s="4"/>
      <c r="K10" s="4"/>
      <c r="L10" s="4"/>
      <c r="M10" s="4"/>
    </row>
    <row r="11" spans="2:13" x14ac:dyDescent="0.25">
      <c r="B11" s="3" t="s">
        <v>6</v>
      </c>
      <c r="C11" s="7">
        <v>20150225</v>
      </c>
      <c r="D11" s="4" t="s">
        <v>13</v>
      </c>
      <c r="E11" s="6" t="str">
        <f t="shared" si="0"/>
        <v>VIX-Hedge-</v>
      </c>
      <c r="F11" s="5" t="s">
        <v>28</v>
      </c>
      <c r="G11" s="5" t="s">
        <v>31</v>
      </c>
      <c r="H11" s="4"/>
      <c r="I11" s="4"/>
      <c r="J11" s="4"/>
      <c r="K11" s="4"/>
      <c r="L11" s="4"/>
      <c r="M11" s="4"/>
    </row>
    <row r="12" spans="2:13" x14ac:dyDescent="0.25">
      <c r="B12" s="3" t="s">
        <v>7</v>
      </c>
      <c r="C12" s="7">
        <v>20150224</v>
      </c>
      <c r="D12" s="4" t="s">
        <v>7</v>
      </c>
      <c r="E12" s="6" t="str">
        <f t="shared" si="0"/>
        <v>GMAB-Hedge-</v>
      </c>
      <c r="F12" s="5" t="s">
        <v>28</v>
      </c>
      <c r="G12" s="5" t="s">
        <v>31</v>
      </c>
      <c r="H12" s="4"/>
      <c r="I12" s="4"/>
      <c r="J12" s="4"/>
      <c r="K12" s="4"/>
      <c r="L12" s="4"/>
      <c r="M12" s="4"/>
    </row>
  </sheetData>
  <hyperlinks>
    <hyperlink ref="C3" r:id="rId1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5</vt:i4>
      </vt:variant>
    </vt:vector>
  </HeadingPairs>
  <TitlesOfParts>
    <vt:vector size="7" baseType="lpstr">
      <vt:lpstr>Run</vt:lpstr>
      <vt:lpstr>Input</vt:lpstr>
      <vt:lpstr>FormFolder</vt:lpstr>
      <vt:lpstr>InputStart</vt:lpstr>
      <vt:lpstr>ReportData</vt:lpstr>
      <vt:lpstr>ReportDataToCopy</vt:lpstr>
      <vt:lpstr>ReportStart</vt:lpstr>
    </vt:vector>
  </TitlesOfParts>
  <Company>American International Group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Li, Mei</dc:creator>
  <cp:lastModifiedBy>Liu, Lisa</cp:lastModifiedBy>
  <dcterms:created xsi:type="dcterms:W3CDTF">2014-11-13T16:43:37Z</dcterms:created>
  <dcterms:modified xsi:type="dcterms:W3CDTF">2015-02-26T22:17:54Z</dcterms:modified>
</cp:coreProperties>
</file>