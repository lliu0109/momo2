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Summary" sheetId="1" r:id="rId1"/>
    <sheet name="IA" sheetId="16" r:id="rId2"/>
    <sheet name="DAP" sheetId="9" r:id="rId3"/>
    <sheet name="ML" sheetId="10" r:id="rId4"/>
    <sheet name="USL" sheetId="11" r:id="rId5"/>
    <sheet name="VALIC-GMWB" sheetId="12" r:id="rId6"/>
    <sheet name="VALIC-VIX-DAP" sheetId="13" r:id="rId7"/>
    <sheet name="VIX" sheetId="14" r:id="rId8"/>
    <sheet name="GMAB" sheetId="15" r:id="rId9"/>
    <sheet name="Input" sheetId="8" r:id="rId10"/>
  </sheets>
  <functionGroups builtInGroupCount="17"/>
  <definedNames>
    <definedName name="ArchiveFolder">Input!$C$5</definedName>
    <definedName name="CitiFileFolder">Input!$C$2</definedName>
    <definedName name="CitiFutFileName">Input!$C$3</definedName>
    <definedName name="CitiOptFileName">Input!$C$4</definedName>
    <definedName name="FormFolder">Input!$C$1</definedName>
    <definedName name="FutTickerCell">IA!$C$9</definedName>
    <definedName name="IAFile">IA!$C$3</definedName>
    <definedName name="IAFolder">IA!$C$2</definedName>
    <definedName name="IAFORMDate">IA!$C$13</definedName>
    <definedName name="IAOptCell">IA!$C$8</definedName>
    <definedName name="IAOptFileName">IA!$C$6</definedName>
    <definedName name="IAOptFolder">IA!$C$5</definedName>
    <definedName name="IAOptSheet">IA!$C$7</definedName>
    <definedName name="IAPosDate">IA!$C$14</definedName>
    <definedName name="IAPosSheet">IA!$C$4</definedName>
    <definedName name="InputStart">Input!$B$7</definedName>
    <definedName name="OptTickerCell">IA!$C$10</definedName>
    <definedName name="RiskRptPath">Input!$C$2</definedName>
    <definedName name="Status">Summary!#REF!</definedName>
    <definedName name="SummaryStart">Summary!$B$5</definedName>
  </definedNames>
  <calcPr calcId="145621" calcOnSave="0"/>
</workbook>
</file>

<file path=xl/calcChain.xml><?xml version="1.0" encoding="utf-8"?>
<calcChain xmlns="http://schemas.openxmlformats.org/spreadsheetml/2006/main">
  <c r="G35" i="16" l="1"/>
  <c r="G34" i="16" l="1"/>
  <c r="C14" i="16" l="1"/>
  <c r="C13" i="16"/>
  <c r="G85" i="9" l="1"/>
  <c r="G87" i="9"/>
  <c r="G62" i="9"/>
  <c r="G33" i="16" l="1"/>
  <c r="F29" i="16"/>
  <c r="F28" i="16"/>
  <c r="F27" i="16"/>
  <c r="F26" i="16"/>
  <c r="F25" i="16"/>
  <c r="F24" i="16"/>
  <c r="F23" i="16"/>
  <c r="F22" i="16"/>
  <c r="F21" i="16"/>
  <c r="B21" i="1" l="1"/>
  <c r="B20" i="1"/>
  <c r="L2" i="15" l="1"/>
  <c r="L3" i="14"/>
  <c r="L2" i="14"/>
  <c r="L3" i="13"/>
  <c r="L2" i="13"/>
  <c r="L3" i="12"/>
  <c r="L2" i="12"/>
  <c r="L3" i="11"/>
  <c r="L2" i="11"/>
  <c r="L3" i="10"/>
  <c r="L2" i="10"/>
  <c r="L3" i="9"/>
  <c r="L2" i="9"/>
  <c r="G100" i="15"/>
  <c r="G99" i="15"/>
  <c r="G98" i="15"/>
  <c r="G97" i="15"/>
  <c r="G96" i="15"/>
  <c r="G95" i="15"/>
  <c r="G94" i="15"/>
  <c r="G93" i="15"/>
  <c r="G92" i="15"/>
  <c r="G91" i="15"/>
  <c r="G90" i="15"/>
  <c r="G89" i="15"/>
  <c r="G88" i="15"/>
  <c r="G87" i="15"/>
  <c r="G86" i="15"/>
  <c r="G85" i="15"/>
  <c r="G84" i="15"/>
  <c r="G83" i="15"/>
  <c r="G82" i="15"/>
  <c r="G81" i="15"/>
  <c r="G80" i="15"/>
  <c r="G79" i="15"/>
  <c r="G78" i="15"/>
  <c r="G77" i="15"/>
  <c r="G76" i="15"/>
  <c r="G75" i="15"/>
  <c r="G74" i="15"/>
  <c r="G73" i="15"/>
  <c r="G72" i="15"/>
  <c r="G71" i="15"/>
  <c r="G70" i="15"/>
  <c r="G69" i="15"/>
  <c r="G68" i="15"/>
  <c r="G67" i="15"/>
  <c r="G66" i="15"/>
  <c r="G65" i="15"/>
  <c r="G64" i="15"/>
  <c r="G63" i="15"/>
  <c r="G62" i="15"/>
  <c r="G61" i="15"/>
  <c r="G60" i="15"/>
  <c r="G59" i="15"/>
  <c r="G58" i="15"/>
  <c r="G57" i="15"/>
  <c r="G56" i="15"/>
  <c r="G55" i="15"/>
  <c r="G54" i="15"/>
  <c r="G53" i="15"/>
  <c r="G52" i="15"/>
  <c r="G51" i="15"/>
  <c r="G50" i="15"/>
  <c r="G49" i="15"/>
  <c r="G48" i="15"/>
  <c r="G47" i="15"/>
  <c r="G46" i="15"/>
  <c r="G45" i="15"/>
  <c r="G44" i="15"/>
  <c r="G43" i="15"/>
  <c r="G42" i="15"/>
  <c r="G41" i="15"/>
  <c r="G40" i="15"/>
  <c r="G39" i="15"/>
  <c r="G38" i="15"/>
  <c r="G37" i="15"/>
  <c r="G36" i="15"/>
  <c r="G35" i="15"/>
  <c r="G34" i="15"/>
  <c r="G33" i="15"/>
  <c r="G32" i="15"/>
  <c r="G31" i="15"/>
  <c r="G30" i="15"/>
  <c r="G29" i="15"/>
  <c r="G28" i="15"/>
  <c r="G27" i="15"/>
  <c r="G26" i="15"/>
  <c r="G25" i="15"/>
  <c r="G24" i="15"/>
  <c r="G23" i="15"/>
  <c r="G22" i="15"/>
  <c r="G21" i="15"/>
  <c r="G20" i="15"/>
  <c r="G19" i="15"/>
  <c r="G18" i="15"/>
  <c r="G17" i="15"/>
  <c r="G16" i="15"/>
  <c r="G15" i="15"/>
  <c r="G14" i="15"/>
  <c r="G13" i="15"/>
  <c r="G12" i="15"/>
  <c r="G11" i="15"/>
  <c r="G10" i="15"/>
  <c r="G9" i="15"/>
  <c r="G8" i="15"/>
  <c r="G7" i="15"/>
  <c r="G6" i="15"/>
  <c r="G5" i="15"/>
  <c r="G4" i="15"/>
  <c r="G3" i="15"/>
  <c r="G2" i="15"/>
  <c r="D100" i="15"/>
  <c r="D99" i="15"/>
  <c r="D98" i="15"/>
  <c r="D97" i="15"/>
  <c r="D96" i="15"/>
  <c r="D95" i="15"/>
  <c r="D94" i="15"/>
  <c r="D93" i="15"/>
  <c r="D92" i="15"/>
  <c r="D91" i="15"/>
  <c r="D90" i="15"/>
  <c r="D89" i="15"/>
  <c r="D88" i="15"/>
  <c r="D87" i="15"/>
  <c r="D86" i="15"/>
  <c r="D85" i="15"/>
  <c r="D84" i="15"/>
  <c r="D83" i="15"/>
  <c r="D82" i="15"/>
  <c r="D81" i="15"/>
  <c r="D80" i="15"/>
  <c r="D79" i="15"/>
  <c r="D78" i="15"/>
  <c r="D77" i="15"/>
  <c r="D76" i="15"/>
  <c r="D75" i="15"/>
  <c r="D74" i="15"/>
  <c r="D73" i="15"/>
  <c r="D72" i="15"/>
  <c r="D71" i="15"/>
  <c r="D70" i="15"/>
  <c r="D69" i="15"/>
  <c r="D68" i="15"/>
  <c r="D67" i="15"/>
  <c r="D66" i="15"/>
  <c r="D65" i="15"/>
  <c r="D64" i="15"/>
  <c r="D63" i="15"/>
  <c r="D62" i="15"/>
  <c r="D61" i="15"/>
  <c r="D60" i="15"/>
  <c r="D59" i="15"/>
  <c r="D58" i="15"/>
  <c r="D57" i="15"/>
  <c r="D56" i="15"/>
  <c r="D55" i="15"/>
  <c r="D54" i="15"/>
  <c r="D53" i="15"/>
  <c r="D52" i="15"/>
  <c r="D51" i="15"/>
  <c r="D50" i="15"/>
  <c r="D49" i="15"/>
  <c r="D48" i="15"/>
  <c r="D47" i="15"/>
  <c r="D46" i="15"/>
  <c r="D45" i="15"/>
  <c r="D44" i="15"/>
  <c r="D43" i="15"/>
  <c r="D42" i="15"/>
  <c r="D41" i="15"/>
  <c r="D40" i="15"/>
  <c r="D39" i="15"/>
  <c r="D38" i="15"/>
  <c r="D37" i="15"/>
  <c r="D36" i="15"/>
  <c r="D35" i="15"/>
  <c r="D34" i="15"/>
  <c r="D33" i="15"/>
  <c r="D32" i="15"/>
  <c r="D31" i="15"/>
  <c r="D30" i="15"/>
  <c r="D29" i="15"/>
  <c r="D28" i="15"/>
  <c r="D27" i="15"/>
  <c r="D26" i="15"/>
  <c r="D25" i="15"/>
  <c r="D24" i="15"/>
  <c r="D23" i="15"/>
  <c r="D22" i="15"/>
  <c r="D21" i="15"/>
  <c r="D20" i="15"/>
  <c r="D19" i="15"/>
  <c r="D18" i="15"/>
  <c r="D17" i="15"/>
  <c r="D16" i="15"/>
  <c r="D15" i="15"/>
  <c r="D14" i="15"/>
  <c r="D13" i="15"/>
  <c r="D12" i="15"/>
  <c r="D11" i="15"/>
  <c r="D10" i="15"/>
  <c r="D9" i="15"/>
  <c r="D8" i="15"/>
  <c r="D7" i="15"/>
  <c r="D6" i="15"/>
  <c r="D5" i="15"/>
  <c r="D4" i="15"/>
  <c r="D3" i="15"/>
  <c r="D2" i="15"/>
  <c r="G100" i="14"/>
  <c r="G99" i="14"/>
  <c r="G98" i="14"/>
  <c r="G97" i="14"/>
  <c r="G96" i="14"/>
  <c r="G95" i="14"/>
  <c r="G94" i="14"/>
  <c r="G93" i="14"/>
  <c r="G92" i="14"/>
  <c r="G91" i="14"/>
  <c r="G90" i="14"/>
  <c r="G89" i="14"/>
  <c r="G88" i="14"/>
  <c r="G87" i="14"/>
  <c r="G86" i="14"/>
  <c r="G85" i="14"/>
  <c r="G84" i="14"/>
  <c r="G83" i="14"/>
  <c r="G82" i="14"/>
  <c r="G81" i="14"/>
  <c r="G80" i="14"/>
  <c r="G79" i="14"/>
  <c r="G78" i="14"/>
  <c r="G77" i="14"/>
  <c r="G76" i="14"/>
  <c r="G75" i="14"/>
  <c r="G74" i="14"/>
  <c r="G73" i="14"/>
  <c r="G72" i="14"/>
  <c r="G71" i="14"/>
  <c r="G70" i="14"/>
  <c r="G69" i="14"/>
  <c r="G68" i="14"/>
  <c r="G67" i="14"/>
  <c r="G66" i="14"/>
  <c r="G65" i="14"/>
  <c r="G64" i="14"/>
  <c r="G63" i="14"/>
  <c r="G62" i="14"/>
  <c r="G61" i="14"/>
  <c r="G60" i="14"/>
  <c r="G59" i="14"/>
  <c r="G58" i="14"/>
  <c r="G57" i="14"/>
  <c r="G56" i="14"/>
  <c r="G55" i="14"/>
  <c r="G54" i="14"/>
  <c r="G53" i="14"/>
  <c r="G52" i="14"/>
  <c r="G51" i="14"/>
  <c r="G50" i="14"/>
  <c r="G49" i="14"/>
  <c r="G48" i="14"/>
  <c r="G47" i="14"/>
  <c r="G46" i="14"/>
  <c r="G45" i="14"/>
  <c r="G44" i="14"/>
  <c r="G43" i="14"/>
  <c r="G42" i="14"/>
  <c r="G41" i="14"/>
  <c r="G40" i="14"/>
  <c r="G39" i="14"/>
  <c r="G38" i="14"/>
  <c r="G37" i="14"/>
  <c r="G36" i="14"/>
  <c r="G35" i="14"/>
  <c r="G34" i="14"/>
  <c r="G33" i="14"/>
  <c r="G32" i="14"/>
  <c r="G31" i="14"/>
  <c r="G30" i="14"/>
  <c r="G29" i="14"/>
  <c r="G28" i="14"/>
  <c r="G27" i="14"/>
  <c r="G26" i="14"/>
  <c r="G25" i="14"/>
  <c r="G24" i="14"/>
  <c r="G23" i="14"/>
  <c r="G22" i="14"/>
  <c r="G21" i="14"/>
  <c r="G20" i="14"/>
  <c r="G19" i="14"/>
  <c r="G18" i="14"/>
  <c r="G17" i="14"/>
  <c r="G16" i="14"/>
  <c r="G15" i="14"/>
  <c r="G14" i="14"/>
  <c r="G13" i="14"/>
  <c r="G12" i="14"/>
  <c r="G11" i="14"/>
  <c r="G10" i="14"/>
  <c r="G9" i="14"/>
  <c r="G8" i="14"/>
  <c r="G7" i="14"/>
  <c r="G6" i="14"/>
  <c r="G5" i="14"/>
  <c r="G4" i="14"/>
  <c r="G3" i="14"/>
  <c r="G2" i="14"/>
  <c r="D100" i="14"/>
  <c r="D99" i="14"/>
  <c r="D98" i="14"/>
  <c r="D97" i="14"/>
  <c r="D96" i="14"/>
  <c r="D95" i="14"/>
  <c r="D94" i="14"/>
  <c r="D93" i="14"/>
  <c r="D92" i="14"/>
  <c r="D91" i="14"/>
  <c r="D90" i="14"/>
  <c r="D89" i="14"/>
  <c r="D88" i="14"/>
  <c r="D87" i="14"/>
  <c r="D86" i="14"/>
  <c r="D85" i="14"/>
  <c r="D84" i="14"/>
  <c r="D83" i="14"/>
  <c r="D82" i="14"/>
  <c r="D81" i="14"/>
  <c r="D80" i="14"/>
  <c r="D79" i="14"/>
  <c r="D78" i="14"/>
  <c r="D77" i="14"/>
  <c r="D76" i="14"/>
  <c r="D75" i="14"/>
  <c r="D74" i="14"/>
  <c r="D73" i="14"/>
  <c r="D72" i="14"/>
  <c r="D71" i="14"/>
  <c r="D70" i="14"/>
  <c r="D69" i="14"/>
  <c r="D68" i="14"/>
  <c r="D67" i="14"/>
  <c r="D66" i="14"/>
  <c r="D65" i="14"/>
  <c r="D64" i="14"/>
  <c r="D63" i="14"/>
  <c r="D62" i="14"/>
  <c r="D61" i="14"/>
  <c r="D60" i="14"/>
  <c r="D59" i="14"/>
  <c r="D58" i="14"/>
  <c r="D57" i="14"/>
  <c r="D56" i="14"/>
  <c r="D55" i="14"/>
  <c r="D54" i="14"/>
  <c r="D53" i="14"/>
  <c r="D52" i="14"/>
  <c r="D51" i="14"/>
  <c r="D50" i="14"/>
  <c r="D49" i="14"/>
  <c r="D48" i="14"/>
  <c r="D47" i="14"/>
  <c r="D46" i="14"/>
  <c r="D45" i="14"/>
  <c r="D44" i="14"/>
  <c r="D43" i="14"/>
  <c r="D42" i="14"/>
  <c r="D41" i="14"/>
  <c r="D40" i="14"/>
  <c r="D39" i="14"/>
  <c r="D38" i="14"/>
  <c r="D37" i="14"/>
  <c r="D36" i="14"/>
  <c r="D35" i="14"/>
  <c r="D34" i="14"/>
  <c r="D33" i="14"/>
  <c r="D32" i="14"/>
  <c r="D31" i="14"/>
  <c r="D30" i="14"/>
  <c r="D29" i="14"/>
  <c r="D28" i="14"/>
  <c r="D27" i="14"/>
  <c r="D26" i="14"/>
  <c r="D25" i="14"/>
  <c r="D24" i="14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D8" i="14"/>
  <c r="D7" i="14"/>
  <c r="D6" i="14"/>
  <c r="D5" i="14"/>
  <c r="D4" i="14"/>
  <c r="D3" i="14"/>
  <c r="D2" i="14"/>
  <c r="G100" i="13"/>
  <c r="G99" i="13"/>
  <c r="G98" i="13"/>
  <c r="G97" i="13"/>
  <c r="G96" i="13"/>
  <c r="G95" i="13"/>
  <c r="G94" i="13"/>
  <c r="G93" i="13"/>
  <c r="G92" i="13"/>
  <c r="G91" i="13"/>
  <c r="G90" i="13"/>
  <c r="G89" i="13"/>
  <c r="G88" i="13"/>
  <c r="G87" i="13"/>
  <c r="G86" i="13"/>
  <c r="G85" i="13"/>
  <c r="G84" i="13"/>
  <c r="G83" i="13"/>
  <c r="G82" i="13"/>
  <c r="G81" i="13"/>
  <c r="G80" i="13"/>
  <c r="G79" i="13"/>
  <c r="G78" i="13"/>
  <c r="G77" i="13"/>
  <c r="G76" i="13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8" i="13"/>
  <c r="G57" i="13"/>
  <c r="G56" i="13"/>
  <c r="G55" i="13"/>
  <c r="G54" i="13"/>
  <c r="G53" i="13"/>
  <c r="G52" i="13"/>
  <c r="G51" i="13"/>
  <c r="G50" i="13"/>
  <c r="G49" i="13"/>
  <c r="G48" i="13"/>
  <c r="G47" i="13"/>
  <c r="G46" i="13"/>
  <c r="G45" i="13"/>
  <c r="G44" i="13"/>
  <c r="G43" i="13"/>
  <c r="G42" i="13"/>
  <c r="G41" i="13"/>
  <c r="G40" i="13"/>
  <c r="G39" i="13"/>
  <c r="G38" i="13"/>
  <c r="G37" i="13"/>
  <c r="G36" i="13"/>
  <c r="G35" i="13"/>
  <c r="G34" i="13"/>
  <c r="G33" i="13"/>
  <c r="G32" i="13"/>
  <c r="G31" i="13"/>
  <c r="G30" i="13"/>
  <c r="G29" i="13"/>
  <c r="G28" i="13"/>
  <c r="G27" i="13"/>
  <c r="G26" i="13"/>
  <c r="G25" i="13"/>
  <c r="G24" i="13"/>
  <c r="G23" i="13"/>
  <c r="G22" i="13"/>
  <c r="G21" i="13"/>
  <c r="G20" i="13"/>
  <c r="G19" i="13"/>
  <c r="G18" i="13"/>
  <c r="G17" i="13"/>
  <c r="G16" i="13"/>
  <c r="G15" i="13"/>
  <c r="G14" i="13"/>
  <c r="G13" i="13"/>
  <c r="G12" i="13"/>
  <c r="G11" i="13"/>
  <c r="G10" i="13"/>
  <c r="G9" i="13"/>
  <c r="G8" i="13"/>
  <c r="G7" i="13"/>
  <c r="G6" i="13"/>
  <c r="G5" i="13"/>
  <c r="G4" i="13"/>
  <c r="G3" i="13"/>
  <c r="G2" i="13"/>
  <c r="D100" i="13"/>
  <c r="D99" i="13"/>
  <c r="D98" i="13"/>
  <c r="D97" i="13"/>
  <c r="D96" i="13"/>
  <c r="D95" i="13"/>
  <c r="D94" i="13"/>
  <c r="D93" i="13"/>
  <c r="D92" i="13"/>
  <c r="D91" i="13"/>
  <c r="D90" i="13"/>
  <c r="D89" i="13"/>
  <c r="D88" i="13"/>
  <c r="D87" i="13"/>
  <c r="D86" i="13"/>
  <c r="D85" i="13"/>
  <c r="D84" i="13"/>
  <c r="D83" i="13"/>
  <c r="D82" i="13"/>
  <c r="D81" i="13"/>
  <c r="D80" i="13"/>
  <c r="D79" i="13"/>
  <c r="D78" i="13"/>
  <c r="D77" i="13"/>
  <c r="D76" i="13"/>
  <c r="D75" i="13"/>
  <c r="D74" i="13"/>
  <c r="D73" i="13"/>
  <c r="D72" i="13"/>
  <c r="D71" i="13"/>
  <c r="D70" i="13"/>
  <c r="D69" i="13"/>
  <c r="D68" i="13"/>
  <c r="D67" i="13"/>
  <c r="D66" i="13"/>
  <c r="D65" i="13"/>
  <c r="D64" i="13"/>
  <c r="D63" i="13"/>
  <c r="D62" i="13"/>
  <c r="D61" i="13"/>
  <c r="D60" i="13"/>
  <c r="D59" i="13"/>
  <c r="D58" i="13"/>
  <c r="D57" i="13"/>
  <c r="D56" i="13"/>
  <c r="D55" i="13"/>
  <c r="D54" i="13"/>
  <c r="D53" i="13"/>
  <c r="D52" i="13"/>
  <c r="D51" i="13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D33" i="13"/>
  <c r="D32" i="13"/>
  <c r="D31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D7" i="13"/>
  <c r="D6" i="13"/>
  <c r="D5" i="13"/>
  <c r="D4" i="13"/>
  <c r="D3" i="13"/>
  <c r="D2" i="13"/>
  <c r="G100" i="12"/>
  <c r="G99" i="12"/>
  <c r="G98" i="12"/>
  <c r="G97" i="12"/>
  <c r="G96" i="12"/>
  <c r="G95" i="12"/>
  <c r="G94" i="12"/>
  <c r="G93" i="12"/>
  <c r="G92" i="12"/>
  <c r="G91" i="12"/>
  <c r="G90" i="12"/>
  <c r="G89" i="12"/>
  <c r="G88" i="12"/>
  <c r="G87" i="12"/>
  <c r="G86" i="12"/>
  <c r="G85" i="12"/>
  <c r="G84" i="12"/>
  <c r="G83" i="12"/>
  <c r="G82" i="12"/>
  <c r="G81" i="12"/>
  <c r="G80" i="12"/>
  <c r="G79" i="12"/>
  <c r="G78" i="12"/>
  <c r="G77" i="12"/>
  <c r="G76" i="12"/>
  <c r="G75" i="12"/>
  <c r="G74" i="12"/>
  <c r="G73" i="12"/>
  <c r="G72" i="12"/>
  <c r="G71" i="12"/>
  <c r="G70" i="12"/>
  <c r="G69" i="12"/>
  <c r="G68" i="12"/>
  <c r="G67" i="12"/>
  <c r="G66" i="12"/>
  <c r="G65" i="12"/>
  <c r="G64" i="12"/>
  <c r="G63" i="12"/>
  <c r="G62" i="12"/>
  <c r="G61" i="12"/>
  <c r="G60" i="12"/>
  <c r="G59" i="12"/>
  <c r="G58" i="12"/>
  <c r="G57" i="12"/>
  <c r="G56" i="12"/>
  <c r="G55" i="12"/>
  <c r="G54" i="12"/>
  <c r="G53" i="12"/>
  <c r="G52" i="12"/>
  <c r="G51" i="12"/>
  <c r="G50" i="12"/>
  <c r="G49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5" i="12"/>
  <c r="G4" i="12"/>
  <c r="G3" i="12"/>
  <c r="G2" i="12"/>
  <c r="D100" i="12"/>
  <c r="D99" i="12"/>
  <c r="D98" i="12"/>
  <c r="D97" i="12"/>
  <c r="D96" i="12"/>
  <c r="D95" i="12"/>
  <c r="D94" i="12"/>
  <c r="D93" i="12"/>
  <c r="D92" i="12"/>
  <c r="D91" i="12"/>
  <c r="D90" i="12"/>
  <c r="D89" i="12"/>
  <c r="D88" i="12"/>
  <c r="D87" i="12"/>
  <c r="D86" i="12"/>
  <c r="D85" i="12"/>
  <c r="D84" i="12"/>
  <c r="D83" i="12"/>
  <c r="D82" i="12"/>
  <c r="D81" i="12"/>
  <c r="D80" i="12"/>
  <c r="D79" i="12"/>
  <c r="D78" i="12"/>
  <c r="D77" i="12"/>
  <c r="D76" i="12"/>
  <c r="D75" i="12"/>
  <c r="D74" i="12"/>
  <c r="D73" i="12"/>
  <c r="D72" i="12"/>
  <c r="D71" i="12"/>
  <c r="D70" i="12"/>
  <c r="D69" i="12"/>
  <c r="D68" i="12"/>
  <c r="D67" i="12"/>
  <c r="D66" i="12"/>
  <c r="D65" i="12"/>
  <c r="D64" i="12"/>
  <c r="D63" i="12"/>
  <c r="D62" i="12"/>
  <c r="D61" i="12"/>
  <c r="D60" i="12"/>
  <c r="D59" i="12"/>
  <c r="D58" i="12"/>
  <c r="D57" i="12"/>
  <c r="D56" i="12"/>
  <c r="D55" i="12"/>
  <c r="D54" i="12"/>
  <c r="D53" i="12"/>
  <c r="D52" i="12"/>
  <c r="D51" i="12"/>
  <c r="D50" i="12"/>
  <c r="D49" i="12"/>
  <c r="D48" i="12"/>
  <c r="D47" i="12"/>
  <c r="D46" i="12"/>
  <c r="D45" i="12"/>
  <c r="D44" i="12"/>
  <c r="D43" i="12"/>
  <c r="D42" i="12"/>
  <c r="D41" i="12"/>
  <c r="D40" i="12"/>
  <c r="D39" i="12"/>
  <c r="D38" i="12"/>
  <c r="D37" i="12"/>
  <c r="D36" i="12"/>
  <c r="D35" i="12"/>
  <c r="D34" i="12"/>
  <c r="D33" i="12"/>
  <c r="D32" i="12"/>
  <c r="D31" i="12"/>
  <c r="D30" i="12"/>
  <c r="D29" i="12"/>
  <c r="D28" i="12"/>
  <c r="D27" i="12"/>
  <c r="D26" i="12"/>
  <c r="D25" i="12"/>
  <c r="D24" i="12"/>
  <c r="D23" i="12"/>
  <c r="D22" i="12"/>
  <c r="D21" i="12"/>
  <c r="D20" i="12"/>
  <c r="D19" i="12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4" i="12"/>
  <c r="D3" i="12"/>
  <c r="D2" i="12"/>
  <c r="G100" i="11"/>
  <c r="G99" i="11"/>
  <c r="G98" i="11"/>
  <c r="G97" i="11"/>
  <c r="G96" i="11"/>
  <c r="G95" i="11"/>
  <c r="G94" i="11"/>
  <c r="G93" i="11"/>
  <c r="G92" i="11"/>
  <c r="G91" i="11"/>
  <c r="G90" i="11"/>
  <c r="G89" i="11"/>
  <c r="G88" i="11"/>
  <c r="G87" i="11"/>
  <c r="G86" i="11"/>
  <c r="G85" i="11"/>
  <c r="G84" i="11"/>
  <c r="G83" i="11"/>
  <c r="G82" i="11"/>
  <c r="G81" i="11"/>
  <c r="G80" i="11"/>
  <c r="G79" i="11"/>
  <c r="G78" i="11"/>
  <c r="G77" i="11"/>
  <c r="G76" i="11"/>
  <c r="G75" i="11"/>
  <c r="G74" i="11"/>
  <c r="G73" i="11"/>
  <c r="G72" i="11"/>
  <c r="G71" i="11"/>
  <c r="G70" i="11"/>
  <c r="G69" i="11"/>
  <c r="G68" i="11"/>
  <c r="G67" i="11"/>
  <c r="G66" i="11"/>
  <c r="G65" i="11"/>
  <c r="G64" i="11"/>
  <c r="G63" i="11"/>
  <c r="G62" i="11"/>
  <c r="G61" i="11"/>
  <c r="G60" i="11"/>
  <c r="G59" i="11"/>
  <c r="G58" i="11"/>
  <c r="G57" i="11"/>
  <c r="G56" i="11"/>
  <c r="G55" i="11"/>
  <c r="G54" i="11"/>
  <c r="G53" i="11"/>
  <c r="G52" i="11"/>
  <c r="G51" i="11"/>
  <c r="G50" i="11"/>
  <c r="G49" i="11"/>
  <c r="G48" i="11"/>
  <c r="G47" i="11"/>
  <c r="G46" i="11"/>
  <c r="G45" i="11"/>
  <c r="G44" i="11"/>
  <c r="G43" i="11"/>
  <c r="G42" i="11"/>
  <c r="G41" i="11"/>
  <c r="G40" i="11"/>
  <c r="G39" i="11"/>
  <c r="G38" i="11"/>
  <c r="G37" i="11"/>
  <c r="G36" i="11"/>
  <c r="G35" i="11"/>
  <c r="G34" i="11"/>
  <c r="G33" i="11"/>
  <c r="G32" i="11"/>
  <c r="G31" i="11"/>
  <c r="G30" i="11"/>
  <c r="G29" i="11"/>
  <c r="G28" i="11"/>
  <c r="G27" i="11"/>
  <c r="G26" i="11"/>
  <c r="G25" i="11"/>
  <c r="G24" i="11"/>
  <c r="G23" i="11"/>
  <c r="G22" i="11"/>
  <c r="G21" i="11"/>
  <c r="G20" i="11"/>
  <c r="G19" i="11"/>
  <c r="G18" i="11"/>
  <c r="G17" i="11"/>
  <c r="G16" i="11"/>
  <c r="G15" i="11"/>
  <c r="G14" i="11"/>
  <c r="G13" i="11"/>
  <c r="G12" i="11"/>
  <c r="G11" i="11"/>
  <c r="G10" i="11"/>
  <c r="G9" i="11"/>
  <c r="G8" i="11"/>
  <c r="G7" i="11"/>
  <c r="G6" i="11"/>
  <c r="G5" i="11"/>
  <c r="G4" i="11"/>
  <c r="G3" i="11"/>
  <c r="G2" i="11"/>
  <c r="D100" i="11"/>
  <c r="D99" i="11"/>
  <c r="D98" i="11"/>
  <c r="D97" i="11"/>
  <c r="D96" i="11"/>
  <c r="D95" i="11"/>
  <c r="D94" i="11"/>
  <c r="D93" i="11"/>
  <c r="D92" i="11"/>
  <c r="D91" i="11"/>
  <c r="D90" i="11"/>
  <c r="D89" i="11"/>
  <c r="D88" i="11"/>
  <c r="D87" i="11"/>
  <c r="D86" i="11"/>
  <c r="D85" i="11"/>
  <c r="D84" i="11"/>
  <c r="D83" i="11"/>
  <c r="D82" i="11"/>
  <c r="D81" i="11"/>
  <c r="D80" i="11"/>
  <c r="D79" i="11"/>
  <c r="D78" i="11"/>
  <c r="D77" i="11"/>
  <c r="D76" i="11"/>
  <c r="D75" i="11"/>
  <c r="D74" i="11"/>
  <c r="D73" i="11"/>
  <c r="D72" i="11"/>
  <c r="D71" i="11"/>
  <c r="D70" i="11"/>
  <c r="D69" i="11"/>
  <c r="D68" i="11"/>
  <c r="D67" i="11"/>
  <c r="D66" i="11"/>
  <c r="D65" i="11"/>
  <c r="D64" i="11"/>
  <c r="D63" i="11"/>
  <c r="D62" i="11"/>
  <c r="D61" i="11"/>
  <c r="D60" i="11"/>
  <c r="D59" i="11"/>
  <c r="D58" i="11"/>
  <c r="D57" i="11"/>
  <c r="D56" i="11"/>
  <c r="D55" i="11"/>
  <c r="D54" i="11"/>
  <c r="D53" i="11"/>
  <c r="D52" i="11"/>
  <c r="D51" i="11"/>
  <c r="D50" i="11"/>
  <c r="D49" i="11"/>
  <c r="D48" i="11"/>
  <c r="D47" i="11"/>
  <c r="D46" i="11"/>
  <c r="D45" i="11"/>
  <c r="D44" i="11"/>
  <c r="D43" i="11"/>
  <c r="D42" i="11"/>
  <c r="D41" i="11"/>
  <c r="D40" i="11"/>
  <c r="D39" i="11"/>
  <c r="D38" i="11"/>
  <c r="D37" i="11"/>
  <c r="D36" i="11"/>
  <c r="D35" i="11"/>
  <c r="D34" i="11"/>
  <c r="D33" i="11"/>
  <c r="D32" i="11"/>
  <c r="D31" i="11"/>
  <c r="D30" i="11"/>
  <c r="D29" i="11"/>
  <c r="D28" i="11"/>
  <c r="D27" i="11"/>
  <c r="D26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4" i="11"/>
  <c r="D3" i="11"/>
  <c r="D2" i="11"/>
  <c r="G100" i="10"/>
  <c r="G99" i="10"/>
  <c r="G98" i="10"/>
  <c r="G97" i="10"/>
  <c r="G96" i="10"/>
  <c r="G95" i="10"/>
  <c r="G94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60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G3" i="10"/>
  <c r="G2" i="10"/>
  <c r="D100" i="10"/>
  <c r="D99" i="10"/>
  <c r="D98" i="10"/>
  <c r="D97" i="10"/>
  <c r="D96" i="10"/>
  <c r="D95" i="10"/>
  <c r="D94" i="10"/>
  <c r="D93" i="10"/>
  <c r="D92" i="10"/>
  <c r="D91" i="10"/>
  <c r="D90" i="10"/>
  <c r="D89" i="10"/>
  <c r="D88" i="10"/>
  <c r="D87" i="10"/>
  <c r="D86" i="10"/>
  <c r="D85" i="10"/>
  <c r="D84" i="10"/>
  <c r="D83" i="10"/>
  <c r="D82" i="10"/>
  <c r="D81" i="10"/>
  <c r="D80" i="10"/>
  <c r="D79" i="10"/>
  <c r="D78" i="10"/>
  <c r="D77" i="10"/>
  <c r="D76" i="10"/>
  <c r="D75" i="10"/>
  <c r="D74" i="10"/>
  <c r="D73" i="10"/>
  <c r="D72" i="10"/>
  <c r="D71" i="10"/>
  <c r="D70" i="10"/>
  <c r="D69" i="10"/>
  <c r="D68" i="10"/>
  <c r="D67" i="10"/>
  <c r="D66" i="10"/>
  <c r="D65" i="10"/>
  <c r="D64" i="10"/>
  <c r="D63" i="10"/>
  <c r="D62" i="10"/>
  <c r="D61" i="10"/>
  <c r="D60" i="10"/>
  <c r="D59" i="10"/>
  <c r="D58" i="10"/>
  <c r="D57" i="10"/>
  <c r="D56" i="10"/>
  <c r="D55" i="10"/>
  <c r="D54" i="10"/>
  <c r="D53" i="10"/>
  <c r="D52" i="10"/>
  <c r="D51" i="10"/>
  <c r="D50" i="10"/>
  <c r="D49" i="10"/>
  <c r="D48" i="10"/>
  <c r="D47" i="10"/>
  <c r="D46" i="10"/>
  <c r="D45" i="10"/>
  <c r="D44" i="10"/>
  <c r="D43" i="10"/>
  <c r="D42" i="10"/>
  <c r="D41" i="10"/>
  <c r="D40" i="10"/>
  <c r="D39" i="10"/>
  <c r="D38" i="10"/>
  <c r="D37" i="10"/>
  <c r="D36" i="10"/>
  <c r="D35" i="10"/>
  <c r="D34" i="10"/>
  <c r="D33" i="10"/>
  <c r="D32" i="10"/>
  <c r="D31" i="10"/>
  <c r="D30" i="10"/>
  <c r="D29" i="10"/>
  <c r="D28" i="10"/>
  <c r="D27" i="10"/>
  <c r="D26" i="10"/>
  <c r="D25" i="10"/>
  <c r="D24" i="10"/>
  <c r="D23" i="10"/>
  <c r="D22" i="10"/>
  <c r="D21" i="10"/>
  <c r="D20" i="10"/>
  <c r="D19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D3" i="10"/>
  <c r="D2" i="10"/>
  <c r="G100" i="9"/>
  <c r="G99" i="9"/>
  <c r="G98" i="9"/>
  <c r="G97" i="9"/>
  <c r="G96" i="9"/>
  <c r="G95" i="9"/>
  <c r="G94" i="9"/>
  <c r="G93" i="9"/>
  <c r="G92" i="9"/>
  <c r="G91" i="9"/>
  <c r="G90" i="9"/>
  <c r="G89" i="9"/>
  <c r="G88" i="9"/>
  <c r="G86" i="9"/>
  <c r="G84" i="9"/>
  <c r="G83" i="9"/>
  <c r="G82" i="9"/>
  <c r="G81" i="9"/>
  <c r="G80" i="9"/>
  <c r="G79" i="9"/>
  <c r="G78" i="9"/>
  <c r="G77" i="9"/>
  <c r="G76" i="9"/>
  <c r="G75" i="9"/>
  <c r="G74" i="9"/>
  <c r="G73" i="9"/>
  <c r="G72" i="9"/>
  <c r="G71" i="9"/>
  <c r="G70" i="9"/>
  <c r="G69" i="9"/>
  <c r="G68" i="9"/>
  <c r="G67" i="9"/>
  <c r="G66" i="9"/>
  <c r="G65" i="9"/>
  <c r="G64" i="9"/>
  <c r="G63" i="9"/>
  <c r="G61" i="9"/>
  <c r="G60" i="9"/>
  <c r="G59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3" i="9"/>
  <c r="G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2" i="9"/>
  <c r="D8" i="1" l="1"/>
  <c r="D6" i="1"/>
  <c r="D12" i="1"/>
  <c r="D11" i="1"/>
  <c r="D10" i="1"/>
  <c r="D9" i="1"/>
  <c r="D7" i="1"/>
  <c r="C4" i="8" l="1"/>
  <c r="C3" i="8"/>
</calcChain>
</file>

<file path=xl/sharedStrings.xml><?xml version="1.0" encoding="utf-8"?>
<sst xmlns="http://schemas.openxmlformats.org/spreadsheetml/2006/main" count="402" uniqueCount="161">
  <si>
    <t>Latest FORM Date</t>
  </si>
  <si>
    <t>FORM Folder</t>
  </si>
  <si>
    <t>Folder Name</t>
  </si>
  <si>
    <t>GMWB-DAP</t>
  </si>
  <si>
    <t>GMWB-ML</t>
  </si>
  <si>
    <t>USL</t>
  </si>
  <si>
    <t>VALIC_GMWB</t>
  </si>
  <si>
    <t>VALIC_VIX_DAP</t>
  </si>
  <si>
    <t>GMWB-VIX</t>
  </si>
  <si>
    <t>DAP</t>
  </si>
  <si>
    <t>ML</t>
  </si>
  <si>
    <t>VALIC-GMWB</t>
  </si>
  <si>
    <t>VALIC-VIX-DAP</t>
  </si>
  <si>
    <t>VIX</t>
  </si>
  <si>
    <t>File Name Prefix</t>
  </si>
  <si>
    <t>DAP-Hedge-</t>
  </si>
  <si>
    <t>ML-Hedge-</t>
  </si>
  <si>
    <t>USL-Hedge-</t>
  </si>
  <si>
    <t>VALIC-GMWB-Hedge-</t>
  </si>
  <si>
    <t>VALIC-VIX-DAP-Hedge-</t>
  </si>
  <si>
    <t>VIX-Hedge-</t>
  </si>
  <si>
    <t>\\whpnxx6070n1\mrm_dept\v02\FORMS\GMLB\</t>
  </si>
  <si>
    <t>Check Archive To</t>
  </si>
  <si>
    <t>Citi File Folder</t>
  </si>
  <si>
    <t>\\whpnxx6070n1\mrm_dept\v02\FORMS\GMLB\Check and Testing\Futures and Options Check\Citi Files\</t>
  </si>
  <si>
    <t>\\whpnxx6070n1\mrm_dept\v02\FORMS\GMLB\Check and Testing\Futures and Options Check\Archive\</t>
  </si>
  <si>
    <t>Future Sheet</t>
  </si>
  <si>
    <t>All MTM and Greeks</t>
  </si>
  <si>
    <t>SPA</t>
  </si>
  <si>
    <t>FAA</t>
  </si>
  <si>
    <t>RTAA</t>
  </si>
  <si>
    <t>MFSA</t>
  </si>
  <si>
    <t>TUA</t>
  </si>
  <si>
    <t>FVA</t>
  </si>
  <si>
    <t>TYA</t>
  </si>
  <si>
    <t>USA</t>
  </si>
  <si>
    <t>WNA</t>
  </si>
  <si>
    <t>Treasury Futures Options</t>
  </si>
  <si>
    <t>Treasury Future Option Sheet</t>
  </si>
  <si>
    <t>Treasury Future Option Row Start</t>
  </si>
  <si>
    <t>Treasury Future Option Row End</t>
  </si>
  <si>
    <t>Check Option?</t>
  </si>
  <si>
    <t>GMAB</t>
  </si>
  <si>
    <t>GMAB-Hedge-</t>
  </si>
  <si>
    <t>Option Row Start</t>
  </si>
  <si>
    <t>Option Row End</t>
  </si>
  <si>
    <t>Future Account</t>
  </si>
  <si>
    <t>Option Account</t>
  </si>
  <si>
    <t>276-9059D</t>
  </si>
  <si>
    <t>276-9059F</t>
  </si>
  <si>
    <t>276-01526</t>
  </si>
  <si>
    <t>276-9067F</t>
  </si>
  <si>
    <t>276-9010A</t>
  </si>
  <si>
    <t>276-9059G</t>
  </si>
  <si>
    <t>276-9059E</t>
  </si>
  <si>
    <t>522-91K63</t>
  </si>
  <si>
    <t>522-91K64</t>
  </si>
  <si>
    <t>522-949Y6</t>
  </si>
  <si>
    <t>522-902T7</t>
  </si>
  <si>
    <t>522-97K02</t>
  </si>
  <si>
    <t>522-91K65</t>
  </si>
  <si>
    <t>522-91K62</t>
  </si>
  <si>
    <t>Citi Future File Name</t>
  </si>
  <si>
    <t>Citi Option File Name</t>
  </si>
  <si>
    <t>Option Sheet</t>
  </si>
  <si>
    <t>Option Hedge Positions</t>
  </si>
  <si>
    <t>MISMATCH</t>
  </si>
  <si>
    <t>FORM Quantity</t>
  </si>
  <si>
    <t>CITI Quantity</t>
  </si>
  <si>
    <t>FORM Price</t>
  </si>
  <si>
    <t>CITI Price</t>
  </si>
  <si>
    <t>Position Reconciled?</t>
  </si>
  <si>
    <t>FORM Count</t>
  </si>
  <si>
    <t>Citi Count</t>
  </si>
  <si>
    <t># Distinct Equity Options</t>
  </si>
  <si>
    <t># Distinct Treasury Future Options</t>
  </si>
  <si>
    <t>B24</t>
  </si>
  <si>
    <t>C24</t>
  </si>
  <si>
    <t>D24</t>
  </si>
  <si>
    <t>E24</t>
  </si>
  <si>
    <t>B15</t>
  </si>
  <si>
    <t>C15</t>
  </si>
  <si>
    <t>D15</t>
  </si>
  <si>
    <t>E15</t>
  </si>
  <si>
    <t>F24</t>
  </si>
  <si>
    <t>Instruction:</t>
  </si>
  <si>
    <t>To use this tool, we need to put two file from Citi into this folder:  E:\FORMS\GMLB\Check and Testing\Futures and Options Check\Citi Files</t>
  </si>
  <si>
    <t>The first file contains all futures, treasury futures and treasury future options</t>
  </si>
  <si>
    <t>The second file contains all equity futures</t>
  </si>
  <si>
    <t>AGL IA Asian</t>
  </si>
  <si>
    <t>AGL IA CLIQUET</t>
  </si>
  <si>
    <t>AGL IA P2P</t>
  </si>
  <si>
    <t>AGL IL P2P</t>
  </si>
  <si>
    <t>WNL EIA</t>
  </si>
  <si>
    <t>USL CLIQUET</t>
  </si>
  <si>
    <t>USL IL P2P</t>
  </si>
  <si>
    <t>USL IA P2P</t>
  </si>
  <si>
    <t>VALIC IA P2P</t>
  </si>
  <si>
    <t>2769102H</t>
  </si>
  <si>
    <t>2769081C</t>
  </si>
  <si>
    <t>2769103D</t>
  </si>
  <si>
    <t>2769059K</t>
  </si>
  <si>
    <t>2769102K</t>
  </si>
  <si>
    <t>2769103C</t>
  </si>
  <si>
    <t>2769102M</t>
  </si>
  <si>
    <t>2769081D</t>
  </si>
  <si>
    <t>Product</t>
  </si>
  <si>
    <t>AcctNum</t>
  </si>
  <si>
    <t>FORM Position</t>
  </si>
  <si>
    <t>Citi Position</t>
  </si>
  <si>
    <t>IA FORM Folder</t>
  </si>
  <si>
    <t>E:\Index_Products\FORMS\</t>
  </si>
  <si>
    <t>IA Summary File</t>
  </si>
  <si>
    <t>IA Trades Summary.xlsx</t>
  </si>
  <si>
    <t>Position Sheet</t>
  </si>
  <si>
    <t>Futures Position</t>
  </si>
  <si>
    <t>Option Folder</t>
  </si>
  <si>
    <t>E:\Index_Products\FORMS\AGL IL P2P\</t>
  </si>
  <si>
    <t>Option Position Sheet</t>
  </si>
  <si>
    <t>if this is not right, please manually over-write it</t>
  </si>
  <si>
    <t>Match?</t>
  </si>
  <si>
    <t>Futures</t>
  </si>
  <si>
    <t>Options</t>
  </si>
  <si>
    <t>AGL.IL.P2P.FORMS.</t>
  </si>
  <si>
    <t>Option FilePrefix</t>
  </si>
  <si>
    <t>FORM Date</t>
  </si>
  <si>
    <t>Position Date</t>
  </si>
  <si>
    <t>Future Ticker Cell</t>
  </si>
  <si>
    <t>P9</t>
  </si>
  <si>
    <t>Option Ticker Cell</t>
  </si>
  <si>
    <t>Option Ticker</t>
  </si>
  <si>
    <t>Option Position Cell Start</t>
  </si>
  <si>
    <t>F2</t>
  </si>
  <si>
    <t>A2</t>
  </si>
  <si>
    <t>52294T1625</t>
  </si>
  <si>
    <t>SPX US 12/15/17 C2300</t>
  </si>
  <si>
    <t>SPX US 12/15/17 C2400</t>
  </si>
  <si>
    <t>SPX US 12/16/16 C2200</t>
  </si>
  <si>
    <t>USZ5C 138</t>
  </si>
  <si>
    <t>SPX 12/19/15 P1600</t>
  </si>
  <si>
    <t>SPX 12/19/15 P1500</t>
  </si>
  <si>
    <t>SPX 12/19/15 P1400</t>
  </si>
  <si>
    <t>SPX 12/16/16 P1300</t>
  </si>
  <si>
    <t>SPX 12/16/16 P1400</t>
  </si>
  <si>
    <t>SPX 12/16/16 P1250</t>
  </si>
  <si>
    <t>SPX 12/16/16 P1500</t>
  </si>
  <si>
    <t>SPX 12/19/15 C2250</t>
  </si>
  <si>
    <t>SPX 12/15/17 P1400</t>
  </si>
  <si>
    <t>SPX 12/19/15 P1425</t>
  </si>
  <si>
    <t>SPX 12/19/15 P1450</t>
  </si>
  <si>
    <t>SPX 12/19/15 P1475</t>
  </si>
  <si>
    <t>SPX 12/19/15 P1525</t>
  </si>
  <si>
    <t>SPX 03/18/16 P1625</t>
  </si>
  <si>
    <t>SPX 12/19/15 P1700</t>
  </si>
  <si>
    <t>SPX 12/15/17 P1500</t>
  </si>
  <si>
    <t>SPX 12/15/17 P1300</t>
  </si>
  <si>
    <t>SPX 12/16/16 P1200</t>
  </si>
  <si>
    <t>SPX 12/16/16 P1350</t>
  </si>
  <si>
    <t>SPX 12/19/15 P1650</t>
  </si>
  <si>
    <t>USH2C 147</t>
  </si>
  <si>
    <t>USJ2C 143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</si>
</sst>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rgb="FFC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3" fillId="0" borderId="0" xfId="1"/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horizontal="left"/>
    </xf>
    <xf numFmtId="0" fontId="2" fillId="0" borderId="0" xfId="0" applyFont="1" applyAlignment="1">
      <alignment horizontal="center"/>
    </xf>
    <xf numFmtId="0" fontId="0" fillId="2" borderId="0" xfId="0" applyFill="1"/>
    <xf numFmtId="0" fontId="1" fillId="2" borderId="0" xfId="0" applyFont="1" applyFill="1" applyAlignment="1">
      <alignment horizontal="center"/>
    </xf>
    <xf numFmtId="0" fontId="1" fillId="2" borderId="0" xfId="0" applyFont="1" applyFill="1" applyBorder="1" applyAlignment="1">
      <alignment horizontal="left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0" fillId="0" borderId="0" xfId="0" applyFill="1" applyBorder="1" applyAlignment="1">
      <alignment horizontal="left"/>
    </xf>
    <xf numFmtId="4" fontId="0" fillId="0" borderId="0" xfId="0" applyNumberFormat="1" applyFill="1" applyBorder="1" applyAlignment="1">
      <alignment horizontal="left"/>
    </xf>
    <xf numFmtId="0" fontId="0" fillId="0" borderId="0" xfId="0" applyAlignment="1">
      <alignment horizontal="right"/>
    </xf>
    <xf numFmtId="0" fontId="5" fillId="3" borderId="0" xfId="0" applyFont="1" applyFill="1" applyAlignment="1">
      <alignment horizontal="right"/>
    </xf>
    <xf numFmtId="43" fontId="0" fillId="0" borderId="0" xfId="0" applyNumberFormat="1"/>
    <xf numFmtId="0" fontId="1" fillId="0" borderId="0" xfId="0" applyFont="1" applyFill="1" applyBorder="1" applyAlignment="1">
      <alignment horizontal="left"/>
    </xf>
    <xf numFmtId="4" fontId="6" fillId="0" borderId="0" xfId="0" applyNumberFormat="1" applyFont="1" applyFill="1" applyBorder="1" applyAlignment="1">
      <alignment horizontal="left"/>
    </xf>
    <xf numFmtId="4" fontId="1" fillId="0" borderId="0" xfId="0" applyNumberFormat="1" applyFont="1" applyFill="1" applyBorder="1" applyAlignment="1">
      <alignment horizontal="left"/>
    </xf>
    <xf numFmtId="0" fontId="7" fillId="2" borderId="0" xfId="0" applyFont="1" applyFill="1"/>
    <xf numFmtId="0" fontId="8" fillId="2" borderId="0" xfId="0" applyFont="1" applyFill="1" applyAlignment="1"/>
    <xf numFmtId="0" fontId="9" fillId="2" borderId="0" xfId="0" applyFont="1" applyFill="1"/>
    <xf numFmtId="0" fontId="10" fillId="0" borderId="0" xfId="0" applyFont="1" applyFill="1" applyBorder="1"/>
    <xf numFmtId="0" fontId="10" fillId="0" borderId="0" xfId="0" applyFont="1" applyFill="1" applyBorder="1" applyAlignment="1">
      <alignment horizontal="left"/>
    </xf>
    <xf numFmtId="0" fontId="11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3" fillId="0" borderId="0" xfId="1" applyAlignment="1">
      <alignment horizontal="left"/>
    </xf>
    <xf numFmtId="0" fontId="7" fillId="0" borderId="0" xfId="0" applyFont="1"/>
    <xf numFmtId="0" fontId="1" fillId="0" borderId="0" xfId="0" applyFont="1"/>
    <xf numFmtId="0" fontId="11" fillId="0" borderId="0" xfId="0" applyFont="1" applyFill="1" applyBorder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12" fillId="0" borderId="0" xfId="0" applyFont="1"/>
    <xf numFmtId="0" fontId="1" fillId="0" borderId="0" xfId="0" applyFont="1" applyAlignment="1">
      <alignment horizontal="left"/>
    </xf>
    <xf numFmtId="0" fontId="5" fillId="3" borderId="0" xfId="0" applyFont="1" applyFill="1" applyAlignment="1">
      <alignment horizontal="center"/>
    </xf>
    <xf numFmtId="0" fontId="5" fillId="3" borderId="0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8"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104775</xdr:rowOff>
        </xdr:from>
        <xdr:to>
          <xdr:col>2</xdr:col>
          <xdr:colOff>628650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828675</xdr:colOff>
          <xdr:row>1</xdr:row>
          <xdr:rowOff>104775</xdr:rowOff>
        </xdr:from>
        <xdr:to>
          <xdr:col>3</xdr:col>
          <xdr:colOff>1314450</xdr:colOff>
          <xdr:row>3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13</xdr:row>
          <xdr:rowOff>0</xdr:rowOff>
        </xdr:from>
        <xdr:to>
          <xdr:col>2</xdr:col>
          <xdr:colOff>600075</xdr:colOff>
          <xdr:row>14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Archive Checks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15</xdr:row>
          <xdr:rowOff>0</xdr:rowOff>
        </xdr:from>
        <xdr:to>
          <xdr:col>1</xdr:col>
          <xdr:colOff>1362075</xdr:colOff>
          <xdr:row>17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15</xdr:row>
          <xdr:rowOff>0</xdr:rowOff>
        </xdr:from>
        <xdr:to>
          <xdr:col>3</xdr:col>
          <xdr:colOff>304800</xdr:colOff>
          <xdr:row>17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Archive 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../../Index_Products/FORMS/AGL%20IL%20P2P" TargetMode="External"/><Relationship Id="rId7" Type="http://schemas.openxmlformats.org/officeDocument/2006/relationships/ctrlProp" Target="../ctrlProps/ctrlProp5.xml"/><Relationship Id="rId2" Type="http://schemas.openxmlformats.org/officeDocument/2006/relationships/hyperlink" Target="../../Index_Products/FORMS/IA%20Trades%20Summary.xlsx" TargetMode="External"/><Relationship Id="rId1" Type="http://schemas.openxmlformats.org/officeDocument/2006/relationships/hyperlink" Target="../../Index_Products/FORMS" TargetMode="External"/><Relationship Id="rId6" Type="http://schemas.openxmlformats.org/officeDocument/2006/relationships/ctrlProp" Target="../ctrlProps/ctrlProp4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Check%20and%20Testing/Futures%20and%20Options%20Check/Archive/" TargetMode="External"/><Relationship Id="rId2" Type="http://schemas.openxmlformats.org/officeDocument/2006/relationships/hyperlink" Target="Check%20and%20Testing\Futures%20and%20Options%20Check\Citi%20Files\" TargetMode="External"/><Relationship Id="rId1" Type="http://schemas.openxmlformats.org/officeDocument/2006/relationships/hyperlink" Target="../..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5:D24"/>
  <sheetViews>
    <sheetView tabSelected="1" workbookViewId="0">
      <selection activeCell="C6" sqref="C6:C12"/>
    </sheetView>
  </sheetViews>
  <sheetFormatPr defaultRowHeight="15" x14ac:dyDescent="0.25"/>
  <cols>
    <col min="1" max="1" width="9.140625" style="6"/>
    <col min="2" max="2" width="17.140625" style="6" customWidth="1"/>
    <col min="3" max="3" width="19" style="6" customWidth="1"/>
    <col min="4" max="4" width="26.28515625" style="6" bestFit="1" customWidth="1"/>
    <col min="5" max="16384" width="9.140625" style="6"/>
  </cols>
  <sheetData>
    <row r="5" spans="2:4" x14ac:dyDescent="0.25">
      <c r="C5" s="7" t="s">
        <v>0</v>
      </c>
      <c r="D5" s="7" t="s">
        <v>71</v>
      </c>
    </row>
    <row r="6" spans="2:4" x14ac:dyDescent="0.25">
      <c r="B6" s="8" t="s">
        <v>9</v>
      </c>
      <c r="C6" s="9">
        <v>20151105</v>
      </c>
      <c r="D6" s="10" t="b">
        <f>IF(AND(SUMPRODUCT(DAP!$D$2:$D$100,DAP!$D$2:$D$100)=0,SUMPRODUCT(DAP!L2:L3,DAP!L2:L3)=0),TRUE,FALSE)</f>
        <v>1</v>
      </c>
    </row>
    <row r="7" spans="2:4" x14ac:dyDescent="0.25">
      <c r="B7" s="8" t="s">
        <v>10</v>
      </c>
      <c r="C7" s="9">
        <v>20151104</v>
      </c>
      <c r="D7" s="10" t="b">
        <f>IF(AND(SUMPRODUCT(ML!$D$2:$D$100,ML!$D$2:$D$100)=0,SUMPRODUCT(ML!L2:L3,ML!L2:L3)=0),TRUE,FALSE)</f>
        <v>1</v>
      </c>
    </row>
    <row r="8" spans="2:4" x14ac:dyDescent="0.25">
      <c r="B8" s="8" t="s">
        <v>5</v>
      </c>
      <c r="C8" s="9">
        <v>20151103</v>
      </c>
      <c r="D8" s="10" t="b">
        <f>IF(AND(SUMPRODUCT(USL!$D$2:$D$100,USL!$D$2:$D$100)=0,SUMPRODUCT(USL!L2:L3,USL!L2:L3)=0),TRUE,FALSE)</f>
        <v>1</v>
      </c>
    </row>
    <row r="9" spans="2:4" x14ac:dyDescent="0.25">
      <c r="B9" s="8" t="s">
        <v>11</v>
      </c>
      <c r="C9" s="9">
        <v>20151103</v>
      </c>
      <c r="D9" s="10" t="b">
        <f>IF(AND(SUMPRODUCT('VALIC-GMWB'!$D$2:$D$100,'VALIC-GMWB'!$D$2:$D$100)=0,SUMPRODUCT('VALIC-GMWB'!L2:L3,'VALIC-GMWB'!L2:L3)=0),TRUE,FALSE)</f>
        <v>1</v>
      </c>
    </row>
    <row r="10" spans="2:4" x14ac:dyDescent="0.25">
      <c r="B10" s="8" t="s">
        <v>12</v>
      </c>
      <c r="C10" s="9">
        <v>20151103</v>
      </c>
      <c r="D10" s="10" t="b">
        <f>IF(AND(SUMPRODUCT('VALIC-VIX-DAP'!$D$2:$D$100,'VALIC-VIX-DAP'!$D$2:$D$100)=0,SUMPRODUCT('VALIC-VIX-DAP'!L2:L3,'VALIC-VIX-DAP'!L2:L3)=0),TRUE,FALSE)</f>
        <v>1</v>
      </c>
    </row>
    <row r="11" spans="2:4" x14ac:dyDescent="0.25">
      <c r="B11" s="8" t="s">
        <v>13</v>
      </c>
      <c r="C11" s="9">
        <v>20151105</v>
      </c>
      <c r="D11" s="10" t="b">
        <f>IF(AND(SUMPRODUCT(VIX!$D$2:$D$100,VIX!$D$2:$D$100)=0,SUMPRODUCT(VIX!L2:L3,VIX!L2:L3)=0),TRUE,FALSE)</f>
        <v>1</v>
      </c>
    </row>
    <row r="12" spans="2:4" x14ac:dyDescent="0.25">
      <c r="B12" s="8" t="s">
        <v>42</v>
      </c>
      <c r="C12" s="9">
        <v>20151104</v>
      </c>
      <c r="D12" s="10" t="b">
        <f>IF(SUMPRODUCT(GMAB!$D$2:$D$100,GMAB!$D$2:$D$100)+GMAB!L2^2=0,TRUE,FALSE)</f>
        <v>1</v>
      </c>
    </row>
    <row r="18" spans="2:2" x14ac:dyDescent="0.25">
      <c r="B18" s="19" t="s">
        <v>85</v>
      </c>
    </row>
    <row r="19" spans="2:2" x14ac:dyDescent="0.25">
      <c r="B19" s="20" t="s">
        <v>86</v>
      </c>
    </row>
    <row r="20" spans="2:2" ht="21" customHeight="1" x14ac:dyDescent="0.25">
      <c r="B20" s="21" t="str">
        <f>"- COBPositions_"&amp;MAX($C$6:$C$12)&amp;".csv"</f>
        <v>- COBPositions_20151105.csv</v>
      </c>
    </row>
    <row r="21" spans="2:2" x14ac:dyDescent="0.25">
      <c r="B21" s="21" t="str">
        <f>"- 10001_positionsgeneric_sunamer_"&amp;MAX($C$6:$C$12)&amp;".csv"</f>
        <v>- 10001_positionsgeneric_sunamer_20151105.csv</v>
      </c>
    </row>
    <row r="23" spans="2:2" x14ac:dyDescent="0.25">
      <c r="B23" s="19" t="s">
        <v>87</v>
      </c>
    </row>
    <row r="24" spans="2:2" x14ac:dyDescent="0.25">
      <c r="B24" s="19" t="s">
        <v>88</v>
      </c>
    </row>
  </sheetData>
  <conditionalFormatting sqref="D6:D11">
    <cfRule type="cellIs" dxfId="17" priority="4" operator="equal">
      <formula>FALSE</formula>
    </cfRule>
  </conditionalFormatting>
  <conditionalFormatting sqref="D12">
    <cfRule type="cellIs" dxfId="16" priority="3" operator="equal">
      <formula>FALSE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Inputs">
                <anchor moveWithCells="1" sizeWithCells="1">
                  <from>
                    <xdr:col>1</xdr:col>
                    <xdr:colOff>9525</xdr:colOff>
                    <xdr:row>1</xdr:row>
                    <xdr:rowOff>104775</xdr:rowOff>
                  </from>
                  <to>
                    <xdr:col>2</xdr:col>
                    <xdr:colOff>628650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heckPosition">
                <anchor moveWithCells="1" sizeWithCells="1">
                  <from>
                    <xdr:col>2</xdr:col>
                    <xdr:colOff>828675</xdr:colOff>
                    <xdr:row>1</xdr:row>
                    <xdr:rowOff>104775</xdr:rowOff>
                  </from>
                  <to>
                    <xdr:col>3</xdr:col>
                    <xdr:colOff>1314450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rchive">
                <anchor moveWithCells="1" sizeWithCells="1">
                  <from>
                    <xdr:col>0</xdr:col>
                    <xdr:colOff>600075</xdr:colOff>
                    <xdr:row>13</xdr:row>
                    <xdr:rowOff>0</xdr:rowOff>
                  </from>
                  <to>
                    <xdr:col>2</xdr:col>
                    <xdr:colOff>600075</xdr:colOff>
                    <xdr:row>14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2:G39"/>
  <sheetViews>
    <sheetView workbookViewId="0">
      <selection activeCell="N25" sqref="N25"/>
    </sheetView>
  </sheetViews>
  <sheetFormatPr defaultRowHeight="15" x14ac:dyDescent="0.25"/>
  <cols>
    <col min="2" max="2" width="23.7109375" style="25" bestFit="1" customWidth="1"/>
    <col min="3" max="3" width="15.85546875" style="13" customWidth="1"/>
    <col min="4" max="4" width="25.42578125" customWidth="1"/>
    <col min="5" max="5" width="16.85546875" customWidth="1"/>
    <col min="6" max="6" width="11.7109375" bestFit="1" customWidth="1"/>
  </cols>
  <sheetData>
    <row r="2" spans="2:4" x14ac:dyDescent="0.25">
      <c r="B2" s="25" t="s">
        <v>110</v>
      </c>
      <c r="C2" s="26" t="s">
        <v>111</v>
      </c>
    </row>
    <row r="3" spans="2:4" x14ac:dyDescent="0.25">
      <c r="B3" s="25" t="s">
        <v>112</v>
      </c>
      <c r="C3" s="26" t="s">
        <v>113</v>
      </c>
    </row>
    <row r="4" spans="2:4" x14ac:dyDescent="0.25">
      <c r="B4" s="25" t="s">
        <v>114</v>
      </c>
      <c r="C4" s="25" t="s">
        <v>115</v>
      </c>
    </row>
    <row r="5" spans="2:4" x14ac:dyDescent="0.25">
      <c r="B5" s="25" t="s">
        <v>116</v>
      </c>
      <c r="C5" s="26" t="s">
        <v>117</v>
      </c>
    </row>
    <row r="6" spans="2:4" x14ac:dyDescent="0.25">
      <c r="B6" s="25" t="s">
        <v>124</v>
      </c>
      <c r="C6" s="25" t="s">
        <v>123</v>
      </c>
    </row>
    <row r="7" spans="2:4" x14ac:dyDescent="0.25">
      <c r="B7" s="25" t="s">
        <v>118</v>
      </c>
      <c r="C7" s="25" t="s">
        <v>27</v>
      </c>
    </row>
    <row r="8" spans="2:4" x14ac:dyDescent="0.25">
      <c r="B8" s="25" t="s">
        <v>131</v>
      </c>
      <c r="C8" s="25" t="s">
        <v>132</v>
      </c>
    </row>
    <row r="9" spans="2:4" x14ac:dyDescent="0.25">
      <c r="B9" s="25" t="s">
        <v>127</v>
      </c>
      <c r="C9" s="25" t="s">
        <v>128</v>
      </c>
    </row>
    <row r="10" spans="2:4" x14ac:dyDescent="0.25">
      <c r="B10" s="25" t="s">
        <v>129</v>
      </c>
      <c r="C10" s="25" t="s">
        <v>133</v>
      </c>
    </row>
    <row r="11" spans="2:4" s="30" customFormat="1" ht="3.75" customHeight="1" x14ac:dyDescent="0.25">
      <c r="B11" s="31"/>
      <c r="C11" s="32"/>
    </row>
    <row r="13" spans="2:4" x14ac:dyDescent="0.25">
      <c r="B13" s="25" t="s">
        <v>125</v>
      </c>
      <c r="C13" s="3" t="str">
        <f ca="1">TEXT(WORKDAY(NOW(),-1),"MM/DD/YYYY")</f>
        <v>11/05/2015</v>
      </c>
      <c r="D13" s="33" t="s">
        <v>119</v>
      </c>
    </row>
    <row r="14" spans="2:4" x14ac:dyDescent="0.25">
      <c r="B14" s="25" t="s">
        <v>126</v>
      </c>
      <c r="C14" s="3" t="str">
        <f ca="1">TEXT(WORKDAY(NOW(),-2),"MM/DD/YYYY")</f>
        <v>11/04/2015</v>
      </c>
      <c r="D14" s="33" t="s">
        <v>119</v>
      </c>
    </row>
    <row r="15" spans="2:4" x14ac:dyDescent="0.25">
      <c r="C15" s="3"/>
      <c r="D15" s="27"/>
    </row>
    <row r="16" spans="2:4" x14ac:dyDescent="0.25">
      <c r="C16" s="3"/>
      <c r="D16" s="27"/>
    </row>
    <row r="17" spans="1:7" x14ac:dyDescent="0.25">
      <c r="C17" s="3"/>
      <c r="D17" s="27"/>
    </row>
    <row r="19" spans="1:7" x14ac:dyDescent="0.25">
      <c r="B19" s="35" t="s">
        <v>121</v>
      </c>
      <c r="C19" s="35"/>
      <c r="D19" s="35"/>
      <c r="E19" s="35"/>
      <c r="F19" s="35"/>
    </row>
    <row r="20" spans="1:7" x14ac:dyDescent="0.25">
      <c r="A20" s="22"/>
      <c r="B20" s="24" t="s">
        <v>106</v>
      </c>
      <c r="C20" s="24" t="s">
        <v>107</v>
      </c>
      <c r="D20" s="34" t="s">
        <v>108</v>
      </c>
      <c r="E20" s="34" t="s">
        <v>109</v>
      </c>
      <c r="F20" s="29" t="s">
        <v>120</v>
      </c>
    </row>
    <row r="21" spans="1:7" x14ac:dyDescent="0.25">
      <c r="A21" s="22"/>
      <c r="B21" s="23" t="s">
        <v>89</v>
      </c>
      <c r="C21" s="23" t="s">
        <v>98</v>
      </c>
      <c r="D21" s="23">
        <v>168</v>
      </c>
      <c r="E21" s="23">
        <v>168</v>
      </c>
      <c r="F21" s="22" t="b">
        <f>D21=E21</f>
        <v>1</v>
      </c>
    </row>
    <row r="22" spans="1:7" x14ac:dyDescent="0.25">
      <c r="A22" s="22"/>
      <c r="B22" s="23" t="s">
        <v>90</v>
      </c>
      <c r="C22" s="23" t="s">
        <v>105</v>
      </c>
      <c r="D22" s="23">
        <v>53</v>
      </c>
      <c r="E22" s="23">
        <v>53</v>
      </c>
      <c r="F22" s="22" t="b">
        <f t="shared" ref="F22:F29" si="0">D22=E22</f>
        <v>1</v>
      </c>
    </row>
    <row r="23" spans="1:7" x14ac:dyDescent="0.25">
      <c r="A23" s="22"/>
      <c r="B23" s="23" t="s">
        <v>91</v>
      </c>
      <c r="C23" s="23" t="s">
        <v>99</v>
      </c>
      <c r="D23" s="23">
        <v>428</v>
      </c>
      <c r="E23" s="23">
        <v>428</v>
      </c>
      <c r="F23" s="22" t="b">
        <f t="shared" si="0"/>
        <v>1</v>
      </c>
    </row>
    <row r="24" spans="1:7" x14ac:dyDescent="0.25">
      <c r="A24" s="22"/>
      <c r="B24" s="23" t="s">
        <v>92</v>
      </c>
      <c r="C24" s="23" t="s">
        <v>100</v>
      </c>
      <c r="D24" s="23">
        <v>-57</v>
      </c>
      <c r="E24" s="23">
        <v>-57</v>
      </c>
      <c r="F24" s="22" t="b">
        <f t="shared" si="0"/>
        <v>1</v>
      </c>
    </row>
    <row r="25" spans="1:7" x14ac:dyDescent="0.25">
      <c r="A25" s="22"/>
      <c r="B25" s="23" t="s">
        <v>93</v>
      </c>
      <c r="C25" s="23" t="s">
        <v>101</v>
      </c>
      <c r="D25" s="23">
        <v>275</v>
      </c>
      <c r="E25" s="23">
        <v>275</v>
      </c>
      <c r="F25" s="22" t="b">
        <f t="shared" si="0"/>
        <v>1</v>
      </c>
    </row>
    <row r="26" spans="1:7" x14ac:dyDescent="0.25">
      <c r="A26" s="22"/>
      <c r="B26" s="23" t="s">
        <v>94</v>
      </c>
      <c r="C26" s="23" t="s">
        <v>102</v>
      </c>
      <c r="D26" s="23">
        <v>5</v>
      </c>
      <c r="E26" s="23">
        <v>5</v>
      </c>
      <c r="F26" s="22" t="b">
        <f t="shared" si="0"/>
        <v>1</v>
      </c>
    </row>
    <row r="27" spans="1:7" x14ac:dyDescent="0.25">
      <c r="A27" s="22"/>
      <c r="B27" s="23" t="s">
        <v>95</v>
      </c>
      <c r="C27" s="23" t="s">
        <v>103</v>
      </c>
      <c r="D27" s="23">
        <v>2</v>
      </c>
      <c r="E27" s="23">
        <v>2</v>
      </c>
      <c r="F27" s="22" t="b">
        <f t="shared" si="0"/>
        <v>1</v>
      </c>
    </row>
    <row r="28" spans="1:7" x14ac:dyDescent="0.25">
      <c r="A28" s="22"/>
      <c r="B28" s="23" t="s">
        <v>96</v>
      </c>
      <c r="C28" s="23" t="s">
        <v>104</v>
      </c>
      <c r="D28" s="23">
        <v>10</v>
      </c>
      <c r="E28" s="23">
        <v>10</v>
      </c>
      <c r="F28" s="22" t="b">
        <f t="shared" si="0"/>
        <v>1</v>
      </c>
    </row>
    <row r="29" spans="1:7" x14ac:dyDescent="0.25">
      <c r="A29" s="22"/>
      <c r="B29" s="23" t="s">
        <v>97</v>
      </c>
      <c r="C29" s="23">
        <v>27601524</v>
      </c>
      <c r="D29" s="23">
        <v>66</v>
      </c>
      <c r="E29" s="23">
        <v>66</v>
      </c>
      <c r="F29" s="22" t="b">
        <f t="shared" si="0"/>
        <v>1</v>
      </c>
    </row>
    <row r="30" spans="1:7" x14ac:dyDescent="0.25">
      <c r="A30" s="22"/>
      <c r="B30" s="23"/>
      <c r="C30" s="23"/>
      <c r="D30" s="23"/>
      <c r="E30" s="23"/>
      <c r="F30" s="22"/>
    </row>
    <row r="31" spans="1:7" x14ac:dyDescent="0.25">
      <c r="A31" s="22"/>
      <c r="B31" s="36" t="s">
        <v>122</v>
      </c>
      <c r="C31" s="36"/>
      <c r="D31" s="36"/>
      <c r="E31" s="36"/>
      <c r="F31" s="36"/>
      <c r="G31" s="36"/>
    </row>
    <row r="32" spans="1:7" x14ac:dyDescent="0.25">
      <c r="A32" s="22"/>
      <c r="B32" s="24" t="s">
        <v>106</v>
      </c>
      <c r="C32" s="24" t="s">
        <v>107</v>
      </c>
      <c r="D32" s="28" t="s">
        <v>130</v>
      </c>
      <c r="E32" s="28" t="s">
        <v>108</v>
      </c>
      <c r="F32" s="28" t="s">
        <v>109</v>
      </c>
      <c r="G32" s="29" t="s">
        <v>120</v>
      </c>
    </row>
    <row r="33" spans="1:7" x14ac:dyDescent="0.25">
      <c r="A33" s="22"/>
      <c r="B33" s="23" t="s">
        <v>92</v>
      </c>
      <c r="C33" s="23" t="s">
        <v>134</v>
      </c>
      <c r="D33" t="s">
        <v>135</v>
      </c>
      <c r="E33" s="22">
        <v>84000</v>
      </c>
      <c r="F33" s="22">
        <v>84000</v>
      </c>
      <c r="G33" s="22" t="b">
        <f>E33=F33</f>
        <v>1</v>
      </c>
    </row>
    <row r="34" spans="1:7" x14ac:dyDescent="0.25">
      <c r="A34" s="22"/>
      <c r="B34" s="23" t="s">
        <v>92</v>
      </c>
      <c r="C34" s="23" t="s">
        <v>134</v>
      </c>
      <c r="D34" s="22" t="s">
        <v>136</v>
      </c>
      <c r="E34" s="22">
        <v>62000</v>
      </c>
      <c r="F34" s="22">
        <v>62000</v>
      </c>
      <c r="G34" s="22" t="b">
        <f t="shared" ref="G34:G35" si="1">E34=F34</f>
        <v>1</v>
      </c>
    </row>
    <row r="35" spans="1:7" x14ac:dyDescent="0.25">
      <c r="A35" s="22"/>
      <c r="B35" s="23" t="s">
        <v>92</v>
      </c>
      <c r="C35" s="23" t="s">
        <v>134</v>
      </c>
      <c r="D35" s="22" t="s">
        <v>137</v>
      </c>
      <c r="E35" s="22">
        <v>40000</v>
      </c>
      <c r="F35" s="22">
        <v>40000</v>
      </c>
      <c r="G35" s="22" t="b">
        <f t="shared" si="1"/>
        <v>1</v>
      </c>
    </row>
    <row r="36" spans="1:7" x14ac:dyDescent="0.25">
      <c r="B36" s="23"/>
      <c r="C36" s="23"/>
      <c r="G36" s="22"/>
    </row>
    <row r="37" spans="1:7" x14ac:dyDescent="0.25">
      <c r="B37" s="23"/>
      <c r="C37" s="23"/>
      <c r="G37" s="22"/>
    </row>
    <row r="38" spans="1:7" x14ac:dyDescent="0.25">
      <c r="B38" s="23"/>
      <c r="C38" s="23"/>
      <c r="G38" s="22"/>
    </row>
    <row r="39" spans="1:7" x14ac:dyDescent="0.25">
      <c r="G39" s="22"/>
    </row>
  </sheetData>
  <mergeCells count="2">
    <mergeCell ref="B19:F19"/>
    <mergeCell ref="B31:G31"/>
  </mergeCells>
  <conditionalFormatting sqref="G33:G34">
    <cfRule type="cellIs" dxfId="15" priority="2" operator="equal">
      <formula>FALSE</formula>
    </cfRule>
  </conditionalFormatting>
  <conditionalFormatting sqref="G35">
    <cfRule type="cellIs" dxfId="14" priority="1" operator="equal">
      <formula>FALSE</formula>
    </cfRule>
  </conditionalFormatting>
  <hyperlinks>
    <hyperlink ref="C2" r:id="rId1" display="E:\Index_Products\FORMS\IA Trades Summary.xlsx"/>
    <hyperlink ref="C3" r:id="rId2"/>
    <hyperlink ref="C5" r:id="rId3"/>
  </hyperlinks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6" name="Button 2">
              <controlPr defaultSize="0" print="0" autoFill="0" autoPict="0" macro="[0]!CheckIAPosition">
                <anchor moveWithCells="1" sizeWithCells="1">
                  <from>
                    <xdr:col>1</xdr:col>
                    <xdr:colOff>9525</xdr:colOff>
                    <xdr:row>15</xdr:row>
                    <xdr:rowOff>0</xdr:rowOff>
                  </from>
                  <to>
                    <xdr:col>1</xdr:col>
                    <xdr:colOff>1362075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7" name="Button 3">
              <controlPr defaultSize="0" print="0" autoFill="0" autoPict="0" macro="[0]!ArchiveIA">
                <anchor moveWithCells="1" sizeWithCells="1">
                  <from>
                    <xdr:col>2</xdr:col>
                    <xdr:colOff>9525</xdr:colOff>
                    <xdr:row>15</xdr:row>
                    <xdr:rowOff>0</xdr:rowOff>
                  </from>
                  <to>
                    <xdr:col>3</xdr:col>
                    <xdr:colOff>304800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0"/>
  <sheetViews>
    <sheetView workbookViewId="0">
      <selection activeCell="B2" sqref="B2"/>
    </sheetView>
  </sheetViews>
  <sheetFormatPr defaultRowHeight="15" x14ac:dyDescent="0.25"/>
  <cols>
    <col min="1" max="1" width="18.28515625" style="11" bestFit="1" customWidth="1"/>
    <col min="2" max="2" width="21" customWidth="1"/>
    <col min="3" max="3" width="19.7109375" customWidth="1"/>
    <col min="4" max="4" width="16.28515625" customWidth="1"/>
    <col min="5" max="5" width="19.28515625" customWidth="1"/>
    <col min="6" max="6" width="20.42578125" customWidth="1"/>
    <col min="7" max="7" width="17" customWidth="1"/>
    <col min="9" max="9" width="31.5703125" bestFit="1" customWidth="1"/>
    <col min="10" max="10" width="18.42578125" customWidth="1"/>
    <col min="11" max="11" width="18.140625" customWidth="1"/>
    <col min="12" max="12" width="17.140625" customWidth="1"/>
  </cols>
  <sheetData>
    <row r="1" spans="1:12" x14ac:dyDescent="0.25">
      <c r="B1" s="14" t="s">
        <v>67</v>
      </c>
      <c r="C1" s="14" t="s">
        <v>68</v>
      </c>
      <c r="D1" s="14" t="s">
        <v>66</v>
      </c>
      <c r="E1" s="14" t="s">
        <v>69</v>
      </c>
      <c r="F1" s="14" t="s">
        <v>70</v>
      </c>
      <c r="G1" s="14" t="s">
        <v>66</v>
      </c>
      <c r="J1" s="14" t="s">
        <v>72</v>
      </c>
      <c r="K1" s="14" t="s">
        <v>73</v>
      </c>
      <c r="L1" s="14" t="s">
        <v>66</v>
      </c>
    </row>
    <row r="2" spans="1:12" x14ac:dyDescent="0.25">
      <c r="A2" s="16" t="s">
        <v>28</v>
      </c>
      <c r="B2">
        <v>-5299</v>
      </c>
      <c r="C2">
        <v>-5299</v>
      </c>
      <c r="D2" s="15">
        <f>B2-C2</f>
        <v>0</v>
      </c>
      <c r="G2" s="15">
        <f>E2-F2</f>
        <v>0</v>
      </c>
      <c r="I2" t="s">
        <v>75</v>
      </c>
      <c r="J2">
        <v>0</v>
      </c>
      <c r="K2">
        <v>0</v>
      </c>
      <c r="L2" s="15">
        <f t="shared" ref="L2:L3" si="0">J2-K2</f>
        <v>0</v>
      </c>
    </row>
    <row r="3" spans="1:12" x14ac:dyDescent="0.25">
      <c r="A3" s="16" t="s">
        <v>29</v>
      </c>
      <c r="B3">
        <v>-3244</v>
      </c>
      <c r="C3">
        <v>-3244</v>
      </c>
      <c r="D3" s="15">
        <f t="shared" ref="D3:D66" si="1">B3-C3</f>
        <v>0</v>
      </c>
      <c r="G3" s="15">
        <f t="shared" ref="G3:G66" si="2">E3-F3</f>
        <v>0</v>
      </c>
      <c r="I3" t="s">
        <v>74</v>
      </c>
      <c r="J3">
        <v>8</v>
      </c>
      <c r="K3">
        <v>8</v>
      </c>
      <c r="L3" s="15">
        <f t="shared" si="0"/>
        <v>0</v>
      </c>
    </row>
    <row r="4" spans="1:12" x14ac:dyDescent="0.25">
      <c r="A4" s="16" t="s">
        <v>30</v>
      </c>
      <c r="B4">
        <v>-934</v>
      </c>
      <c r="C4">
        <v>-934</v>
      </c>
      <c r="D4" s="15">
        <f t="shared" si="1"/>
        <v>0</v>
      </c>
      <c r="G4" s="15">
        <f t="shared" si="2"/>
        <v>0</v>
      </c>
    </row>
    <row r="5" spans="1:12" x14ac:dyDescent="0.25">
      <c r="A5" s="16" t="s">
        <v>31</v>
      </c>
      <c r="B5">
        <v>-3558</v>
      </c>
      <c r="C5">
        <v>-3558</v>
      </c>
      <c r="D5" s="15">
        <f t="shared" si="1"/>
        <v>0</v>
      </c>
      <c r="G5" s="15">
        <f t="shared" si="2"/>
        <v>0</v>
      </c>
    </row>
    <row r="6" spans="1:12" x14ac:dyDescent="0.25">
      <c r="A6" s="17" t="s">
        <v>32</v>
      </c>
      <c r="B6">
        <v>0</v>
      </c>
      <c r="C6">
        <v>0</v>
      </c>
      <c r="D6" s="15">
        <f t="shared" si="1"/>
        <v>0</v>
      </c>
      <c r="G6" s="15">
        <f t="shared" si="2"/>
        <v>0</v>
      </c>
    </row>
    <row r="7" spans="1:12" x14ac:dyDescent="0.25">
      <c r="A7" s="17" t="s">
        <v>33</v>
      </c>
      <c r="B7">
        <v>0</v>
      </c>
      <c r="C7">
        <v>0</v>
      </c>
      <c r="D7" s="15">
        <f t="shared" si="1"/>
        <v>0</v>
      </c>
      <c r="G7" s="15">
        <f t="shared" si="2"/>
        <v>0</v>
      </c>
    </row>
    <row r="8" spans="1:12" x14ac:dyDescent="0.25">
      <c r="A8" s="18" t="s">
        <v>34</v>
      </c>
      <c r="B8">
        <v>-3730</v>
      </c>
      <c r="C8">
        <v>-3730</v>
      </c>
      <c r="D8" s="15">
        <f t="shared" si="1"/>
        <v>0</v>
      </c>
      <c r="G8" s="15">
        <f t="shared" si="2"/>
        <v>0</v>
      </c>
    </row>
    <row r="9" spans="1:12" x14ac:dyDescent="0.25">
      <c r="A9" s="16" t="s">
        <v>35</v>
      </c>
      <c r="B9">
        <v>-1171</v>
      </c>
      <c r="C9">
        <v>-1171</v>
      </c>
      <c r="D9" s="15">
        <f t="shared" si="1"/>
        <v>0</v>
      </c>
      <c r="G9" s="15">
        <f t="shared" si="2"/>
        <v>0</v>
      </c>
    </row>
    <row r="10" spans="1:12" x14ac:dyDescent="0.25">
      <c r="A10" s="17" t="s">
        <v>36</v>
      </c>
      <c r="B10">
        <v>0</v>
      </c>
      <c r="C10">
        <v>0</v>
      </c>
      <c r="D10" s="15">
        <f t="shared" si="1"/>
        <v>0</v>
      </c>
      <c r="G10" s="15">
        <f t="shared" si="2"/>
        <v>0</v>
      </c>
    </row>
    <row r="11" spans="1:12" x14ac:dyDescent="0.25">
      <c r="A11" s="12" t="s">
        <v>138</v>
      </c>
      <c r="C11">
        <v>0</v>
      </c>
      <c r="D11" s="15">
        <f t="shared" si="1"/>
        <v>0</v>
      </c>
      <c r="F11">
        <v>0</v>
      </c>
      <c r="G11" s="15">
        <f t="shared" si="2"/>
        <v>0</v>
      </c>
    </row>
    <row r="12" spans="1:12" x14ac:dyDescent="0.25">
      <c r="A12" s="11" t="s">
        <v>139</v>
      </c>
      <c r="B12">
        <v>800</v>
      </c>
      <c r="C12">
        <v>800</v>
      </c>
      <c r="D12" s="15">
        <f t="shared" si="1"/>
        <v>0</v>
      </c>
      <c r="E12">
        <v>0.7</v>
      </c>
      <c r="F12">
        <v>0.73327299999999995</v>
      </c>
      <c r="G12" s="15">
        <f t="shared" si="2"/>
        <v>-3.3272999999999997E-2</v>
      </c>
    </row>
    <row r="13" spans="1:12" x14ac:dyDescent="0.25">
      <c r="A13" s="11" t="s">
        <v>140</v>
      </c>
      <c r="B13">
        <v>1150</v>
      </c>
      <c r="C13">
        <v>1150</v>
      </c>
      <c r="D13" s="15">
        <f t="shared" si="1"/>
        <v>0</v>
      </c>
      <c r="E13">
        <v>0.42499999999999999</v>
      </c>
      <c r="F13">
        <v>0.37481300000000001</v>
      </c>
      <c r="G13" s="15">
        <f t="shared" si="2"/>
        <v>5.0186999999999982E-2</v>
      </c>
    </row>
    <row r="14" spans="1:12" x14ac:dyDescent="0.25">
      <c r="A14" s="11" t="s">
        <v>141</v>
      </c>
      <c r="B14">
        <v>1100</v>
      </c>
      <c r="C14">
        <v>1100</v>
      </c>
      <c r="D14" s="15">
        <f t="shared" si="1"/>
        <v>0</v>
      </c>
      <c r="E14">
        <v>0.25</v>
      </c>
      <c r="F14">
        <v>0.191744</v>
      </c>
      <c r="G14" s="15">
        <f t="shared" si="2"/>
        <v>5.8256000000000002E-2</v>
      </c>
    </row>
    <row r="15" spans="1:12" x14ac:dyDescent="0.25">
      <c r="A15" s="11" t="s">
        <v>142</v>
      </c>
      <c r="B15">
        <v>1000</v>
      </c>
      <c r="C15">
        <v>1000</v>
      </c>
      <c r="D15" s="15">
        <f t="shared" si="1"/>
        <v>0</v>
      </c>
      <c r="E15">
        <v>16.25</v>
      </c>
      <c r="F15">
        <v>16.618476999999999</v>
      </c>
      <c r="G15" s="15">
        <f t="shared" si="2"/>
        <v>-0.36847699999999861</v>
      </c>
    </row>
    <row r="16" spans="1:12" x14ac:dyDescent="0.25">
      <c r="A16" s="11" t="s">
        <v>143</v>
      </c>
      <c r="B16">
        <v>1000</v>
      </c>
      <c r="C16">
        <v>1000</v>
      </c>
      <c r="D16" s="15">
        <f t="shared" si="1"/>
        <v>0</v>
      </c>
      <c r="E16">
        <v>22.549999999999997</v>
      </c>
      <c r="F16">
        <v>22.744961</v>
      </c>
      <c r="G16" s="15">
        <f t="shared" si="2"/>
        <v>-0.19496100000000283</v>
      </c>
    </row>
    <row r="17" spans="1:7" x14ac:dyDescent="0.25">
      <c r="A17" s="11" t="s">
        <v>144</v>
      </c>
      <c r="B17">
        <v>200</v>
      </c>
      <c r="C17">
        <v>200</v>
      </c>
      <c r="D17" s="15">
        <f t="shared" si="1"/>
        <v>0</v>
      </c>
      <c r="E17">
        <v>13.75</v>
      </c>
      <c r="F17">
        <v>14.120285000000001</v>
      </c>
      <c r="G17" s="15">
        <f t="shared" si="2"/>
        <v>-0.37028500000000086</v>
      </c>
    </row>
    <row r="18" spans="1:7" x14ac:dyDescent="0.25">
      <c r="A18" s="11" t="s">
        <v>145</v>
      </c>
      <c r="B18">
        <v>600</v>
      </c>
      <c r="C18">
        <v>600</v>
      </c>
      <c r="D18" s="15">
        <f t="shared" si="1"/>
        <v>0</v>
      </c>
      <c r="E18">
        <v>30.75</v>
      </c>
      <c r="F18">
        <v>30.728027000000001</v>
      </c>
      <c r="G18" s="15">
        <f t="shared" si="2"/>
        <v>2.1972999999999132E-2</v>
      </c>
    </row>
    <row r="19" spans="1:7" x14ac:dyDescent="0.25">
      <c r="A19" s="11" t="s">
        <v>146</v>
      </c>
      <c r="B19">
        <v>1400</v>
      </c>
      <c r="C19">
        <v>1400</v>
      </c>
      <c r="D19" s="15">
        <f t="shared" si="1"/>
        <v>0</v>
      </c>
      <c r="E19">
        <v>0.67500000000000004</v>
      </c>
      <c r="F19">
        <v>0.44556800000000002</v>
      </c>
      <c r="G19" s="15">
        <f t="shared" si="2"/>
        <v>0.22943200000000002</v>
      </c>
    </row>
    <row r="20" spans="1:7" x14ac:dyDescent="0.25">
      <c r="D20" s="15">
        <f t="shared" si="1"/>
        <v>0</v>
      </c>
      <c r="G20" s="15">
        <f t="shared" si="2"/>
        <v>0</v>
      </c>
    </row>
    <row r="21" spans="1:7" x14ac:dyDescent="0.25">
      <c r="D21" s="15">
        <f t="shared" si="1"/>
        <v>0</v>
      </c>
      <c r="G21" s="15">
        <f t="shared" si="2"/>
        <v>0</v>
      </c>
    </row>
    <row r="22" spans="1:7" x14ac:dyDescent="0.25">
      <c r="D22" s="15">
        <f t="shared" si="1"/>
        <v>0</v>
      </c>
      <c r="G22" s="15">
        <f t="shared" si="2"/>
        <v>0</v>
      </c>
    </row>
    <row r="23" spans="1:7" x14ac:dyDescent="0.25">
      <c r="D23" s="15">
        <f t="shared" si="1"/>
        <v>0</v>
      </c>
      <c r="G23" s="15">
        <f t="shared" si="2"/>
        <v>0</v>
      </c>
    </row>
    <row r="24" spans="1:7" x14ac:dyDescent="0.25">
      <c r="D24" s="15">
        <f t="shared" si="1"/>
        <v>0</v>
      </c>
      <c r="G24" s="15">
        <f t="shared" si="2"/>
        <v>0</v>
      </c>
    </row>
    <row r="25" spans="1:7" x14ac:dyDescent="0.25">
      <c r="D25" s="15">
        <f t="shared" si="1"/>
        <v>0</v>
      </c>
      <c r="G25" s="15">
        <f t="shared" si="2"/>
        <v>0</v>
      </c>
    </row>
    <row r="26" spans="1:7" x14ac:dyDescent="0.25">
      <c r="D26" s="15">
        <f t="shared" si="1"/>
        <v>0</v>
      </c>
      <c r="G26" s="15">
        <f t="shared" si="2"/>
        <v>0</v>
      </c>
    </row>
    <row r="27" spans="1:7" x14ac:dyDescent="0.25">
      <c r="D27" s="15">
        <f t="shared" si="1"/>
        <v>0</v>
      </c>
      <c r="G27" s="15">
        <f t="shared" si="2"/>
        <v>0</v>
      </c>
    </row>
    <row r="28" spans="1:7" x14ac:dyDescent="0.25">
      <c r="D28" s="15">
        <f t="shared" si="1"/>
        <v>0</v>
      </c>
      <c r="G28" s="15">
        <f t="shared" si="2"/>
        <v>0</v>
      </c>
    </row>
    <row r="29" spans="1:7" x14ac:dyDescent="0.25">
      <c r="D29" s="15">
        <f t="shared" si="1"/>
        <v>0</v>
      </c>
      <c r="G29" s="15">
        <f t="shared" si="2"/>
        <v>0</v>
      </c>
    </row>
    <row r="30" spans="1:7" x14ac:dyDescent="0.25">
      <c r="D30" s="15">
        <f t="shared" si="1"/>
        <v>0</v>
      </c>
      <c r="G30" s="15">
        <f t="shared" si="2"/>
        <v>0</v>
      </c>
    </row>
    <row r="31" spans="1:7" x14ac:dyDescent="0.25">
      <c r="D31" s="15">
        <f t="shared" si="1"/>
        <v>0</v>
      </c>
      <c r="G31" s="15">
        <f t="shared" si="2"/>
        <v>0</v>
      </c>
    </row>
    <row r="32" spans="1:7" x14ac:dyDescent="0.25">
      <c r="D32" s="15">
        <f t="shared" si="1"/>
        <v>0</v>
      </c>
      <c r="G32" s="15">
        <f t="shared" si="2"/>
        <v>0</v>
      </c>
    </row>
    <row r="33" spans="4:7" x14ac:dyDescent="0.25">
      <c r="D33" s="15">
        <f t="shared" si="1"/>
        <v>0</v>
      </c>
      <c r="G33" s="15">
        <f t="shared" si="2"/>
        <v>0</v>
      </c>
    </row>
    <row r="34" spans="4:7" x14ac:dyDescent="0.25">
      <c r="D34" s="15">
        <f t="shared" si="1"/>
        <v>0</v>
      </c>
      <c r="G34" s="15">
        <f t="shared" si="2"/>
        <v>0</v>
      </c>
    </row>
    <row r="35" spans="4:7" x14ac:dyDescent="0.25">
      <c r="D35" s="15">
        <f t="shared" si="1"/>
        <v>0</v>
      </c>
      <c r="G35" s="15">
        <f t="shared" si="2"/>
        <v>0</v>
      </c>
    </row>
    <row r="36" spans="4:7" x14ac:dyDescent="0.25">
      <c r="D36" s="15">
        <f t="shared" si="1"/>
        <v>0</v>
      </c>
      <c r="G36" s="15">
        <f t="shared" si="2"/>
        <v>0</v>
      </c>
    </row>
    <row r="37" spans="4:7" x14ac:dyDescent="0.25">
      <c r="D37" s="15">
        <f t="shared" si="1"/>
        <v>0</v>
      </c>
      <c r="G37" s="15">
        <f t="shared" si="2"/>
        <v>0</v>
      </c>
    </row>
    <row r="38" spans="4:7" x14ac:dyDescent="0.25">
      <c r="D38" s="15">
        <f t="shared" si="1"/>
        <v>0</v>
      </c>
      <c r="G38" s="15">
        <f t="shared" si="2"/>
        <v>0</v>
      </c>
    </row>
    <row r="39" spans="4:7" x14ac:dyDescent="0.25">
      <c r="D39" s="15">
        <f t="shared" si="1"/>
        <v>0</v>
      </c>
      <c r="G39" s="15">
        <f t="shared" si="2"/>
        <v>0</v>
      </c>
    </row>
    <row r="40" spans="4:7" x14ac:dyDescent="0.25">
      <c r="D40" s="15">
        <f t="shared" si="1"/>
        <v>0</v>
      </c>
      <c r="G40" s="15">
        <f t="shared" si="2"/>
        <v>0</v>
      </c>
    </row>
    <row r="41" spans="4:7" x14ac:dyDescent="0.25">
      <c r="D41" s="15">
        <f t="shared" si="1"/>
        <v>0</v>
      </c>
      <c r="G41" s="15">
        <f t="shared" si="2"/>
        <v>0</v>
      </c>
    </row>
    <row r="42" spans="4:7" x14ac:dyDescent="0.25">
      <c r="D42" s="15">
        <f t="shared" si="1"/>
        <v>0</v>
      </c>
      <c r="G42" s="15">
        <f t="shared" si="2"/>
        <v>0</v>
      </c>
    </row>
    <row r="43" spans="4:7" x14ac:dyDescent="0.25">
      <c r="D43" s="15">
        <f t="shared" si="1"/>
        <v>0</v>
      </c>
      <c r="G43" s="15">
        <f t="shared" si="2"/>
        <v>0</v>
      </c>
    </row>
    <row r="44" spans="4:7" x14ac:dyDescent="0.25">
      <c r="D44" s="15">
        <f t="shared" si="1"/>
        <v>0</v>
      </c>
      <c r="G44" s="15">
        <f t="shared" si="2"/>
        <v>0</v>
      </c>
    </row>
    <row r="45" spans="4:7" x14ac:dyDescent="0.25">
      <c r="D45" s="15">
        <f t="shared" si="1"/>
        <v>0</v>
      </c>
      <c r="G45" s="15">
        <f t="shared" si="2"/>
        <v>0</v>
      </c>
    </row>
    <row r="46" spans="4:7" x14ac:dyDescent="0.25">
      <c r="D46" s="15">
        <f t="shared" si="1"/>
        <v>0</v>
      </c>
      <c r="G46" s="15">
        <f t="shared" si="2"/>
        <v>0</v>
      </c>
    </row>
    <row r="47" spans="4:7" x14ac:dyDescent="0.25">
      <c r="D47" s="15">
        <f t="shared" si="1"/>
        <v>0</v>
      </c>
      <c r="G47" s="15">
        <f t="shared" si="2"/>
        <v>0</v>
      </c>
    </row>
    <row r="48" spans="4:7" x14ac:dyDescent="0.25">
      <c r="D48" s="15">
        <f t="shared" si="1"/>
        <v>0</v>
      </c>
      <c r="G48" s="15">
        <f t="shared" si="2"/>
        <v>0</v>
      </c>
    </row>
    <row r="49" spans="4:7" x14ac:dyDescent="0.25">
      <c r="D49" s="15">
        <f t="shared" si="1"/>
        <v>0</v>
      </c>
      <c r="G49" s="15">
        <f t="shared" si="2"/>
        <v>0</v>
      </c>
    </row>
    <row r="50" spans="4:7" x14ac:dyDescent="0.25">
      <c r="D50" s="15">
        <f t="shared" si="1"/>
        <v>0</v>
      </c>
      <c r="G50" s="15">
        <f t="shared" si="2"/>
        <v>0</v>
      </c>
    </row>
    <row r="51" spans="4:7" x14ac:dyDescent="0.25">
      <c r="D51" s="15">
        <f t="shared" si="1"/>
        <v>0</v>
      </c>
      <c r="G51" s="15">
        <f t="shared" si="2"/>
        <v>0</v>
      </c>
    </row>
    <row r="52" spans="4:7" x14ac:dyDescent="0.25">
      <c r="D52" s="15">
        <f t="shared" si="1"/>
        <v>0</v>
      </c>
      <c r="G52" s="15">
        <f t="shared" si="2"/>
        <v>0</v>
      </c>
    </row>
    <row r="53" spans="4:7" x14ac:dyDescent="0.25">
      <c r="D53" s="15">
        <f t="shared" si="1"/>
        <v>0</v>
      </c>
      <c r="G53" s="15">
        <f t="shared" si="2"/>
        <v>0</v>
      </c>
    </row>
    <row r="54" spans="4:7" x14ac:dyDescent="0.25">
      <c r="D54" s="15">
        <f t="shared" si="1"/>
        <v>0</v>
      </c>
      <c r="G54" s="15">
        <f t="shared" si="2"/>
        <v>0</v>
      </c>
    </row>
    <row r="55" spans="4:7" x14ac:dyDescent="0.25">
      <c r="D55" s="15">
        <f t="shared" si="1"/>
        <v>0</v>
      </c>
      <c r="G55" s="15">
        <f t="shared" si="2"/>
        <v>0</v>
      </c>
    </row>
    <row r="56" spans="4:7" x14ac:dyDescent="0.25">
      <c r="D56" s="15">
        <f t="shared" si="1"/>
        <v>0</v>
      </c>
      <c r="G56" s="15">
        <f t="shared" si="2"/>
        <v>0</v>
      </c>
    </row>
    <row r="57" spans="4:7" x14ac:dyDescent="0.25">
      <c r="D57" s="15">
        <f t="shared" si="1"/>
        <v>0</v>
      </c>
      <c r="G57" s="15">
        <f t="shared" si="2"/>
        <v>0</v>
      </c>
    </row>
    <row r="58" spans="4:7" x14ac:dyDescent="0.25">
      <c r="D58" s="15">
        <f t="shared" si="1"/>
        <v>0</v>
      </c>
      <c r="G58" s="15">
        <f t="shared" si="2"/>
        <v>0</v>
      </c>
    </row>
    <row r="59" spans="4:7" x14ac:dyDescent="0.25">
      <c r="D59" s="15">
        <f t="shared" si="1"/>
        <v>0</v>
      </c>
      <c r="G59" s="15">
        <f t="shared" si="2"/>
        <v>0</v>
      </c>
    </row>
    <row r="60" spans="4:7" x14ac:dyDescent="0.25">
      <c r="D60" s="15">
        <f t="shared" si="1"/>
        <v>0</v>
      </c>
      <c r="G60" s="15">
        <f t="shared" si="2"/>
        <v>0</v>
      </c>
    </row>
    <row r="61" spans="4:7" x14ac:dyDescent="0.25">
      <c r="D61" s="15">
        <f t="shared" si="1"/>
        <v>0</v>
      </c>
      <c r="G61" s="15">
        <f t="shared" si="2"/>
        <v>0</v>
      </c>
    </row>
    <row r="62" spans="4:7" x14ac:dyDescent="0.25">
      <c r="D62" s="15">
        <f t="shared" si="1"/>
        <v>0</v>
      </c>
      <c r="G62" s="15">
        <f t="shared" si="2"/>
        <v>0</v>
      </c>
    </row>
    <row r="63" spans="4:7" x14ac:dyDescent="0.25">
      <c r="D63" s="15">
        <f t="shared" si="1"/>
        <v>0</v>
      </c>
      <c r="G63" s="15">
        <f t="shared" si="2"/>
        <v>0</v>
      </c>
    </row>
    <row r="64" spans="4:7" x14ac:dyDescent="0.25">
      <c r="D64" s="15">
        <f t="shared" si="1"/>
        <v>0</v>
      </c>
      <c r="G64" s="15">
        <f t="shared" si="2"/>
        <v>0</v>
      </c>
    </row>
    <row r="65" spans="4:7" x14ac:dyDescent="0.25">
      <c r="D65" s="15">
        <f t="shared" si="1"/>
        <v>0</v>
      </c>
      <c r="G65" s="15">
        <f t="shared" si="2"/>
        <v>0</v>
      </c>
    </row>
    <row r="66" spans="4:7" x14ac:dyDescent="0.25">
      <c r="D66" s="15">
        <f t="shared" si="1"/>
        <v>0</v>
      </c>
      <c r="G66" s="15">
        <f t="shared" si="2"/>
        <v>0</v>
      </c>
    </row>
    <row r="67" spans="4:7" x14ac:dyDescent="0.25">
      <c r="D67" s="15">
        <f t="shared" ref="D67:D100" si="3">B67-C67</f>
        <v>0</v>
      </c>
      <c r="G67" s="15">
        <f t="shared" ref="G67:G100" si="4">E67-F67</f>
        <v>0</v>
      </c>
    </row>
    <row r="68" spans="4:7" x14ac:dyDescent="0.25">
      <c r="D68" s="15">
        <f t="shared" si="3"/>
        <v>0</v>
      </c>
      <c r="G68" s="15">
        <f t="shared" si="4"/>
        <v>0</v>
      </c>
    </row>
    <row r="69" spans="4:7" x14ac:dyDescent="0.25">
      <c r="D69" s="15">
        <f t="shared" si="3"/>
        <v>0</v>
      </c>
      <c r="G69" s="15">
        <f t="shared" si="4"/>
        <v>0</v>
      </c>
    </row>
    <row r="70" spans="4:7" x14ac:dyDescent="0.25">
      <c r="D70" s="15">
        <f t="shared" si="3"/>
        <v>0</v>
      </c>
      <c r="G70" s="15">
        <f t="shared" si="4"/>
        <v>0</v>
      </c>
    </row>
    <row r="71" spans="4:7" x14ac:dyDescent="0.25">
      <c r="D71" s="15">
        <f t="shared" si="3"/>
        <v>0</v>
      </c>
      <c r="G71" s="15">
        <f t="shared" si="4"/>
        <v>0</v>
      </c>
    </row>
    <row r="72" spans="4:7" x14ac:dyDescent="0.25">
      <c r="D72" s="15">
        <f t="shared" si="3"/>
        <v>0</v>
      </c>
      <c r="G72" s="15">
        <f t="shared" si="4"/>
        <v>0</v>
      </c>
    </row>
    <row r="73" spans="4:7" x14ac:dyDescent="0.25">
      <c r="D73" s="15">
        <f t="shared" si="3"/>
        <v>0</v>
      </c>
      <c r="G73" s="15">
        <f t="shared" si="4"/>
        <v>0</v>
      </c>
    </row>
    <row r="74" spans="4:7" x14ac:dyDescent="0.25">
      <c r="D74" s="15">
        <f t="shared" si="3"/>
        <v>0</v>
      </c>
      <c r="G74" s="15">
        <f t="shared" si="4"/>
        <v>0</v>
      </c>
    </row>
    <row r="75" spans="4:7" x14ac:dyDescent="0.25">
      <c r="D75" s="15">
        <f t="shared" si="3"/>
        <v>0</v>
      </c>
      <c r="G75" s="15">
        <f t="shared" si="4"/>
        <v>0</v>
      </c>
    </row>
    <row r="76" spans="4:7" x14ac:dyDescent="0.25">
      <c r="D76" s="15">
        <f t="shared" si="3"/>
        <v>0</v>
      </c>
      <c r="G76" s="15">
        <f t="shared" si="4"/>
        <v>0</v>
      </c>
    </row>
    <row r="77" spans="4:7" x14ac:dyDescent="0.25">
      <c r="D77" s="15">
        <f t="shared" si="3"/>
        <v>0</v>
      </c>
      <c r="G77" s="15">
        <f t="shared" si="4"/>
        <v>0</v>
      </c>
    </row>
    <row r="78" spans="4:7" x14ac:dyDescent="0.25">
      <c r="D78" s="15">
        <f t="shared" si="3"/>
        <v>0</v>
      </c>
      <c r="G78" s="15">
        <f t="shared" si="4"/>
        <v>0</v>
      </c>
    </row>
    <row r="79" spans="4:7" x14ac:dyDescent="0.25">
      <c r="D79" s="15">
        <f t="shared" si="3"/>
        <v>0</v>
      </c>
      <c r="G79" s="15">
        <f t="shared" si="4"/>
        <v>0</v>
      </c>
    </row>
    <row r="80" spans="4:7" x14ac:dyDescent="0.25">
      <c r="D80" s="15">
        <f t="shared" si="3"/>
        <v>0</v>
      </c>
      <c r="G80" s="15">
        <f t="shared" si="4"/>
        <v>0</v>
      </c>
    </row>
    <row r="81" spans="4:7" x14ac:dyDescent="0.25">
      <c r="D81" s="15">
        <f t="shared" si="3"/>
        <v>0</v>
      </c>
      <c r="G81" s="15">
        <f t="shared" si="4"/>
        <v>0</v>
      </c>
    </row>
    <row r="82" spans="4:7" x14ac:dyDescent="0.25">
      <c r="D82" s="15">
        <f t="shared" si="3"/>
        <v>0</v>
      </c>
      <c r="G82" s="15">
        <f t="shared" si="4"/>
        <v>0</v>
      </c>
    </row>
    <row r="83" spans="4:7" x14ac:dyDescent="0.25">
      <c r="D83" s="15">
        <f t="shared" si="3"/>
        <v>0</v>
      </c>
      <c r="G83" s="15">
        <f t="shared" si="4"/>
        <v>0</v>
      </c>
    </row>
    <row r="84" spans="4:7" x14ac:dyDescent="0.25">
      <c r="D84" s="15">
        <f t="shared" si="3"/>
        <v>0</v>
      </c>
      <c r="G84" s="15">
        <f t="shared" si="4"/>
        <v>0</v>
      </c>
    </row>
    <row r="85" spans="4:7" x14ac:dyDescent="0.25">
      <c r="D85" s="15">
        <f t="shared" si="3"/>
        <v>0</v>
      </c>
      <c r="G85" s="15">
        <f t="shared" si="4"/>
        <v>0</v>
      </c>
    </row>
    <row r="86" spans="4:7" x14ac:dyDescent="0.25">
      <c r="D86" s="15">
        <f t="shared" si="3"/>
        <v>0</v>
      </c>
      <c r="G86" s="15">
        <f t="shared" si="4"/>
        <v>0</v>
      </c>
    </row>
    <row r="87" spans="4:7" x14ac:dyDescent="0.25">
      <c r="D87" s="15">
        <f t="shared" si="3"/>
        <v>0</v>
      </c>
      <c r="G87" s="15">
        <f t="shared" si="4"/>
        <v>0</v>
      </c>
    </row>
    <row r="88" spans="4:7" x14ac:dyDescent="0.25">
      <c r="D88" s="15">
        <f t="shared" si="3"/>
        <v>0</v>
      </c>
      <c r="G88" s="15">
        <f t="shared" si="4"/>
        <v>0</v>
      </c>
    </row>
    <row r="89" spans="4:7" x14ac:dyDescent="0.25">
      <c r="D89" s="15">
        <f t="shared" si="3"/>
        <v>0</v>
      </c>
      <c r="G89" s="15">
        <f t="shared" si="4"/>
        <v>0</v>
      </c>
    </row>
    <row r="90" spans="4:7" x14ac:dyDescent="0.25">
      <c r="D90" s="15">
        <f t="shared" si="3"/>
        <v>0</v>
      </c>
      <c r="G90" s="15">
        <f t="shared" si="4"/>
        <v>0</v>
      </c>
    </row>
    <row r="91" spans="4:7" x14ac:dyDescent="0.25">
      <c r="D91" s="15">
        <f t="shared" si="3"/>
        <v>0</v>
      </c>
      <c r="G91" s="15">
        <f t="shared" si="4"/>
        <v>0</v>
      </c>
    </row>
    <row r="92" spans="4:7" x14ac:dyDescent="0.25">
      <c r="D92" s="15">
        <f t="shared" si="3"/>
        <v>0</v>
      </c>
      <c r="G92" s="15">
        <f t="shared" si="4"/>
        <v>0</v>
      </c>
    </row>
    <row r="93" spans="4:7" x14ac:dyDescent="0.25">
      <c r="D93" s="15">
        <f t="shared" si="3"/>
        <v>0</v>
      </c>
      <c r="G93" s="15">
        <f t="shared" si="4"/>
        <v>0</v>
      </c>
    </row>
    <row r="94" spans="4:7" x14ac:dyDescent="0.25">
      <c r="D94" s="15">
        <f t="shared" si="3"/>
        <v>0</v>
      </c>
      <c r="G94" s="15">
        <f t="shared" si="4"/>
        <v>0</v>
      </c>
    </row>
    <row r="95" spans="4:7" x14ac:dyDescent="0.25">
      <c r="D95" s="15">
        <f t="shared" si="3"/>
        <v>0</v>
      </c>
      <c r="G95" s="15">
        <f t="shared" si="4"/>
        <v>0</v>
      </c>
    </row>
    <row r="96" spans="4:7" x14ac:dyDescent="0.25">
      <c r="D96" s="15">
        <f t="shared" si="3"/>
        <v>0</v>
      </c>
      <c r="G96" s="15">
        <f t="shared" si="4"/>
        <v>0</v>
      </c>
    </row>
    <row r="97" spans="4:7" x14ac:dyDescent="0.25">
      <c r="D97" s="15">
        <f t="shared" si="3"/>
        <v>0</v>
      </c>
      <c r="G97" s="15">
        <f t="shared" si="4"/>
        <v>0</v>
      </c>
    </row>
    <row r="98" spans="4:7" x14ac:dyDescent="0.25">
      <c r="D98" s="15">
        <f t="shared" si="3"/>
        <v>0</v>
      </c>
      <c r="G98" s="15">
        <f t="shared" si="4"/>
        <v>0</v>
      </c>
    </row>
    <row r="99" spans="4:7" x14ac:dyDescent="0.25">
      <c r="D99" s="15">
        <f t="shared" si="3"/>
        <v>0</v>
      </c>
      <c r="G99" s="15">
        <f t="shared" si="4"/>
        <v>0</v>
      </c>
    </row>
    <row r="100" spans="4:7" x14ac:dyDescent="0.25">
      <c r="D100" s="15">
        <f t="shared" si="3"/>
        <v>0</v>
      </c>
      <c r="G100" s="15">
        <f t="shared" si="4"/>
        <v>0</v>
      </c>
    </row>
  </sheetData>
  <conditionalFormatting sqref="G2:G100">
    <cfRule type="cellIs" dxfId="13" priority="1" operator="lessThan">
      <formula>-5</formula>
    </cfRule>
    <cfRule type="cellIs" dxfId="12" priority="2" operator="greaterThan">
      <formula>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00"/>
  <sheetViews>
    <sheetView workbookViewId="0">
      <selection activeCell="C19" sqref="C19"/>
    </sheetView>
  </sheetViews>
  <sheetFormatPr defaultRowHeight="15" x14ac:dyDescent="0.25"/>
  <cols>
    <col min="1" max="1" width="17.42578125" customWidth="1"/>
    <col min="2" max="8" width="17.85546875" style="13" customWidth="1"/>
    <col min="9" max="9" width="31.5703125" bestFit="1" customWidth="1"/>
    <col min="10" max="10" width="12" bestFit="1" customWidth="1"/>
    <col min="11" max="11" width="9.7109375" bestFit="1" customWidth="1"/>
    <col min="12" max="12" width="10.7109375" bestFit="1" customWidth="1"/>
  </cols>
  <sheetData>
    <row r="1" spans="1:12" x14ac:dyDescent="0.25">
      <c r="A1" s="11"/>
      <c r="B1" s="14" t="s">
        <v>67</v>
      </c>
      <c r="C1" s="14" t="s">
        <v>68</v>
      </c>
      <c r="D1" s="14" t="s">
        <v>66</v>
      </c>
      <c r="E1" s="14" t="s">
        <v>69</v>
      </c>
      <c r="F1" s="14" t="s">
        <v>70</v>
      </c>
      <c r="G1" s="14" t="s">
        <v>66</v>
      </c>
      <c r="J1" s="14" t="s">
        <v>72</v>
      </c>
      <c r="K1" s="14" t="s">
        <v>73</v>
      </c>
      <c r="L1" s="14" t="s">
        <v>66</v>
      </c>
    </row>
    <row r="2" spans="1:12" x14ac:dyDescent="0.25">
      <c r="A2" s="16" t="s">
        <v>28</v>
      </c>
      <c r="B2" s="13">
        <v>-1015</v>
      </c>
      <c r="C2" s="13">
        <v>-1015</v>
      </c>
      <c r="D2" s="15">
        <f>B2-C2</f>
        <v>0</v>
      </c>
      <c r="G2" s="15">
        <f>E2-F2</f>
        <v>0</v>
      </c>
      <c r="I2" t="s">
        <v>75</v>
      </c>
      <c r="J2">
        <v>0</v>
      </c>
      <c r="K2">
        <v>0</v>
      </c>
      <c r="L2" s="15">
        <f t="shared" ref="L2:L3" si="0">J2-K2</f>
        <v>0</v>
      </c>
    </row>
    <row r="3" spans="1:12" x14ac:dyDescent="0.25">
      <c r="A3" s="16" t="s">
        <v>29</v>
      </c>
      <c r="B3" s="13">
        <v>-821</v>
      </c>
      <c r="C3" s="13">
        <v>-821</v>
      </c>
      <c r="D3" s="15">
        <f t="shared" ref="D3:D66" si="1">B3-C3</f>
        <v>0</v>
      </c>
      <c r="G3" s="15">
        <f t="shared" ref="G3:G66" si="2">E3-F3</f>
        <v>0</v>
      </c>
      <c r="I3" t="s">
        <v>74</v>
      </c>
      <c r="J3">
        <v>9</v>
      </c>
      <c r="K3">
        <v>9</v>
      </c>
      <c r="L3" s="15">
        <f t="shared" si="0"/>
        <v>0</v>
      </c>
    </row>
    <row r="4" spans="1:12" x14ac:dyDescent="0.25">
      <c r="A4" s="16" t="s">
        <v>30</v>
      </c>
      <c r="B4" s="13">
        <v>-260</v>
      </c>
      <c r="C4" s="13">
        <v>-260</v>
      </c>
      <c r="D4" s="15">
        <f t="shared" si="1"/>
        <v>0</v>
      </c>
      <c r="G4" s="15">
        <f t="shared" si="2"/>
        <v>0</v>
      </c>
    </row>
    <row r="5" spans="1:12" x14ac:dyDescent="0.25">
      <c r="A5" s="16" t="s">
        <v>31</v>
      </c>
      <c r="B5" s="13">
        <v>-906</v>
      </c>
      <c r="C5" s="13">
        <v>-906</v>
      </c>
      <c r="D5" s="15">
        <f t="shared" si="1"/>
        <v>0</v>
      </c>
      <c r="G5" s="15">
        <f t="shared" si="2"/>
        <v>0</v>
      </c>
    </row>
    <row r="6" spans="1:12" x14ac:dyDescent="0.25">
      <c r="A6" s="17" t="s">
        <v>32</v>
      </c>
      <c r="B6" s="13">
        <v>0</v>
      </c>
      <c r="C6" s="13">
        <v>0</v>
      </c>
      <c r="D6" s="15">
        <f t="shared" si="1"/>
        <v>0</v>
      </c>
      <c r="G6" s="15">
        <f t="shared" si="2"/>
        <v>0</v>
      </c>
    </row>
    <row r="7" spans="1:12" x14ac:dyDescent="0.25">
      <c r="A7" s="17" t="s">
        <v>33</v>
      </c>
      <c r="B7" s="13">
        <v>0</v>
      </c>
      <c r="C7" s="13">
        <v>0</v>
      </c>
      <c r="D7" s="15">
        <f t="shared" si="1"/>
        <v>0</v>
      </c>
      <c r="G7" s="15">
        <f t="shared" si="2"/>
        <v>0</v>
      </c>
    </row>
    <row r="8" spans="1:12" x14ac:dyDescent="0.25">
      <c r="A8" s="18" t="s">
        <v>34</v>
      </c>
      <c r="B8" s="13">
        <v>0</v>
      </c>
      <c r="C8" s="13">
        <v>0</v>
      </c>
      <c r="D8" s="15">
        <f t="shared" si="1"/>
        <v>0</v>
      </c>
      <c r="G8" s="15">
        <f t="shared" si="2"/>
        <v>0</v>
      </c>
    </row>
    <row r="9" spans="1:12" x14ac:dyDescent="0.25">
      <c r="A9" s="16" t="s">
        <v>35</v>
      </c>
      <c r="B9" s="13">
        <v>0</v>
      </c>
      <c r="C9" s="13">
        <v>0</v>
      </c>
      <c r="D9" s="15">
        <f t="shared" si="1"/>
        <v>0</v>
      </c>
      <c r="G9" s="15">
        <f t="shared" si="2"/>
        <v>0</v>
      </c>
    </row>
    <row r="10" spans="1:12" x14ac:dyDescent="0.25">
      <c r="A10" s="17" t="s">
        <v>36</v>
      </c>
      <c r="B10" s="13">
        <v>0</v>
      </c>
      <c r="C10" s="13">
        <v>0</v>
      </c>
      <c r="D10" s="15">
        <f t="shared" si="1"/>
        <v>0</v>
      </c>
      <c r="G10" s="15">
        <f t="shared" si="2"/>
        <v>0</v>
      </c>
    </row>
    <row r="11" spans="1:12" x14ac:dyDescent="0.25">
      <c r="A11" s="12" t="s">
        <v>147</v>
      </c>
      <c r="B11" s="13">
        <v>800</v>
      </c>
      <c r="C11" s="13">
        <v>800</v>
      </c>
      <c r="D11" s="15">
        <f t="shared" si="1"/>
        <v>0</v>
      </c>
      <c r="E11" s="13">
        <v>53.9</v>
      </c>
      <c r="F11" s="13">
        <v>53.582076999999998</v>
      </c>
      <c r="G11" s="15">
        <f t="shared" si="2"/>
        <v>0.3179230000000004</v>
      </c>
    </row>
    <row r="12" spans="1:12" x14ac:dyDescent="0.25">
      <c r="A12" t="s">
        <v>141</v>
      </c>
      <c r="B12" s="13">
        <v>750</v>
      </c>
      <c r="C12" s="13">
        <v>750</v>
      </c>
      <c r="D12" s="15">
        <f t="shared" si="1"/>
        <v>0</v>
      </c>
      <c r="E12" s="13">
        <v>0.27500000000000002</v>
      </c>
      <c r="F12" s="13">
        <v>0.191744</v>
      </c>
      <c r="G12" s="15">
        <f t="shared" si="2"/>
        <v>8.3256000000000024E-2</v>
      </c>
    </row>
    <row r="13" spans="1:12" x14ac:dyDescent="0.25">
      <c r="A13" t="s">
        <v>148</v>
      </c>
      <c r="B13" s="13">
        <v>100</v>
      </c>
      <c r="C13" s="13">
        <v>100</v>
      </c>
      <c r="D13" s="15">
        <f t="shared" si="1"/>
        <v>0</v>
      </c>
      <c r="E13" s="13">
        <v>0.32500000000000001</v>
      </c>
      <c r="F13" s="13">
        <v>0.22687499999999999</v>
      </c>
      <c r="G13" s="15">
        <f t="shared" si="2"/>
        <v>9.8125000000000018E-2</v>
      </c>
    </row>
    <row r="14" spans="1:12" x14ac:dyDescent="0.25">
      <c r="A14" t="s">
        <v>149</v>
      </c>
      <c r="B14" s="13">
        <v>850</v>
      </c>
      <c r="C14" s="13">
        <v>850</v>
      </c>
      <c r="D14" s="15">
        <f t="shared" si="1"/>
        <v>0</v>
      </c>
      <c r="E14" s="13">
        <v>0.35</v>
      </c>
      <c r="F14" s="13">
        <v>0.268285</v>
      </c>
      <c r="G14" s="15">
        <f t="shared" si="2"/>
        <v>8.1714999999999982E-2</v>
      </c>
    </row>
    <row r="15" spans="1:12" x14ac:dyDescent="0.25">
      <c r="A15" t="s">
        <v>150</v>
      </c>
      <c r="B15" s="13">
        <v>50</v>
      </c>
      <c r="C15" s="13">
        <v>50</v>
      </c>
      <c r="D15" s="15">
        <f t="shared" si="1"/>
        <v>0</v>
      </c>
      <c r="E15" s="13">
        <v>0.4</v>
      </c>
      <c r="F15" s="13">
        <v>0.317133</v>
      </c>
      <c r="G15" s="15">
        <f t="shared" si="2"/>
        <v>8.2867000000000024E-2</v>
      </c>
    </row>
    <row r="16" spans="1:12" x14ac:dyDescent="0.25">
      <c r="A16" t="s">
        <v>140</v>
      </c>
      <c r="B16" s="13">
        <v>200</v>
      </c>
      <c r="C16" s="13">
        <v>200</v>
      </c>
      <c r="D16" s="15">
        <f t="shared" si="1"/>
        <v>0</v>
      </c>
      <c r="E16" s="13">
        <v>0.44999999999999996</v>
      </c>
      <c r="F16" s="13">
        <v>0.37481300000000001</v>
      </c>
      <c r="G16" s="15">
        <f t="shared" si="2"/>
        <v>7.5186999999999948E-2</v>
      </c>
    </row>
    <row r="17" spans="1:7" x14ac:dyDescent="0.25">
      <c r="A17" t="s">
        <v>151</v>
      </c>
      <c r="B17" s="13">
        <v>200</v>
      </c>
      <c r="C17" s="13">
        <v>200</v>
      </c>
      <c r="D17" s="15">
        <f t="shared" si="1"/>
        <v>0</v>
      </c>
      <c r="E17" s="13">
        <v>0.5</v>
      </c>
      <c r="F17" s="13">
        <v>0.44300400000000001</v>
      </c>
      <c r="G17" s="15">
        <f t="shared" si="2"/>
        <v>5.6995999999999991E-2</v>
      </c>
    </row>
    <row r="18" spans="1:7" x14ac:dyDescent="0.25">
      <c r="A18" t="s">
        <v>139</v>
      </c>
      <c r="B18" s="13">
        <v>300</v>
      </c>
      <c r="C18" s="13">
        <v>300</v>
      </c>
      <c r="D18" s="15">
        <f t="shared" si="1"/>
        <v>0</v>
      </c>
      <c r="E18" s="13">
        <v>0.72500000000000009</v>
      </c>
      <c r="F18" s="13">
        <v>0.73327299999999995</v>
      </c>
      <c r="G18" s="15">
        <f t="shared" si="2"/>
        <v>-8.2729999999998638E-3</v>
      </c>
    </row>
    <row r="19" spans="1:7" x14ac:dyDescent="0.25">
      <c r="A19" t="s">
        <v>142</v>
      </c>
      <c r="B19" s="13">
        <v>600</v>
      </c>
      <c r="C19" s="13">
        <v>600</v>
      </c>
      <c r="D19" s="15">
        <f t="shared" si="1"/>
        <v>0</v>
      </c>
      <c r="E19" s="13">
        <v>16.450000000000003</v>
      </c>
      <c r="F19" s="13">
        <v>16.618476999999999</v>
      </c>
      <c r="G19" s="15">
        <f t="shared" si="2"/>
        <v>-0.16847699999999577</v>
      </c>
    </row>
    <row r="20" spans="1:7" x14ac:dyDescent="0.25">
      <c r="D20" s="15">
        <f t="shared" si="1"/>
        <v>0</v>
      </c>
      <c r="G20" s="15">
        <f t="shared" si="2"/>
        <v>0</v>
      </c>
    </row>
    <row r="21" spans="1:7" x14ac:dyDescent="0.25">
      <c r="D21" s="15">
        <f t="shared" si="1"/>
        <v>0</v>
      </c>
      <c r="G21" s="15">
        <f t="shared" si="2"/>
        <v>0</v>
      </c>
    </row>
    <row r="22" spans="1:7" x14ac:dyDescent="0.25">
      <c r="D22" s="15">
        <f t="shared" si="1"/>
        <v>0</v>
      </c>
      <c r="G22" s="15">
        <f t="shared" si="2"/>
        <v>0</v>
      </c>
    </row>
    <row r="23" spans="1:7" x14ac:dyDescent="0.25">
      <c r="D23" s="15">
        <f t="shared" si="1"/>
        <v>0</v>
      </c>
      <c r="G23" s="15">
        <f t="shared" si="2"/>
        <v>0</v>
      </c>
    </row>
    <row r="24" spans="1:7" x14ac:dyDescent="0.25">
      <c r="D24" s="15">
        <f t="shared" si="1"/>
        <v>0</v>
      </c>
      <c r="G24" s="15">
        <f t="shared" si="2"/>
        <v>0</v>
      </c>
    </row>
    <row r="25" spans="1:7" x14ac:dyDescent="0.25">
      <c r="D25" s="15">
        <f t="shared" si="1"/>
        <v>0</v>
      </c>
      <c r="G25" s="15">
        <f t="shared" si="2"/>
        <v>0</v>
      </c>
    </row>
    <row r="26" spans="1:7" x14ac:dyDescent="0.25">
      <c r="D26" s="15">
        <f t="shared" si="1"/>
        <v>0</v>
      </c>
      <c r="G26" s="15">
        <f t="shared" si="2"/>
        <v>0</v>
      </c>
    </row>
    <row r="27" spans="1:7" x14ac:dyDescent="0.25">
      <c r="D27" s="15">
        <f t="shared" si="1"/>
        <v>0</v>
      </c>
      <c r="G27" s="15">
        <f t="shared" si="2"/>
        <v>0</v>
      </c>
    </row>
    <row r="28" spans="1:7" x14ac:dyDescent="0.25">
      <c r="D28" s="15">
        <f t="shared" si="1"/>
        <v>0</v>
      </c>
      <c r="G28" s="15">
        <f t="shared" si="2"/>
        <v>0</v>
      </c>
    </row>
    <row r="29" spans="1:7" x14ac:dyDescent="0.25">
      <c r="D29" s="15">
        <f t="shared" si="1"/>
        <v>0</v>
      </c>
      <c r="G29" s="15">
        <f t="shared" si="2"/>
        <v>0</v>
      </c>
    </row>
    <row r="30" spans="1:7" x14ac:dyDescent="0.25">
      <c r="D30" s="15">
        <f t="shared" si="1"/>
        <v>0</v>
      </c>
      <c r="G30" s="15">
        <f t="shared" si="2"/>
        <v>0</v>
      </c>
    </row>
    <row r="31" spans="1:7" x14ac:dyDescent="0.25">
      <c r="D31" s="15">
        <f t="shared" si="1"/>
        <v>0</v>
      </c>
      <c r="G31" s="15">
        <f t="shared" si="2"/>
        <v>0</v>
      </c>
    </row>
    <row r="32" spans="1:7" x14ac:dyDescent="0.25">
      <c r="D32" s="15">
        <f t="shared" si="1"/>
        <v>0</v>
      </c>
      <c r="G32" s="15">
        <f t="shared" si="2"/>
        <v>0</v>
      </c>
    </row>
    <row r="33" spans="4:7" x14ac:dyDescent="0.25">
      <c r="D33" s="15">
        <f t="shared" si="1"/>
        <v>0</v>
      </c>
      <c r="G33" s="15">
        <f t="shared" si="2"/>
        <v>0</v>
      </c>
    </row>
    <row r="34" spans="4:7" x14ac:dyDescent="0.25">
      <c r="D34" s="15">
        <f t="shared" si="1"/>
        <v>0</v>
      </c>
      <c r="G34" s="15">
        <f t="shared" si="2"/>
        <v>0</v>
      </c>
    </row>
    <row r="35" spans="4:7" x14ac:dyDescent="0.25">
      <c r="D35" s="15">
        <f t="shared" si="1"/>
        <v>0</v>
      </c>
      <c r="G35" s="15">
        <f t="shared" si="2"/>
        <v>0</v>
      </c>
    </row>
    <row r="36" spans="4:7" x14ac:dyDescent="0.25">
      <c r="D36" s="15">
        <f t="shared" si="1"/>
        <v>0</v>
      </c>
      <c r="G36" s="15">
        <f t="shared" si="2"/>
        <v>0</v>
      </c>
    </row>
    <row r="37" spans="4:7" x14ac:dyDescent="0.25">
      <c r="D37" s="15">
        <f t="shared" si="1"/>
        <v>0</v>
      </c>
      <c r="G37" s="15">
        <f t="shared" si="2"/>
        <v>0</v>
      </c>
    </row>
    <row r="38" spans="4:7" x14ac:dyDescent="0.25">
      <c r="D38" s="15">
        <f t="shared" si="1"/>
        <v>0</v>
      </c>
      <c r="G38" s="15">
        <f t="shared" si="2"/>
        <v>0</v>
      </c>
    </row>
    <row r="39" spans="4:7" x14ac:dyDescent="0.25">
      <c r="D39" s="15">
        <f t="shared" si="1"/>
        <v>0</v>
      </c>
      <c r="G39" s="15">
        <f t="shared" si="2"/>
        <v>0</v>
      </c>
    </row>
    <row r="40" spans="4:7" x14ac:dyDescent="0.25">
      <c r="D40" s="15">
        <f t="shared" si="1"/>
        <v>0</v>
      </c>
      <c r="G40" s="15">
        <f t="shared" si="2"/>
        <v>0</v>
      </c>
    </row>
    <row r="41" spans="4:7" x14ac:dyDescent="0.25">
      <c r="D41" s="15">
        <f t="shared" si="1"/>
        <v>0</v>
      </c>
      <c r="G41" s="15">
        <f t="shared" si="2"/>
        <v>0</v>
      </c>
    </row>
    <row r="42" spans="4:7" x14ac:dyDescent="0.25">
      <c r="D42" s="15">
        <f t="shared" si="1"/>
        <v>0</v>
      </c>
      <c r="G42" s="15">
        <f t="shared" si="2"/>
        <v>0</v>
      </c>
    </row>
    <row r="43" spans="4:7" x14ac:dyDescent="0.25">
      <c r="D43" s="15">
        <f t="shared" si="1"/>
        <v>0</v>
      </c>
      <c r="G43" s="15">
        <f t="shared" si="2"/>
        <v>0</v>
      </c>
    </row>
    <row r="44" spans="4:7" x14ac:dyDescent="0.25">
      <c r="D44" s="15">
        <f t="shared" si="1"/>
        <v>0</v>
      </c>
      <c r="G44" s="15">
        <f t="shared" si="2"/>
        <v>0</v>
      </c>
    </row>
    <row r="45" spans="4:7" x14ac:dyDescent="0.25">
      <c r="D45" s="15">
        <f t="shared" si="1"/>
        <v>0</v>
      </c>
      <c r="G45" s="15">
        <f t="shared" si="2"/>
        <v>0</v>
      </c>
    </row>
    <row r="46" spans="4:7" x14ac:dyDescent="0.25">
      <c r="D46" s="15">
        <f t="shared" si="1"/>
        <v>0</v>
      </c>
      <c r="G46" s="15">
        <f t="shared" si="2"/>
        <v>0</v>
      </c>
    </row>
    <row r="47" spans="4:7" x14ac:dyDescent="0.25">
      <c r="D47" s="15">
        <f t="shared" si="1"/>
        <v>0</v>
      </c>
      <c r="G47" s="15">
        <f t="shared" si="2"/>
        <v>0</v>
      </c>
    </row>
    <row r="48" spans="4:7" x14ac:dyDescent="0.25">
      <c r="D48" s="15">
        <f t="shared" si="1"/>
        <v>0</v>
      </c>
      <c r="G48" s="15">
        <f t="shared" si="2"/>
        <v>0</v>
      </c>
    </row>
    <row r="49" spans="4:7" x14ac:dyDescent="0.25">
      <c r="D49" s="15">
        <f t="shared" si="1"/>
        <v>0</v>
      </c>
      <c r="G49" s="15">
        <f t="shared" si="2"/>
        <v>0</v>
      </c>
    </row>
    <row r="50" spans="4:7" x14ac:dyDescent="0.25">
      <c r="D50" s="15">
        <f t="shared" si="1"/>
        <v>0</v>
      </c>
      <c r="G50" s="15">
        <f t="shared" si="2"/>
        <v>0</v>
      </c>
    </row>
    <row r="51" spans="4:7" x14ac:dyDescent="0.25">
      <c r="D51" s="15">
        <f t="shared" si="1"/>
        <v>0</v>
      </c>
      <c r="G51" s="15">
        <f t="shared" si="2"/>
        <v>0</v>
      </c>
    </row>
    <row r="52" spans="4:7" x14ac:dyDescent="0.25">
      <c r="D52" s="15">
        <f t="shared" si="1"/>
        <v>0</v>
      </c>
      <c r="G52" s="15">
        <f t="shared" si="2"/>
        <v>0</v>
      </c>
    </row>
    <row r="53" spans="4:7" x14ac:dyDescent="0.25">
      <c r="D53" s="15">
        <f t="shared" si="1"/>
        <v>0</v>
      </c>
      <c r="G53" s="15">
        <f t="shared" si="2"/>
        <v>0</v>
      </c>
    </row>
    <row r="54" spans="4:7" x14ac:dyDescent="0.25">
      <c r="D54" s="15">
        <f t="shared" si="1"/>
        <v>0</v>
      </c>
      <c r="G54" s="15">
        <f t="shared" si="2"/>
        <v>0</v>
      </c>
    </row>
    <row r="55" spans="4:7" x14ac:dyDescent="0.25">
      <c r="D55" s="15">
        <f t="shared" si="1"/>
        <v>0</v>
      </c>
      <c r="G55" s="15">
        <f t="shared" si="2"/>
        <v>0</v>
      </c>
    </row>
    <row r="56" spans="4:7" x14ac:dyDescent="0.25">
      <c r="D56" s="15">
        <f t="shared" si="1"/>
        <v>0</v>
      </c>
      <c r="G56" s="15">
        <f t="shared" si="2"/>
        <v>0</v>
      </c>
    </row>
    <row r="57" spans="4:7" x14ac:dyDescent="0.25">
      <c r="D57" s="15">
        <f t="shared" si="1"/>
        <v>0</v>
      </c>
      <c r="G57" s="15">
        <f t="shared" si="2"/>
        <v>0</v>
      </c>
    </row>
    <row r="58" spans="4:7" x14ac:dyDescent="0.25">
      <c r="D58" s="15">
        <f t="shared" si="1"/>
        <v>0</v>
      </c>
      <c r="G58" s="15">
        <f t="shared" si="2"/>
        <v>0</v>
      </c>
    </row>
    <row r="59" spans="4:7" x14ac:dyDescent="0.25">
      <c r="D59" s="15">
        <f t="shared" si="1"/>
        <v>0</v>
      </c>
      <c r="G59" s="15">
        <f t="shared" si="2"/>
        <v>0</v>
      </c>
    </row>
    <row r="60" spans="4:7" x14ac:dyDescent="0.25">
      <c r="D60" s="15">
        <f t="shared" si="1"/>
        <v>0</v>
      </c>
      <c r="G60" s="15">
        <f t="shared" si="2"/>
        <v>0</v>
      </c>
    </row>
    <row r="61" spans="4:7" x14ac:dyDescent="0.25">
      <c r="D61" s="15">
        <f t="shared" si="1"/>
        <v>0</v>
      </c>
      <c r="G61" s="15">
        <f t="shared" si="2"/>
        <v>0</v>
      </c>
    </row>
    <row r="62" spans="4:7" x14ac:dyDescent="0.25">
      <c r="D62" s="15">
        <f t="shared" si="1"/>
        <v>0</v>
      </c>
      <c r="G62" s="15">
        <f t="shared" si="2"/>
        <v>0</v>
      </c>
    </row>
    <row r="63" spans="4:7" x14ac:dyDescent="0.25">
      <c r="D63" s="15">
        <f t="shared" si="1"/>
        <v>0</v>
      </c>
      <c r="G63" s="15">
        <f t="shared" si="2"/>
        <v>0</v>
      </c>
    </row>
    <row r="64" spans="4:7" x14ac:dyDescent="0.25">
      <c r="D64" s="15">
        <f t="shared" si="1"/>
        <v>0</v>
      </c>
      <c r="G64" s="15">
        <f t="shared" si="2"/>
        <v>0</v>
      </c>
    </row>
    <row r="65" spans="4:7" x14ac:dyDescent="0.25">
      <c r="D65" s="15">
        <f t="shared" si="1"/>
        <v>0</v>
      </c>
      <c r="G65" s="15">
        <f t="shared" si="2"/>
        <v>0</v>
      </c>
    </row>
    <row r="66" spans="4:7" x14ac:dyDescent="0.25">
      <c r="D66" s="15">
        <f t="shared" si="1"/>
        <v>0</v>
      </c>
      <c r="G66" s="15">
        <f t="shared" si="2"/>
        <v>0</v>
      </c>
    </row>
    <row r="67" spans="4:7" x14ac:dyDescent="0.25">
      <c r="D67" s="15">
        <f t="shared" ref="D67:D100" si="3">B67-C67</f>
        <v>0</v>
      </c>
      <c r="G67" s="15">
        <f t="shared" ref="G67:G100" si="4">E67-F67</f>
        <v>0</v>
      </c>
    </row>
    <row r="68" spans="4:7" x14ac:dyDescent="0.25">
      <c r="D68" s="15">
        <f t="shared" si="3"/>
        <v>0</v>
      </c>
      <c r="G68" s="15">
        <f t="shared" si="4"/>
        <v>0</v>
      </c>
    </row>
    <row r="69" spans="4:7" x14ac:dyDescent="0.25">
      <c r="D69" s="15">
        <f t="shared" si="3"/>
        <v>0</v>
      </c>
      <c r="G69" s="15">
        <f t="shared" si="4"/>
        <v>0</v>
      </c>
    </row>
    <row r="70" spans="4:7" x14ac:dyDescent="0.25">
      <c r="D70" s="15">
        <f t="shared" si="3"/>
        <v>0</v>
      </c>
      <c r="G70" s="15">
        <f t="shared" si="4"/>
        <v>0</v>
      </c>
    </row>
    <row r="71" spans="4:7" x14ac:dyDescent="0.25">
      <c r="D71" s="15">
        <f t="shared" si="3"/>
        <v>0</v>
      </c>
      <c r="G71" s="15">
        <f t="shared" si="4"/>
        <v>0</v>
      </c>
    </row>
    <row r="72" spans="4:7" x14ac:dyDescent="0.25">
      <c r="D72" s="15">
        <f t="shared" si="3"/>
        <v>0</v>
      </c>
      <c r="G72" s="15">
        <f t="shared" si="4"/>
        <v>0</v>
      </c>
    </row>
    <row r="73" spans="4:7" x14ac:dyDescent="0.25">
      <c r="D73" s="15">
        <f t="shared" si="3"/>
        <v>0</v>
      </c>
      <c r="G73" s="15">
        <f t="shared" si="4"/>
        <v>0</v>
      </c>
    </row>
    <row r="74" spans="4:7" x14ac:dyDescent="0.25">
      <c r="D74" s="15">
        <f t="shared" si="3"/>
        <v>0</v>
      </c>
      <c r="G74" s="15">
        <f t="shared" si="4"/>
        <v>0</v>
      </c>
    </row>
    <row r="75" spans="4:7" x14ac:dyDescent="0.25">
      <c r="D75" s="15">
        <f t="shared" si="3"/>
        <v>0</v>
      </c>
      <c r="G75" s="15">
        <f t="shared" si="4"/>
        <v>0</v>
      </c>
    </row>
    <row r="76" spans="4:7" x14ac:dyDescent="0.25">
      <c r="D76" s="15">
        <f t="shared" si="3"/>
        <v>0</v>
      </c>
      <c r="G76" s="15">
        <f t="shared" si="4"/>
        <v>0</v>
      </c>
    </row>
    <row r="77" spans="4:7" x14ac:dyDescent="0.25">
      <c r="D77" s="15">
        <f t="shared" si="3"/>
        <v>0</v>
      </c>
      <c r="G77" s="15">
        <f t="shared" si="4"/>
        <v>0</v>
      </c>
    </row>
    <row r="78" spans="4:7" x14ac:dyDescent="0.25">
      <c r="D78" s="15">
        <f t="shared" si="3"/>
        <v>0</v>
      </c>
      <c r="G78" s="15">
        <f t="shared" si="4"/>
        <v>0</v>
      </c>
    </row>
    <row r="79" spans="4:7" x14ac:dyDescent="0.25">
      <c r="D79" s="15">
        <f t="shared" si="3"/>
        <v>0</v>
      </c>
      <c r="G79" s="15">
        <f t="shared" si="4"/>
        <v>0</v>
      </c>
    </row>
    <row r="80" spans="4:7" x14ac:dyDescent="0.25">
      <c r="D80" s="15">
        <f t="shared" si="3"/>
        <v>0</v>
      </c>
      <c r="G80" s="15">
        <f t="shared" si="4"/>
        <v>0</v>
      </c>
    </row>
    <row r="81" spans="4:7" x14ac:dyDescent="0.25">
      <c r="D81" s="15">
        <f t="shared" si="3"/>
        <v>0</v>
      </c>
      <c r="G81" s="15">
        <f t="shared" si="4"/>
        <v>0</v>
      </c>
    </row>
    <row r="82" spans="4:7" x14ac:dyDescent="0.25">
      <c r="D82" s="15">
        <f t="shared" si="3"/>
        <v>0</v>
      </c>
      <c r="G82" s="15">
        <f t="shared" si="4"/>
        <v>0</v>
      </c>
    </row>
    <row r="83" spans="4:7" x14ac:dyDescent="0.25">
      <c r="D83" s="15">
        <f t="shared" si="3"/>
        <v>0</v>
      </c>
      <c r="G83" s="15">
        <f t="shared" si="4"/>
        <v>0</v>
      </c>
    </row>
    <row r="84" spans="4:7" x14ac:dyDescent="0.25">
      <c r="D84" s="15">
        <f t="shared" si="3"/>
        <v>0</v>
      </c>
      <c r="G84" s="15">
        <f t="shared" si="4"/>
        <v>0</v>
      </c>
    </row>
    <row r="85" spans="4:7" x14ac:dyDescent="0.25">
      <c r="D85" s="15">
        <f t="shared" si="3"/>
        <v>0</v>
      </c>
      <c r="G85" s="15">
        <f t="shared" si="4"/>
        <v>0</v>
      </c>
    </row>
    <row r="86" spans="4:7" x14ac:dyDescent="0.25">
      <c r="D86" s="15">
        <f t="shared" si="3"/>
        <v>0</v>
      </c>
      <c r="G86" s="15">
        <f t="shared" si="4"/>
        <v>0</v>
      </c>
    </row>
    <row r="87" spans="4:7" x14ac:dyDescent="0.25">
      <c r="D87" s="15">
        <f t="shared" si="3"/>
        <v>0</v>
      </c>
      <c r="G87" s="15">
        <f t="shared" si="4"/>
        <v>0</v>
      </c>
    </row>
    <row r="88" spans="4:7" x14ac:dyDescent="0.25">
      <c r="D88" s="15">
        <f t="shared" si="3"/>
        <v>0</v>
      </c>
      <c r="G88" s="15">
        <f t="shared" si="4"/>
        <v>0</v>
      </c>
    </row>
    <row r="89" spans="4:7" x14ac:dyDescent="0.25">
      <c r="D89" s="15">
        <f t="shared" si="3"/>
        <v>0</v>
      </c>
      <c r="G89" s="15">
        <f t="shared" si="4"/>
        <v>0</v>
      </c>
    </row>
    <row r="90" spans="4:7" x14ac:dyDescent="0.25">
      <c r="D90" s="15">
        <f t="shared" si="3"/>
        <v>0</v>
      </c>
      <c r="G90" s="15">
        <f t="shared" si="4"/>
        <v>0</v>
      </c>
    </row>
    <row r="91" spans="4:7" x14ac:dyDescent="0.25">
      <c r="D91" s="15">
        <f t="shared" si="3"/>
        <v>0</v>
      </c>
      <c r="G91" s="15">
        <f t="shared" si="4"/>
        <v>0</v>
      </c>
    </row>
    <row r="92" spans="4:7" x14ac:dyDescent="0.25">
      <c r="D92" s="15">
        <f t="shared" si="3"/>
        <v>0</v>
      </c>
      <c r="G92" s="15">
        <f t="shared" si="4"/>
        <v>0</v>
      </c>
    </row>
    <row r="93" spans="4:7" x14ac:dyDescent="0.25">
      <c r="D93" s="15">
        <f t="shared" si="3"/>
        <v>0</v>
      </c>
      <c r="G93" s="15">
        <f t="shared" si="4"/>
        <v>0</v>
      </c>
    </row>
    <row r="94" spans="4:7" x14ac:dyDescent="0.25">
      <c r="D94" s="15">
        <f t="shared" si="3"/>
        <v>0</v>
      </c>
      <c r="G94" s="15">
        <f t="shared" si="4"/>
        <v>0</v>
      </c>
    </row>
    <row r="95" spans="4:7" x14ac:dyDescent="0.25">
      <c r="D95" s="15">
        <f t="shared" si="3"/>
        <v>0</v>
      </c>
      <c r="G95" s="15">
        <f t="shared" si="4"/>
        <v>0</v>
      </c>
    </row>
    <row r="96" spans="4:7" x14ac:dyDescent="0.25">
      <c r="D96" s="15">
        <f t="shared" si="3"/>
        <v>0</v>
      </c>
      <c r="G96" s="15">
        <f t="shared" si="4"/>
        <v>0</v>
      </c>
    </row>
    <row r="97" spans="4:7" x14ac:dyDescent="0.25">
      <c r="D97" s="15">
        <f t="shared" si="3"/>
        <v>0</v>
      </c>
      <c r="G97" s="15">
        <f t="shared" si="4"/>
        <v>0</v>
      </c>
    </row>
    <row r="98" spans="4:7" x14ac:dyDescent="0.25">
      <c r="D98" s="15">
        <f t="shared" si="3"/>
        <v>0</v>
      </c>
      <c r="G98" s="15">
        <f t="shared" si="4"/>
        <v>0</v>
      </c>
    </row>
    <row r="99" spans="4:7" x14ac:dyDescent="0.25">
      <c r="D99" s="15">
        <f t="shared" si="3"/>
        <v>0</v>
      </c>
      <c r="G99" s="15">
        <f t="shared" si="4"/>
        <v>0</v>
      </c>
    </row>
    <row r="100" spans="4:7" x14ac:dyDescent="0.25">
      <c r="D100" s="15">
        <f t="shared" si="3"/>
        <v>0</v>
      </c>
      <c r="G100" s="15">
        <f t="shared" si="4"/>
        <v>0</v>
      </c>
    </row>
  </sheetData>
  <conditionalFormatting sqref="G2:G100">
    <cfRule type="cellIs" dxfId="11" priority="1" operator="lessThan">
      <formula>-5</formula>
    </cfRule>
    <cfRule type="cellIs" dxfId="10" priority="2" operator="greaterThan">
      <formula>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00"/>
  <sheetViews>
    <sheetView workbookViewId="0">
      <selection activeCell="E15" sqref="E15"/>
    </sheetView>
  </sheetViews>
  <sheetFormatPr defaultRowHeight="15" x14ac:dyDescent="0.25"/>
  <cols>
    <col min="1" max="1" width="18.28515625" bestFit="1" customWidth="1"/>
    <col min="2" max="7" width="19" style="13" customWidth="1"/>
    <col min="9" max="9" width="31.5703125" bestFit="1" customWidth="1"/>
    <col min="10" max="10" width="12" bestFit="1" customWidth="1"/>
    <col min="11" max="11" width="9.7109375" bestFit="1" customWidth="1"/>
    <col min="12" max="12" width="10.7109375" bestFit="1" customWidth="1"/>
  </cols>
  <sheetData>
    <row r="1" spans="1:12" x14ac:dyDescent="0.25">
      <c r="A1" s="11"/>
      <c r="B1" s="14" t="s">
        <v>67</v>
      </c>
      <c r="C1" s="14" t="s">
        <v>68</v>
      </c>
      <c r="D1" s="14" t="s">
        <v>66</v>
      </c>
      <c r="E1" s="14" t="s">
        <v>69</v>
      </c>
      <c r="F1" s="14" t="s">
        <v>70</v>
      </c>
      <c r="G1" s="14" t="s">
        <v>66</v>
      </c>
      <c r="J1" s="14" t="s">
        <v>72</v>
      </c>
      <c r="K1" s="14" t="s">
        <v>73</v>
      </c>
      <c r="L1" s="14" t="s">
        <v>66</v>
      </c>
    </row>
    <row r="2" spans="1:12" x14ac:dyDescent="0.25">
      <c r="A2" s="16" t="s">
        <v>28</v>
      </c>
      <c r="B2" s="13">
        <v>-540</v>
      </c>
      <c r="C2" s="13">
        <v>-540</v>
      </c>
      <c r="D2" s="15">
        <f>B2-C2</f>
        <v>0</v>
      </c>
      <c r="G2" s="15">
        <f>E2-F2</f>
        <v>0</v>
      </c>
      <c r="I2" t="s">
        <v>75</v>
      </c>
      <c r="J2">
        <v>0</v>
      </c>
      <c r="K2">
        <v>0</v>
      </c>
      <c r="L2" s="15">
        <f t="shared" ref="L2:L3" si="0">J2-K2</f>
        <v>0</v>
      </c>
    </row>
    <row r="3" spans="1:12" x14ac:dyDescent="0.25">
      <c r="A3" s="16" t="s">
        <v>29</v>
      </c>
      <c r="B3" s="13">
        <v>-348</v>
      </c>
      <c r="C3" s="13">
        <v>-348</v>
      </c>
      <c r="D3" s="15">
        <f t="shared" ref="D3:D66" si="1">B3-C3</f>
        <v>0</v>
      </c>
      <c r="G3" s="15">
        <f t="shared" ref="G3:G66" si="2">E3-F3</f>
        <v>0</v>
      </c>
      <c r="I3" t="s">
        <v>74</v>
      </c>
      <c r="J3">
        <v>4</v>
      </c>
      <c r="K3">
        <v>4</v>
      </c>
      <c r="L3" s="15">
        <f t="shared" si="0"/>
        <v>0</v>
      </c>
    </row>
    <row r="4" spans="1:12" x14ac:dyDescent="0.25">
      <c r="A4" s="16" t="s">
        <v>30</v>
      </c>
      <c r="B4" s="13">
        <v>-98</v>
      </c>
      <c r="C4" s="13">
        <v>-98</v>
      </c>
      <c r="D4" s="15">
        <f t="shared" si="1"/>
        <v>0</v>
      </c>
      <c r="G4" s="15">
        <f t="shared" si="2"/>
        <v>0</v>
      </c>
    </row>
    <row r="5" spans="1:12" x14ac:dyDescent="0.25">
      <c r="A5" s="16" t="s">
        <v>31</v>
      </c>
      <c r="B5" s="13">
        <v>-384</v>
      </c>
      <c r="C5" s="13">
        <v>-384</v>
      </c>
      <c r="D5" s="15">
        <f t="shared" si="1"/>
        <v>0</v>
      </c>
      <c r="G5" s="15">
        <f t="shared" si="2"/>
        <v>0</v>
      </c>
    </row>
    <row r="6" spans="1:12" x14ac:dyDescent="0.25">
      <c r="A6" s="17" t="s">
        <v>32</v>
      </c>
      <c r="B6" s="13">
        <v>0</v>
      </c>
      <c r="C6" s="13">
        <v>0</v>
      </c>
      <c r="D6" s="15">
        <f t="shared" si="1"/>
        <v>0</v>
      </c>
      <c r="G6" s="15">
        <f t="shared" si="2"/>
        <v>0</v>
      </c>
    </row>
    <row r="7" spans="1:12" x14ac:dyDescent="0.25">
      <c r="A7" s="17" t="s">
        <v>33</v>
      </c>
      <c r="B7" s="13">
        <v>0</v>
      </c>
      <c r="C7" s="13">
        <v>0</v>
      </c>
      <c r="D7" s="15">
        <f t="shared" si="1"/>
        <v>0</v>
      </c>
      <c r="G7" s="15">
        <f t="shared" si="2"/>
        <v>0</v>
      </c>
    </row>
    <row r="8" spans="1:12" x14ac:dyDescent="0.25">
      <c r="A8" s="18" t="s">
        <v>34</v>
      </c>
      <c r="B8" s="13">
        <v>0</v>
      </c>
      <c r="C8" s="13">
        <v>0</v>
      </c>
      <c r="D8" s="15">
        <f t="shared" si="1"/>
        <v>0</v>
      </c>
      <c r="G8" s="15">
        <f t="shared" si="2"/>
        <v>0</v>
      </c>
    </row>
    <row r="9" spans="1:12" x14ac:dyDescent="0.25">
      <c r="A9" s="16" t="s">
        <v>35</v>
      </c>
      <c r="B9" s="13">
        <v>-107</v>
      </c>
      <c r="C9" s="13">
        <v>-107</v>
      </c>
      <c r="D9" s="15">
        <f t="shared" si="1"/>
        <v>0</v>
      </c>
      <c r="G9" s="15">
        <f t="shared" si="2"/>
        <v>0</v>
      </c>
    </row>
    <row r="10" spans="1:12" x14ac:dyDescent="0.25">
      <c r="A10" s="17" t="s">
        <v>36</v>
      </c>
      <c r="B10" s="13">
        <v>0</v>
      </c>
      <c r="C10" s="13">
        <v>0</v>
      </c>
      <c r="D10" s="15">
        <f t="shared" si="1"/>
        <v>0</v>
      </c>
      <c r="G10" s="15">
        <f t="shared" si="2"/>
        <v>0</v>
      </c>
    </row>
    <row r="11" spans="1:12" x14ac:dyDescent="0.25">
      <c r="A11" s="12" t="s">
        <v>142</v>
      </c>
      <c r="B11" s="13">
        <v>500</v>
      </c>
      <c r="C11" s="13">
        <v>500</v>
      </c>
      <c r="D11" s="15">
        <f t="shared" si="1"/>
        <v>0</v>
      </c>
      <c r="E11" s="13">
        <v>15.15</v>
      </c>
      <c r="F11" s="13">
        <v>16.618476999999999</v>
      </c>
      <c r="G11" s="15">
        <f t="shared" si="2"/>
        <v>-1.4684769999999983</v>
      </c>
    </row>
    <row r="12" spans="1:12" x14ac:dyDescent="0.25">
      <c r="A12" t="s">
        <v>152</v>
      </c>
      <c r="B12" s="13">
        <v>1200</v>
      </c>
      <c r="C12" s="13">
        <v>1200</v>
      </c>
      <c r="D12" s="15">
        <f t="shared" si="1"/>
        <v>0</v>
      </c>
      <c r="E12" s="13">
        <v>8.3500000000000014</v>
      </c>
      <c r="F12" s="13">
        <v>8.1999999999999993</v>
      </c>
      <c r="G12" s="15">
        <f t="shared" si="2"/>
        <v>0.15000000000000213</v>
      </c>
    </row>
    <row r="13" spans="1:12" x14ac:dyDescent="0.25">
      <c r="A13" t="s">
        <v>153</v>
      </c>
      <c r="B13" s="13">
        <v>300</v>
      </c>
      <c r="C13" s="13">
        <v>300</v>
      </c>
      <c r="D13" s="15">
        <f t="shared" si="1"/>
        <v>0</v>
      </c>
      <c r="E13" s="13">
        <v>1.4</v>
      </c>
      <c r="F13" s="13">
        <v>1.456798</v>
      </c>
      <c r="G13" s="15">
        <f t="shared" si="2"/>
        <v>-5.6798000000000126E-2</v>
      </c>
    </row>
    <row r="14" spans="1:12" x14ac:dyDescent="0.25">
      <c r="A14" t="s">
        <v>150</v>
      </c>
      <c r="B14" s="13">
        <v>50</v>
      </c>
      <c r="C14" s="13">
        <v>50</v>
      </c>
      <c r="D14" s="15">
        <f t="shared" si="1"/>
        <v>0</v>
      </c>
      <c r="E14" s="13">
        <v>0.5</v>
      </c>
      <c r="F14" s="13">
        <v>0.317133</v>
      </c>
      <c r="G14" s="15">
        <f t="shared" si="2"/>
        <v>0.182867</v>
      </c>
    </row>
    <row r="15" spans="1:12" x14ac:dyDescent="0.25">
      <c r="D15" s="15">
        <f t="shared" si="1"/>
        <v>0</v>
      </c>
      <c r="G15" s="15">
        <f t="shared" si="2"/>
        <v>0</v>
      </c>
    </row>
    <row r="16" spans="1:12" x14ac:dyDescent="0.25">
      <c r="D16" s="15">
        <f t="shared" si="1"/>
        <v>0</v>
      </c>
      <c r="G16" s="15">
        <f t="shared" si="2"/>
        <v>0</v>
      </c>
    </row>
    <row r="17" spans="4:7" x14ac:dyDescent="0.25">
      <c r="D17" s="15">
        <f t="shared" si="1"/>
        <v>0</v>
      </c>
      <c r="G17" s="15">
        <f t="shared" si="2"/>
        <v>0</v>
      </c>
    </row>
    <row r="18" spans="4:7" x14ac:dyDescent="0.25">
      <c r="D18" s="15">
        <f t="shared" si="1"/>
        <v>0</v>
      </c>
      <c r="G18" s="15">
        <f t="shared" si="2"/>
        <v>0</v>
      </c>
    </row>
    <row r="19" spans="4:7" x14ac:dyDescent="0.25">
      <c r="D19" s="15">
        <f t="shared" si="1"/>
        <v>0</v>
      </c>
      <c r="G19" s="15">
        <f t="shared" si="2"/>
        <v>0</v>
      </c>
    </row>
    <row r="20" spans="4:7" x14ac:dyDescent="0.25">
      <c r="D20" s="15">
        <f t="shared" si="1"/>
        <v>0</v>
      </c>
      <c r="G20" s="15">
        <f t="shared" si="2"/>
        <v>0</v>
      </c>
    </row>
    <row r="21" spans="4:7" x14ac:dyDescent="0.25">
      <c r="D21" s="15">
        <f t="shared" si="1"/>
        <v>0</v>
      </c>
      <c r="G21" s="15">
        <f t="shared" si="2"/>
        <v>0</v>
      </c>
    </row>
    <row r="22" spans="4:7" x14ac:dyDescent="0.25">
      <c r="D22" s="15">
        <f t="shared" si="1"/>
        <v>0</v>
      </c>
      <c r="G22" s="15">
        <f t="shared" si="2"/>
        <v>0</v>
      </c>
    </row>
    <row r="23" spans="4:7" x14ac:dyDescent="0.25">
      <c r="D23" s="15">
        <f t="shared" si="1"/>
        <v>0</v>
      </c>
      <c r="G23" s="15">
        <f t="shared" si="2"/>
        <v>0</v>
      </c>
    </row>
    <row r="24" spans="4:7" x14ac:dyDescent="0.25">
      <c r="D24" s="15">
        <f t="shared" si="1"/>
        <v>0</v>
      </c>
      <c r="G24" s="15">
        <f t="shared" si="2"/>
        <v>0</v>
      </c>
    </row>
    <row r="25" spans="4:7" x14ac:dyDescent="0.25">
      <c r="D25" s="15">
        <f t="shared" si="1"/>
        <v>0</v>
      </c>
      <c r="G25" s="15">
        <f t="shared" si="2"/>
        <v>0</v>
      </c>
    </row>
    <row r="26" spans="4:7" x14ac:dyDescent="0.25">
      <c r="D26" s="15">
        <f t="shared" si="1"/>
        <v>0</v>
      </c>
      <c r="G26" s="15">
        <f t="shared" si="2"/>
        <v>0</v>
      </c>
    </row>
    <row r="27" spans="4:7" x14ac:dyDescent="0.25">
      <c r="D27" s="15">
        <f t="shared" si="1"/>
        <v>0</v>
      </c>
      <c r="G27" s="15">
        <f t="shared" si="2"/>
        <v>0</v>
      </c>
    </row>
    <row r="28" spans="4:7" x14ac:dyDescent="0.25">
      <c r="D28" s="15">
        <f t="shared" si="1"/>
        <v>0</v>
      </c>
      <c r="G28" s="15">
        <f t="shared" si="2"/>
        <v>0</v>
      </c>
    </row>
    <row r="29" spans="4:7" x14ac:dyDescent="0.25">
      <c r="D29" s="15">
        <f t="shared" si="1"/>
        <v>0</v>
      </c>
      <c r="G29" s="15">
        <f t="shared" si="2"/>
        <v>0</v>
      </c>
    </row>
    <row r="30" spans="4:7" x14ac:dyDescent="0.25">
      <c r="D30" s="15">
        <f t="shared" si="1"/>
        <v>0</v>
      </c>
      <c r="G30" s="15">
        <f t="shared" si="2"/>
        <v>0</v>
      </c>
    </row>
    <row r="31" spans="4:7" x14ac:dyDescent="0.25">
      <c r="D31" s="15">
        <f t="shared" si="1"/>
        <v>0</v>
      </c>
      <c r="G31" s="15">
        <f t="shared" si="2"/>
        <v>0</v>
      </c>
    </row>
    <row r="32" spans="4:7" x14ac:dyDescent="0.25">
      <c r="D32" s="15">
        <f t="shared" si="1"/>
        <v>0</v>
      </c>
      <c r="G32" s="15">
        <f t="shared" si="2"/>
        <v>0</v>
      </c>
    </row>
    <row r="33" spans="4:7" x14ac:dyDescent="0.25">
      <c r="D33" s="15">
        <f t="shared" si="1"/>
        <v>0</v>
      </c>
      <c r="G33" s="15">
        <f t="shared" si="2"/>
        <v>0</v>
      </c>
    </row>
    <row r="34" spans="4:7" x14ac:dyDescent="0.25">
      <c r="D34" s="15">
        <f t="shared" si="1"/>
        <v>0</v>
      </c>
      <c r="G34" s="15">
        <f t="shared" si="2"/>
        <v>0</v>
      </c>
    </row>
    <row r="35" spans="4:7" x14ac:dyDescent="0.25">
      <c r="D35" s="15">
        <f t="shared" si="1"/>
        <v>0</v>
      </c>
      <c r="G35" s="15">
        <f t="shared" si="2"/>
        <v>0</v>
      </c>
    </row>
    <row r="36" spans="4:7" x14ac:dyDescent="0.25">
      <c r="D36" s="15">
        <f t="shared" si="1"/>
        <v>0</v>
      </c>
      <c r="G36" s="15">
        <f t="shared" si="2"/>
        <v>0</v>
      </c>
    </row>
    <row r="37" spans="4:7" x14ac:dyDescent="0.25">
      <c r="D37" s="15">
        <f t="shared" si="1"/>
        <v>0</v>
      </c>
      <c r="G37" s="15">
        <f t="shared" si="2"/>
        <v>0</v>
      </c>
    </row>
    <row r="38" spans="4:7" x14ac:dyDescent="0.25">
      <c r="D38" s="15">
        <f t="shared" si="1"/>
        <v>0</v>
      </c>
      <c r="G38" s="15">
        <f t="shared" si="2"/>
        <v>0</v>
      </c>
    </row>
    <row r="39" spans="4:7" x14ac:dyDescent="0.25">
      <c r="D39" s="15">
        <f t="shared" si="1"/>
        <v>0</v>
      </c>
      <c r="G39" s="15">
        <f t="shared" si="2"/>
        <v>0</v>
      </c>
    </row>
    <row r="40" spans="4:7" x14ac:dyDescent="0.25">
      <c r="D40" s="15">
        <f t="shared" si="1"/>
        <v>0</v>
      </c>
      <c r="G40" s="15">
        <f t="shared" si="2"/>
        <v>0</v>
      </c>
    </row>
    <row r="41" spans="4:7" x14ac:dyDescent="0.25">
      <c r="D41" s="15">
        <f t="shared" si="1"/>
        <v>0</v>
      </c>
      <c r="G41" s="15">
        <f t="shared" si="2"/>
        <v>0</v>
      </c>
    </row>
    <row r="42" spans="4:7" x14ac:dyDescent="0.25">
      <c r="D42" s="15">
        <f t="shared" si="1"/>
        <v>0</v>
      </c>
      <c r="G42" s="15">
        <f t="shared" si="2"/>
        <v>0</v>
      </c>
    </row>
    <row r="43" spans="4:7" x14ac:dyDescent="0.25">
      <c r="D43" s="15">
        <f t="shared" si="1"/>
        <v>0</v>
      </c>
      <c r="G43" s="15">
        <f t="shared" si="2"/>
        <v>0</v>
      </c>
    </row>
    <row r="44" spans="4:7" x14ac:dyDescent="0.25">
      <c r="D44" s="15">
        <f t="shared" si="1"/>
        <v>0</v>
      </c>
      <c r="G44" s="15">
        <f t="shared" si="2"/>
        <v>0</v>
      </c>
    </row>
    <row r="45" spans="4:7" x14ac:dyDescent="0.25">
      <c r="D45" s="15">
        <f t="shared" si="1"/>
        <v>0</v>
      </c>
      <c r="G45" s="15">
        <f t="shared" si="2"/>
        <v>0</v>
      </c>
    </row>
    <row r="46" spans="4:7" x14ac:dyDescent="0.25">
      <c r="D46" s="15">
        <f t="shared" si="1"/>
        <v>0</v>
      </c>
      <c r="G46" s="15">
        <f t="shared" si="2"/>
        <v>0</v>
      </c>
    </row>
    <row r="47" spans="4:7" x14ac:dyDescent="0.25">
      <c r="D47" s="15">
        <f t="shared" si="1"/>
        <v>0</v>
      </c>
      <c r="G47" s="15">
        <f t="shared" si="2"/>
        <v>0</v>
      </c>
    </row>
    <row r="48" spans="4:7" x14ac:dyDescent="0.25">
      <c r="D48" s="15">
        <f t="shared" si="1"/>
        <v>0</v>
      </c>
      <c r="G48" s="15">
        <f t="shared" si="2"/>
        <v>0</v>
      </c>
    </row>
    <row r="49" spans="4:7" x14ac:dyDescent="0.25">
      <c r="D49" s="15">
        <f t="shared" si="1"/>
        <v>0</v>
      </c>
      <c r="G49" s="15">
        <f t="shared" si="2"/>
        <v>0</v>
      </c>
    </row>
    <row r="50" spans="4:7" x14ac:dyDescent="0.25">
      <c r="D50" s="15">
        <f t="shared" si="1"/>
        <v>0</v>
      </c>
      <c r="G50" s="15">
        <f t="shared" si="2"/>
        <v>0</v>
      </c>
    </row>
    <row r="51" spans="4:7" x14ac:dyDescent="0.25">
      <c r="D51" s="15">
        <f t="shared" si="1"/>
        <v>0</v>
      </c>
      <c r="G51" s="15">
        <f t="shared" si="2"/>
        <v>0</v>
      </c>
    </row>
    <row r="52" spans="4:7" x14ac:dyDescent="0.25">
      <c r="D52" s="15">
        <f t="shared" si="1"/>
        <v>0</v>
      </c>
      <c r="G52" s="15">
        <f t="shared" si="2"/>
        <v>0</v>
      </c>
    </row>
    <row r="53" spans="4:7" x14ac:dyDescent="0.25">
      <c r="D53" s="15">
        <f t="shared" si="1"/>
        <v>0</v>
      </c>
      <c r="G53" s="15">
        <f t="shared" si="2"/>
        <v>0</v>
      </c>
    </row>
    <row r="54" spans="4:7" x14ac:dyDescent="0.25">
      <c r="D54" s="15">
        <f t="shared" si="1"/>
        <v>0</v>
      </c>
      <c r="G54" s="15">
        <f t="shared" si="2"/>
        <v>0</v>
      </c>
    </row>
    <row r="55" spans="4:7" x14ac:dyDescent="0.25">
      <c r="D55" s="15">
        <f t="shared" si="1"/>
        <v>0</v>
      </c>
      <c r="G55" s="15">
        <f t="shared" si="2"/>
        <v>0</v>
      </c>
    </row>
    <row r="56" spans="4:7" x14ac:dyDescent="0.25">
      <c r="D56" s="15">
        <f t="shared" si="1"/>
        <v>0</v>
      </c>
      <c r="G56" s="15">
        <f t="shared" si="2"/>
        <v>0</v>
      </c>
    </row>
    <row r="57" spans="4:7" x14ac:dyDescent="0.25">
      <c r="D57" s="15">
        <f t="shared" si="1"/>
        <v>0</v>
      </c>
      <c r="G57" s="15">
        <f t="shared" si="2"/>
        <v>0</v>
      </c>
    </row>
    <row r="58" spans="4:7" x14ac:dyDescent="0.25">
      <c r="D58" s="15">
        <f t="shared" si="1"/>
        <v>0</v>
      </c>
      <c r="G58" s="15">
        <f t="shared" si="2"/>
        <v>0</v>
      </c>
    </row>
    <row r="59" spans="4:7" x14ac:dyDescent="0.25">
      <c r="D59" s="15">
        <f t="shared" si="1"/>
        <v>0</v>
      </c>
      <c r="G59" s="15">
        <f t="shared" si="2"/>
        <v>0</v>
      </c>
    </row>
    <row r="60" spans="4:7" x14ac:dyDescent="0.25">
      <c r="D60" s="15">
        <f t="shared" si="1"/>
        <v>0</v>
      </c>
      <c r="G60" s="15">
        <f t="shared" si="2"/>
        <v>0</v>
      </c>
    </row>
    <row r="61" spans="4:7" x14ac:dyDescent="0.25">
      <c r="D61" s="15">
        <f t="shared" si="1"/>
        <v>0</v>
      </c>
      <c r="G61" s="15">
        <f t="shared" si="2"/>
        <v>0</v>
      </c>
    </row>
    <row r="62" spans="4:7" x14ac:dyDescent="0.25">
      <c r="D62" s="15">
        <f t="shared" si="1"/>
        <v>0</v>
      </c>
      <c r="G62" s="15">
        <f t="shared" si="2"/>
        <v>0</v>
      </c>
    </row>
    <row r="63" spans="4:7" x14ac:dyDescent="0.25">
      <c r="D63" s="15">
        <f t="shared" si="1"/>
        <v>0</v>
      </c>
      <c r="G63" s="15">
        <f t="shared" si="2"/>
        <v>0</v>
      </c>
    </row>
    <row r="64" spans="4:7" x14ac:dyDescent="0.25">
      <c r="D64" s="15">
        <f t="shared" si="1"/>
        <v>0</v>
      </c>
      <c r="G64" s="15">
        <f t="shared" si="2"/>
        <v>0</v>
      </c>
    </row>
    <row r="65" spans="4:7" x14ac:dyDescent="0.25">
      <c r="D65" s="15">
        <f t="shared" si="1"/>
        <v>0</v>
      </c>
      <c r="G65" s="15">
        <f t="shared" si="2"/>
        <v>0</v>
      </c>
    </row>
    <row r="66" spans="4:7" x14ac:dyDescent="0.25">
      <c r="D66" s="15">
        <f t="shared" si="1"/>
        <v>0</v>
      </c>
      <c r="G66" s="15">
        <f t="shared" si="2"/>
        <v>0</v>
      </c>
    </row>
    <row r="67" spans="4:7" x14ac:dyDescent="0.25">
      <c r="D67" s="15">
        <f t="shared" ref="D67:D100" si="3">B67-C67</f>
        <v>0</v>
      </c>
      <c r="G67" s="15">
        <f t="shared" ref="G67:G100" si="4">E67-F67</f>
        <v>0</v>
      </c>
    </row>
    <row r="68" spans="4:7" x14ac:dyDescent="0.25">
      <c r="D68" s="15">
        <f t="shared" si="3"/>
        <v>0</v>
      </c>
      <c r="G68" s="15">
        <f t="shared" si="4"/>
        <v>0</v>
      </c>
    </row>
    <row r="69" spans="4:7" x14ac:dyDescent="0.25">
      <c r="D69" s="15">
        <f t="shared" si="3"/>
        <v>0</v>
      </c>
      <c r="G69" s="15">
        <f t="shared" si="4"/>
        <v>0</v>
      </c>
    </row>
    <row r="70" spans="4:7" x14ac:dyDescent="0.25">
      <c r="D70" s="15">
        <f t="shared" si="3"/>
        <v>0</v>
      </c>
      <c r="G70" s="15">
        <f t="shared" si="4"/>
        <v>0</v>
      </c>
    </row>
    <row r="71" spans="4:7" x14ac:dyDescent="0.25">
      <c r="D71" s="15">
        <f t="shared" si="3"/>
        <v>0</v>
      </c>
      <c r="G71" s="15">
        <f t="shared" si="4"/>
        <v>0</v>
      </c>
    </row>
    <row r="72" spans="4:7" x14ac:dyDescent="0.25">
      <c r="D72" s="15">
        <f t="shared" si="3"/>
        <v>0</v>
      </c>
      <c r="G72" s="15">
        <f t="shared" si="4"/>
        <v>0</v>
      </c>
    </row>
    <row r="73" spans="4:7" x14ac:dyDescent="0.25">
      <c r="D73" s="15">
        <f t="shared" si="3"/>
        <v>0</v>
      </c>
      <c r="G73" s="15">
        <f t="shared" si="4"/>
        <v>0</v>
      </c>
    </row>
    <row r="74" spans="4:7" x14ac:dyDescent="0.25">
      <c r="D74" s="15">
        <f t="shared" si="3"/>
        <v>0</v>
      </c>
      <c r="G74" s="15">
        <f t="shared" si="4"/>
        <v>0</v>
      </c>
    </row>
    <row r="75" spans="4:7" x14ac:dyDescent="0.25">
      <c r="D75" s="15">
        <f t="shared" si="3"/>
        <v>0</v>
      </c>
      <c r="G75" s="15">
        <f t="shared" si="4"/>
        <v>0</v>
      </c>
    </row>
    <row r="76" spans="4:7" x14ac:dyDescent="0.25">
      <c r="D76" s="15">
        <f t="shared" si="3"/>
        <v>0</v>
      </c>
      <c r="G76" s="15">
        <f t="shared" si="4"/>
        <v>0</v>
      </c>
    </row>
    <row r="77" spans="4:7" x14ac:dyDescent="0.25">
      <c r="D77" s="15">
        <f t="shared" si="3"/>
        <v>0</v>
      </c>
      <c r="G77" s="15">
        <f t="shared" si="4"/>
        <v>0</v>
      </c>
    </row>
    <row r="78" spans="4:7" x14ac:dyDescent="0.25">
      <c r="D78" s="15">
        <f t="shared" si="3"/>
        <v>0</v>
      </c>
      <c r="G78" s="15">
        <f t="shared" si="4"/>
        <v>0</v>
      </c>
    </row>
    <row r="79" spans="4:7" x14ac:dyDescent="0.25">
      <c r="D79" s="15">
        <f t="shared" si="3"/>
        <v>0</v>
      </c>
      <c r="G79" s="15">
        <f t="shared" si="4"/>
        <v>0</v>
      </c>
    </row>
    <row r="80" spans="4:7" x14ac:dyDescent="0.25">
      <c r="D80" s="15">
        <f t="shared" si="3"/>
        <v>0</v>
      </c>
      <c r="G80" s="15">
        <f t="shared" si="4"/>
        <v>0</v>
      </c>
    </row>
    <row r="81" spans="4:7" x14ac:dyDescent="0.25">
      <c r="D81" s="15">
        <f t="shared" si="3"/>
        <v>0</v>
      </c>
      <c r="G81" s="15">
        <f t="shared" si="4"/>
        <v>0</v>
      </c>
    </row>
    <row r="82" spans="4:7" x14ac:dyDescent="0.25">
      <c r="D82" s="15">
        <f t="shared" si="3"/>
        <v>0</v>
      </c>
      <c r="G82" s="15">
        <f t="shared" si="4"/>
        <v>0</v>
      </c>
    </row>
    <row r="83" spans="4:7" x14ac:dyDescent="0.25">
      <c r="D83" s="15">
        <f t="shared" si="3"/>
        <v>0</v>
      </c>
      <c r="G83" s="15">
        <f t="shared" si="4"/>
        <v>0</v>
      </c>
    </row>
    <row r="84" spans="4:7" x14ac:dyDescent="0.25">
      <c r="D84" s="15">
        <f t="shared" si="3"/>
        <v>0</v>
      </c>
      <c r="G84" s="15">
        <f t="shared" si="4"/>
        <v>0</v>
      </c>
    </row>
    <row r="85" spans="4:7" x14ac:dyDescent="0.25">
      <c r="D85" s="15">
        <f t="shared" si="3"/>
        <v>0</v>
      </c>
      <c r="G85" s="15">
        <f t="shared" si="4"/>
        <v>0</v>
      </c>
    </row>
    <row r="86" spans="4:7" x14ac:dyDescent="0.25">
      <c r="D86" s="15">
        <f t="shared" si="3"/>
        <v>0</v>
      </c>
      <c r="G86" s="15">
        <f t="shared" si="4"/>
        <v>0</v>
      </c>
    </row>
    <row r="87" spans="4:7" x14ac:dyDescent="0.25">
      <c r="D87" s="15">
        <f t="shared" si="3"/>
        <v>0</v>
      </c>
      <c r="G87" s="15">
        <f t="shared" si="4"/>
        <v>0</v>
      </c>
    </row>
    <row r="88" spans="4:7" x14ac:dyDescent="0.25">
      <c r="D88" s="15">
        <f t="shared" si="3"/>
        <v>0</v>
      </c>
      <c r="G88" s="15">
        <f t="shared" si="4"/>
        <v>0</v>
      </c>
    </row>
    <row r="89" spans="4:7" x14ac:dyDescent="0.25">
      <c r="D89" s="15">
        <f t="shared" si="3"/>
        <v>0</v>
      </c>
      <c r="G89" s="15">
        <f t="shared" si="4"/>
        <v>0</v>
      </c>
    </row>
    <row r="90" spans="4:7" x14ac:dyDescent="0.25">
      <c r="D90" s="15">
        <f t="shared" si="3"/>
        <v>0</v>
      </c>
      <c r="G90" s="15">
        <f t="shared" si="4"/>
        <v>0</v>
      </c>
    </row>
    <row r="91" spans="4:7" x14ac:dyDescent="0.25">
      <c r="D91" s="15">
        <f t="shared" si="3"/>
        <v>0</v>
      </c>
      <c r="G91" s="15">
        <f t="shared" si="4"/>
        <v>0</v>
      </c>
    </row>
    <row r="92" spans="4:7" x14ac:dyDescent="0.25">
      <c r="D92" s="15">
        <f t="shared" si="3"/>
        <v>0</v>
      </c>
      <c r="G92" s="15">
        <f t="shared" si="4"/>
        <v>0</v>
      </c>
    </row>
    <row r="93" spans="4:7" x14ac:dyDescent="0.25">
      <c r="D93" s="15">
        <f t="shared" si="3"/>
        <v>0</v>
      </c>
      <c r="G93" s="15">
        <f t="shared" si="4"/>
        <v>0</v>
      </c>
    </row>
    <row r="94" spans="4:7" x14ac:dyDescent="0.25">
      <c r="D94" s="15">
        <f t="shared" si="3"/>
        <v>0</v>
      </c>
      <c r="G94" s="15">
        <f t="shared" si="4"/>
        <v>0</v>
      </c>
    </row>
    <row r="95" spans="4:7" x14ac:dyDescent="0.25">
      <c r="D95" s="15">
        <f t="shared" si="3"/>
        <v>0</v>
      </c>
      <c r="G95" s="15">
        <f t="shared" si="4"/>
        <v>0</v>
      </c>
    </row>
    <row r="96" spans="4:7" x14ac:dyDescent="0.25">
      <c r="D96" s="15">
        <f t="shared" si="3"/>
        <v>0</v>
      </c>
      <c r="G96" s="15">
        <f t="shared" si="4"/>
        <v>0</v>
      </c>
    </row>
    <row r="97" spans="4:7" x14ac:dyDescent="0.25">
      <c r="D97" s="15">
        <f t="shared" si="3"/>
        <v>0</v>
      </c>
      <c r="G97" s="15">
        <f t="shared" si="4"/>
        <v>0</v>
      </c>
    </row>
    <row r="98" spans="4:7" x14ac:dyDescent="0.25">
      <c r="D98" s="15">
        <f t="shared" si="3"/>
        <v>0</v>
      </c>
      <c r="G98" s="15">
        <f t="shared" si="4"/>
        <v>0</v>
      </c>
    </row>
    <row r="99" spans="4:7" x14ac:dyDescent="0.25">
      <c r="D99" s="15">
        <f t="shared" si="3"/>
        <v>0</v>
      </c>
      <c r="G99" s="15">
        <f t="shared" si="4"/>
        <v>0</v>
      </c>
    </row>
    <row r="100" spans="4:7" x14ac:dyDescent="0.25">
      <c r="D100" s="15">
        <f t="shared" si="3"/>
        <v>0</v>
      </c>
      <c r="G100" s="15">
        <f t="shared" si="4"/>
        <v>0</v>
      </c>
    </row>
  </sheetData>
  <conditionalFormatting sqref="G2:G100">
    <cfRule type="cellIs" dxfId="9" priority="1" operator="lessThan">
      <formula>-5</formula>
    </cfRule>
    <cfRule type="cellIs" dxfId="8" priority="2" operator="greaterThan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00"/>
  <sheetViews>
    <sheetView workbookViewId="0">
      <selection activeCell="I11" sqref="I11"/>
    </sheetView>
  </sheetViews>
  <sheetFormatPr defaultRowHeight="15" x14ac:dyDescent="0.25"/>
  <cols>
    <col min="1" max="1" width="18.28515625" bestFit="1" customWidth="1"/>
    <col min="2" max="7" width="19.140625" style="13" customWidth="1"/>
    <col min="9" max="9" width="31.5703125" bestFit="1" customWidth="1"/>
    <col min="10" max="10" width="12" bestFit="1" customWidth="1"/>
    <col min="11" max="11" width="9.7109375" bestFit="1" customWidth="1"/>
    <col min="12" max="12" width="10.7109375" bestFit="1" customWidth="1"/>
  </cols>
  <sheetData>
    <row r="1" spans="1:12" x14ac:dyDescent="0.25">
      <c r="A1" s="11"/>
      <c r="B1" s="14" t="s">
        <v>67</v>
      </c>
      <c r="C1" s="14" t="s">
        <v>68</v>
      </c>
      <c r="D1" s="14" t="s">
        <v>66</v>
      </c>
      <c r="E1" s="14" t="s">
        <v>69</v>
      </c>
      <c r="F1" s="14" t="s">
        <v>70</v>
      </c>
      <c r="G1" s="14" t="s">
        <v>66</v>
      </c>
      <c r="J1" s="14" t="s">
        <v>72</v>
      </c>
      <c r="K1" s="14" t="s">
        <v>73</v>
      </c>
      <c r="L1" s="14" t="s">
        <v>66</v>
      </c>
    </row>
    <row r="2" spans="1:12" x14ac:dyDescent="0.25">
      <c r="A2" s="16" t="s">
        <v>28</v>
      </c>
      <c r="B2" s="13">
        <v>-8</v>
      </c>
      <c r="C2" s="13">
        <v>-8</v>
      </c>
      <c r="D2" s="15">
        <f>B2-C2</f>
        <v>0</v>
      </c>
      <c r="G2" s="15">
        <f>E2-F2</f>
        <v>0</v>
      </c>
      <c r="I2" t="s">
        <v>75</v>
      </c>
      <c r="J2">
        <v>0</v>
      </c>
      <c r="K2">
        <v>0</v>
      </c>
      <c r="L2" s="15">
        <f t="shared" ref="L2:L3" si="0">J2-K2</f>
        <v>0</v>
      </c>
    </row>
    <row r="3" spans="1:12" x14ac:dyDescent="0.25">
      <c r="A3" s="16" t="s">
        <v>29</v>
      </c>
      <c r="B3" s="13">
        <v>-36</v>
      </c>
      <c r="C3" s="13">
        <v>-36</v>
      </c>
      <c r="D3" s="15">
        <f t="shared" ref="D3:D66" si="1">B3-C3</f>
        <v>0</v>
      </c>
      <c r="G3" s="15">
        <f t="shared" ref="G3:G66" si="2">E3-F3</f>
        <v>0</v>
      </c>
      <c r="I3" t="s">
        <v>74</v>
      </c>
      <c r="J3">
        <v>7</v>
      </c>
      <c r="K3">
        <v>7</v>
      </c>
      <c r="L3" s="15">
        <f t="shared" si="0"/>
        <v>0</v>
      </c>
    </row>
    <row r="4" spans="1:12" x14ac:dyDescent="0.25">
      <c r="A4" s="16" t="s">
        <v>30</v>
      </c>
      <c r="B4" s="13">
        <v>-10</v>
      </c>
      <c r="C4" s="13">
        <v>-10</v>
      </c>
      <c r="D4" s="15">
        <f t="shared" si="1"/>
        <v>0</v>
      </c>
      <c r="G4" s="15">
        <f t="shared" si="2"/>
        <v>0</v>
      </c>
    </row>
    <row r="5" spans="1:12" x14ac:dyDescent="0.25">
      <c r="A5" s="16" t="s">
        <v>31</v>
      </c>
      <c r="B5" s="13">
        <v>-52</v>
      </c>
      <c r="C5" s="13">
        <v>-52</v>
      </c>
      <c r="D5" s="15">
        <f t="shared" si="1"/>
        <v>0</v>
      </c>
      <c r="G5" s="15">
        <f t="shared" si="2"/>
        <v>0</v>
      </c>
    </row>
    <row r="6" spans="1:12" x14ac:dyDescent="0.25">
      <c r="A6" s="17" t="s">
        <v>32</v>
      </c>
      <c r="B6" s="13">
        <v>0</v>
      </c>
      <c r="C6" s="13">
        <v>0</v>
      </c>
      <c r="D6" s="15">
        <f t="shared" si="1"/>
        <v>0</v>
      </c>
      <c r="G6" s="15">
        <f t="shared" si="2"/>
        <v>0</v>
      </c>
    </row>
    <row r="7" spans="1:12" x14ac:dyDescent="0.25">
      <c r="A7" s="17" t="s">
        <v>33</v>
      </c>
      <c r="B7" s="13">
        <v>0</v>
      </c>
      <c r="C7" s="13">
        <v>0</v>
      </c>
      <c r="D7" s="15">
        <f t="shared" si="1"/>
        <v>0</v>
      </c>
      <c r="G7" s="15">
        <f t="shared" si="2"/>
        <v>0</v>
      </c>
    </row>
    <row r="8" spans="1:12" x14ac:dyDescent="0.25">
      <c r="A8" s="18" t="s">
        <v>34</v>
      </c>
      <c r="B8" s="13">
        <v>0</v>
      </c>
      <c r="C8" s="13">
        <v>0</v>
      </c>
      <c r="D8" s="15">
        <f t="shared" si="1"/>
        <v>0</v>
      </c>
      <c r="G8" s="15">
        <f t="shared" si="2"/>
        <v>0</v>
      </c>
    </row>
    <row r="9" spans="1:12" x14ac:dyDescent="0.25">
      <c r="A9" s="16" t="s">
        <v>35</v>
      </c>
      <c r="B9" s="13">
        <v>-237</v>
      </c>
      <c r="C9" s="13">
        <v>-237</v>
      </c>
      <c r="D9" s="15">
        <f t="shared" si="1"/>
        <v>0</v>
      </c>
      <c r="G9" s="15">
        <f t="shared" si="2"/>
        <v>0</v>
      </c>
    </row>
    <row r="10" spans="1:12" x14ac:dyDescent="0.25">
      <c r="A10" s="17" t="s">
        <v>36</v>
      </c>
      <c r="B10" s="13">
        <v>0</v>
      </c>
      <c r="C10" s="13">
        <v>0</v>
      </c>
      <c r="D10" s="15">
        <f t="shared" si="1"/>
        <v>0</v>
      </c>
      <c r="G10" s="15">
        <f t="shared" si="2"/>
        <v>0</v>
      </c>
    </row>
    <row r="11" spans="1:12" x14ac:dyDescent="0.25">
      <c r="A11" s="12" t="s">
        <v>145</v>
      </c>
      <c r="B11" s="13">
        <v>200</v>
      </c>
      <c r="C11" s="13">
        <v>200</v>
      </c>
      <c r="D11" s="15">
        <f t="shared" si="1"/>
        <v>0</v>
      </c>
      <c r="E11" s="13">
        <v>28.8</v>
      </c>
      <c r="F11" s="13">
        <v>30.728027000000001</v>
      </c>
      <c r="G11" s="15">
        <f t="shared" si="2"/>
        <v>-1.9280270000000002</v>
      </c>
    </row>
    <row r="12" spans="1:12" x14ac:dyDescent="0.25">
      <c r="A12" t="s">
        <v>154</v>
      </c>
      <c r="B12" s="13">
        <v>1100</v>
      </c>
      <c r="C12" s="13">
        <v>1100</v>
      </c>
      <c r="D12" s="15">
        <f t="shared" si="1"/>
        <v>0</v>
      </c>
      <c r="E12" s="13">
        <v>65</v>
      </c>
      <c r="F12" s="13">
        <v>68.014342999999997</v>
      </c>
      <c r="G12" s="15">
        <f t="shared" si="2"/>
        <v>-3.0143429999999967</v>
      </c>
    </row>
    <row r="13" spans="1:12" x14ac:dyDescent="0.25">
      <c r="A13" t="s">
        <v>155</v>
      </c>
      <c r="B13" s="13">
        <v>900</v>
      </c>
      <c r="C13" s="13">
        <v>900</v>
      </c>
      <c r="D13" s="15">
        <f t="shared" si="1"/>
        <v>0</v>
      </c>
      <c r="E13" s="13">
        <v>39.1</v>
      </c>
      <c r="F13" s="13">
        <v>41.656677000000002</v>
      </c>
      <c r="G13" s="15">
        <f t="shared" si="2"/>
        <v>-2.5566770000000005</v>
      </c>
    </row>
    <row r="14" spans="1:12" x14ac:dyDescent="0.25">
      <c r="A14" t="s">
        <v>147</v>
      </c>
      <c r="B14" s="13">
        <v>1100</v>
      </c>
      <c r="C14" s="13">
        <v>1100</v>
      </c>
      <c r="D14" s="15">
        <f t="shared" si="1"/>
        <v>0</v>
      </c>
      <c r="E14" s="13">
        <v>50.75</v>
      </c>
      <c r="F14" s="13">
        <v>53.582076999999998</v>
      </c>
      <c r="G14" s="15">
        <f t="shared" si="2"/>
        <v>-2.8320769999999982</v>
      </c>
    </row>
    <row r="15" spans="1:12" x14ac:dyDescent="0.25">
      <c r="A15" t="s">
        <v>142</v>
      </c>
      <c r="B15" s="13">
        <v>1200</v>
      </c>
      <c r="C15" s="13">
        <v>1200</v>
      </c>
      <c r="D15" s="15">
        <f t="shared" si="1"/>
        <v>0</v>
      </c>
      <c r="E15" s="13">
        <v>15.15</v>
      </c>
      <c r="F15" s="13">
        <v>16.618476999999999</v>
      </c>
      <c r="G15" s="15">
        <f t="shared" si="2"/>
        <v>-1.4684769999999983</v>
      </c>
    </row>
    <row r="16" spans="1:12" x14ac:dyDescent="0.25">
      <c r="A16" t="s">
        <v>156</v>
      </c>
      <c r="B16" s="13">
        <v>500</v>
      </c>
      <c r="C16" s="13">
        <v>500</v>
      </c>
      <c r="D16" s="15">
        <f t="shared" si="1"/>
        <v>0</v>
      </c>
      <c r="E16" s="13">
        <v>10.65</v>
      </c>
      <c r="F16" s="13">
        <v>11.941191999999999</v>
      </c>
      <c r="G16" s="15">
        <f t="shared" si="2"/>
        <v>-1.2911919999999988</v>
      </c>
    </row>
    <row r="17" spans="1:7" x14ac:dyDescent="0.25">
      <c r="A17" t="s">
        <v>143</v>
      </c>
      <c r="B17" s="13">
        <v>1250</v>
      </c>
      <c r="C17" s="13">
        <v>1250</v>
      </c>
      <c r="D17" s="15">
        <f t="shared" si="1"/>
        <v>0</v>
      </c>
      <c r="E17" s="13">
        <v>21.049999999999997</v>
      </c>
      <c r="F17" s="13">
        <v>22.744961</v>
      </c>
      <c r="G17" s="15">
        <f t="shared" si="2"/>
        <v>-1.6949610000000028</v>
      </c>
    </row>
    <row r="18" spans="1:7" x14ac:dyDescent="0.25">
      <c r="D18" s="15">
        <f t="shared" si="1"/>
        <v>0</v>
      </c>
      <c r="G18" s="15">
        <f t="shared" si="2"/>
        <v>0</v>
      </c>
    </row>
    <row r="19" spans="1:7" x14ac:dyDescent="0.25">
      <c r="D19" s="15">
        <f t="shared" si="1"/>
        <v>0</v>
      </c>
      <c r="G19" s="15">
        <f t="shared" si="2"/>
        <v>0</v>
      </c>
    </row>
    <row r="20" spans="1:7" x14ac:dyDescent="0.25">
      <c r="D20" s="15">
        <f t="shared" si="1"/>
        <v>0</v>
      </c>
      <c r="G20" s="15">
        <f t="shared" si="2"/>
        <v>0</v>
      </c>
    </row>
    <row r="21" spans="1:7" x14ac:dyDescent="0.25">
      <c r="D21" s="15">
        <f t="shared" si="1"/>
        <v>0</v>
      </c>
      <c r="G21" s="15">
        <f t="shared" si="2"/>
        <v>0</v>
      </c>
    </row>
    <row r="22" spans="1:7" x14ac:dyDescent="0.25">
      <c r="D22" s="15">
        <f t="shared" si="1"/>
        <v>0</v>
      </c>
      <c r="G22" s="15">
        <f t="shared" si="2"/>
        <v>0</v>
      </c>
    </row>
    <row r="23" spans="1:7" x14ac:dyDescent="0.25">
      <c r="D23" s="15">
        <f t="shared" si="1"/>
        <v>0</v>
      </c>
      <c r="G23" s="15">
        <f t="shared" si="2"/>
        <v>0</v>
      </c>
    </row>
    <row r="24" spans="1:7" x14ac:dyDescent="0.25">
      <c r="D24" s="15">
        <f t="shared" si="1"/>
        <v>0</v>
      </c>
      <c r="G24" s="15">
        <f t="shared" si="2"/>
        <v>0</v>
      </c>
    </row>
    <row r="25" spans="1:7" x14ac:dyDescent="0.25">
      <c r="D25" s="15">
        <f t="shared" si="1"/>
        <v>0</v>
      </c>
      <c r="G25" s="15">
        <f t="shared" si="2"/>
        <v>0</v>
      </c>
    </row>
    <row r="26" spans="1:7" x14ac:dyDescent="0.25">
      <c r="D26" s="15">
        <f t="shared" si="1"/>
        <v>0</v>
      </c>
      <c r="G26" s="15">
        <f t="shared" si="2"/>
        <v>0</v>
      </c>
    </row>
    <row r="27" spans="1:7" x14ac:dyDescent="0.25">
      <c r="D27" s="15">
        <f t="shared" si="1"/>
        <v>0</v>
      </c>
      <c r="G27" s="15">
        <f t="shared" si="2"/>
        <v>0</v>
      </c>
    </row>
    <row r="28" spans="1:7" x14ac:dyDescent="0.25">
      <c r="D28" s="15">
        <f t="shared" si="1"/>
        <v>0</v>
      </c>
      <c r="G28" s="15">
        <f t="shared" si="2"/>
        <v>0</v>
      </c>
    </row>
    <row r="29" spans="1:7" x14ac:dyDescent="0.25">
      <c r="D29" s="15">
        <f t="shared" si="1"/>
        <v>0</v>
      </c>
      <c r="G29" s="15">
        <f t="shared" si="2"/>
        <v>0</v>
      </c>
    </row>
    <row r="30" spans="1:7" x14ac:dyDescent="0.25">
      <c r="D30" s="15">
        <f t="shared" si="1"/>
        <v>0</v>
      </c>
      <c r="G30" s="15">
        <f t="shared" si="2"/>
        <v>0</v>
      </c>
    </row>
    <row r="31" spans="1:7" x14ac:dyDescent="0.25">
      <c r="D31" s="15">
        <f t="shared" si="1"/>
        <v>0</v>
      </c>
      <c r="G31" s="15">
        <f t="shared" si="2"/>
        <v>0</v>
      </c>
    </row>
    <row r="32" spans="1:7" x14ac:dyDescent="0.25">
      <c r="D32" s="15">
        <f t="shared" si="1"/>
        <v>0</v>
      </c>
      <c r="G32" s="15">
        <f t="shared" si="2"/>
        <v>0</v>
      </c>
    </row>
    <row r="33" spans="4:7" x14ac:dyDescent="0.25">
      <c r="D33" s="15">
        <f t="shared" si="1"/>
        <v>0</v>
      </c>
      <c r="G33" s="15">
        <f t="shared" si="2"/>
        <v>0</v>
      </c>
    </row>
    <row r="34" spans="4:7" x14ac:dyDescent="0.25">
      <c r="D34" s="15">
        <f t="shared" si="1"/>
        <v>0</v>
      </c>
      <c r="G34" s="15">
        <f t="shared" si="2"/>
        <v>0</v>
      </c>
    </row>
    <row r="35" spans="4:7" x14ac:dyDescent="0.25">
      <c r="D35" s="15">
        <f t="shared" si="1"/>
        <v>0</v>
      </c>
      <c r="G35" s="15">
        <f t="shared" si="2"/>
        <v>0</v>
      </c>
    </row>
    <row r="36" spans="4:7" x14ac:dyDescent="0.25">
      <c r="D36" s="15">
        <f t="shared" si="1"/>
        <v>0</v>
      </c>
      <c r="G36" s="15">
        <f t="shared" si="2"/>
        <v>0</v>
      </c>
    </row>
    <row r="37" spans="4:7" x14ac:dyDescent="0.25">
      <c r="D37" s="15">
        <f t="shared" si="1"/>
        <v>0</v>
      </c>
      <c r="G37" s="15">
        <f t="shared" si="2"/>
        <v>0</v>
      </c>
    </row>
    <row r="38" spans="4:7" x14ac:dyDescent="0.25">
      <c r="D38" s="15">
        <f t="shared" si="1"/>
        <v>0</v>
      </c>
      <c r="G38" s="15">
        <f t="shared" si="2"/>
        <v>0</v>
      </c>
    </row>
    <row r="39" spans="4:7" x14ac:dyDescent="0.25">
      <c r="D39" s="15">
        <f t="shared" si="1"/>
        <v>0</v>
      </c>
      <c r="G39" s="15">
        <f t="shared" si="2"/>
        <v>0</v>
      </c>
    </row>
    <row r="40" spans="4:7" x14ac:dyDescent="0.25">
      <c r="D40" s="15">
        <f t="shared" si="1"/>
        <v>0</v>
      </c>
      <c r="G40" s="15">
        <f t="shared" si="2"/>
        <v>0</v>
      </c>
    </row>
    <row r="41" spans="4:7" x14ac:dyDescent="0.25">
      <c r="D41" s="15">
        <f t="shared" si="1"/>
        <v>0</v>
      </c>
      <c r="G41" s="15">
        <f t="shared" si="2"/>
        <v>0</v>
      </c>
    </row>
    <row r="42" spans="4:7" x14ac:dyDescent="0.25">
      <c r="D42" s="15">
        <f t="shared" si="1"/>
        <v>0</v>
      </c>
      <c r="G42" s="15">
        <f t="shared" si="2"/>
        <v>0</v>
      </c>
    </row>
    <row r="43" spans="4:7" x14ac:dyDescent="0.25">
      <c r="D43" s="15">
        <f t="shared" si="1"/>
        <v>0</v>
      </c>
      <c r="G43" s="15">
        <f t="shared" si="2"/>
        <v>0</v>
      </c>
    </row>
    <row r="44" spans="4:7" x14ac:dyDescent="0.25">
      <c r="D44" s="15">
        <f t="shared" si="1"/>
        <v>0</v>
      </c>
      <c r="G44" s="15">
        <f t="shared" si="2"/>
        <v>0</v>
      </c>
    </row>
    <row r="45" spans="4:7" x14ac:dyDescent="0.25">
      <c r="D45" s="15">
        <f t="shared" si="1"/>
        <v>0</v>
      </c>
      <c r="G45" s="15">
        <f t="shared" si="2"/>
        <v>0</v>
      </c>
    </row>
    <row r="46" spans="4:7" x14ac:dyDescent="0.25">
      <c r="D46" s="15">
        <f t="shared" si="1"/>
        <v>0</v>
      </c>
      <c r="G46" s="15">
        <f t="shared" si="2"/>
        <v>0</v>
      </c>
    </row>
    <row r="47" spans="4:7" x14ac:dyDescent="0.25">
      <c r="D47" s="15">
        <f t="shared" si="1"/>
        <v>0</v>
      </c>
      <c r="G47" s="15">
        <f t="shared" si="2"/>
        <v>0</v>
      </c>
    </row>
    <row r="48" spans="4:7" x14ac:dyDescent="0.25">
      <c r="D48" s="15">
        <f t="shared" si="1"/>
        <v>0</v>
      </c>
      <c r="G48" s="15">
        <f t="shared" si="2"/>
        <v>0</v>
      </c>
    </row>
    <row r="49" spans="4:7" x14ac:dyDescent="0.25">
      <c r="D49" s="15">
        <f t="shared" si="1"/>
        <v>0</v>
      </c>
      <c r="G49" s="15">
        <f t="shared" si="2"/>
        <v>0</v>
      </c>
    </row>
    <row r="50" spans="4:7" x14ac:dyDescent="0.25">
      <c r="D50" s="15">
        <f t="shared" si="1"/>
        <v>0</v>
      </c>
      <c r="G50" s="15">
        <f t="shared" si="2"/>
        <v>0</v>
      </c>
    </row>
    <row r="51" spans="4:7" x14ac:dyDescent="0.25">
      <c r="D51" s="15">
        <f t="shared" si="1"/>
        <v>0</v>
      </c>
      <c r="G51" s="15">
        <f t="shared" si="2"/>
        <v>0</v>
      </c>
    </row>
    <row r="52" spans="4:7" x14ac:dyDescent="0.25">
      <c r="D52" s="15">
        <f t="shared" si="1"/>
        <v>0</v>
      </c>
      <c r="G52" s="15">
        <f t="shared" si="2"/>
        <v>0</v>
      </c>
    </row>
    <row r="53" spans="4:7" x14ac:dyDescent="0.25">
      <c r="D53" s="15">
        <f t="shared" si="1"/>
        <v>0</v>
      </c>
      <c r="G53" s="15">
        <f t="shared" si="2"/>
        <v>0</v>
      </c>
    </row>
    <row r="54" spans="4:7" x14ac:dyDescent="0.25">
      <c r="D54" s="15">
        <f t="shared" si="1"/>
        <v>0</v>
      </c>
      <c r="G54" s="15">
        <f t="shared" si="2"/>
        <v>0</v>
      </c>
    </row>
    <row r="55" spans="4:7" x14ac:dyDescent="0.25">
      <c r="D55" s="15">
        <f t="shared" si="1"/>
        <v>0</v>
      </c>
      <c r="G55" s="15">
        <f t="shared" si="2"/>
        <v>0</v>
      </c>
    </row>
    <row r="56" spans="4:7" x14ac:dyDescent="0.25">
      <c r="D56" s="15">
        <f t="shared" si="1"/>
        <v>0</v>
      </c>
      <c r="G56" s="15">
        <f t="shared" si="2"/>
        <v>0</v>
      </c>
    </row>
    <row r="57" spans="4:7" x14ac:dyDescent="0.25">
      <c r="D57" s="15">
        <f t="shared" si="1"/>
        <v>0</v>
      </c>
      <c r="G57" s="15">
        <f t="shared" si="2"/>
        <v>0</v>
      </c>
    </row>
    <row r="58" spans="4:7" x14ac:dyDescent="0.25">
      <c r="D58" s="15">
        <f t="shared" si="1"/>
        <v>0</v>
      </c>
      <c r="G58" s="15">
        <f t="shared" si="2"/>
        <v>0</v>
      </c>
    </row>
    <row r="59" spans="4:7" x14ac:dyDescent="0.25">
      <c r="D59" s="15">
        <f t="shared" si="1"/>
        <v>0</v>
      </c>
      <c r="G59" s="15">
        <f t="shared" si="2"/>
        <v>0</v>
      </c>
    </row>
    <row r="60" spans="4:7" x14ac:dyDescent="0.25">
      <c r="D60" s="15">
        <f t="shared" si="1"/>
        <v>0</v>
      </c>
      <c r="G60" s="15">
        <f t="shared" si="2"/>
        <v>0</v>
      </c>
    </row>
    <row r="61" spans="4:7" x14ac:dyDescent="0.25">
      <c r="D61" s="15">
        <f t="shared" si="1"/>
        <v>0</v>
      </c>
      <c r="G61" s="15">
        <f t="shared" si="2"/>
        <v>0</v>
      </c>
    </row>
    <row r="62" spans="4:7" x14ac:dyDescent="0.25">
      <c r="D62" s="15">
        <f t="shared" si="1"/>
        <v>0</v>
      </c>
      <c r="G62" s="15">
        <f t="shared" si="2"/>
        <v>0</v>
      </c>
    </row>
    <row r="63" spans="4:7" x14ac:dyDescent="0.25">
      <c r="D63" s="15">
        <f t="shared" si="1"/>
        <v>0</v>
      </c>
      <c r="G63" s="15">
        <f t="shared" si="2"/>
        <v>0</v>
      </c>
    </row>
    <row r="64" spans="4:7" x14ac:dyDescent="0.25">
      <c r="D64" s="15">
        <f t="shared" si="1"/>
        <v>0</v>
      </c>
      <c r="G64" s="15">
        <f t="shared" si="2"/>
        <v>0</v>
      </c>
    </row>
    <row r="65" spans="4:7" x14ac:dyDescent="0.25">
      <c r="D65" s="15">
        <f t="shared" si="1"/>
        <v>0</v>
      </c>
      <c r="G65" s="15">
        <f t="shared" si="2"/>
        <v>0</v>
      </c>
    </row>
    <row r="66" spans="4:7" x14ac:dyDescent="0.25">
      <c r="D66" s="15">
        <f t="shared" si="1"/>
        <v>0</v>
      </c>
      <c r="G66" s="15">
        <f t="shared" si="2"/>
        <v>0</v>
      </c>
    </row>
    <row r="67" spans="4:7" x14ac:dyDescent="0.25">
      <c r="D67" s="15">
        <f t="shared" ref="D67:D100" si="3">B67-C67</f>
        <v>0</v>
      </c>
      <c r="G67" s="15">
        <f t="shared" ref="G67:G100" si="4">E67-F67</f>
        <v>0</v>
      </c>
    </row>
    <row r="68" spans="4:7" x14ac:dyDescent="0.25">
      <c r="D68" s="15">
        <f t="shared" si="3"/>
        <v>0</v>
      </c>
      <c r="G68" s="15">
        <f t="shared" si="4"/>
        <v>0</v>
      </c>
    </row>
    <row r="69" spans="4:7" x14ac:dyDescent="0.25">
      <c r="D69" s="15">
        <f t="shared" si="3"/>
        <v>0</v>
      </c>
      <c r="G69" s="15">
        <f t="shared" si="4"/>
        <v>0</v>
      </c>
    </row>
    <row r="70" spans="4:7" x14ac:dyDescent="0.25">
      <c r="D70" s="15">
        <f t="shared" si="3"/>
        <v>0</v>
      </c>
      <c r="G70" s="15">
        <f t="shared" si="4"/>
        <v>0</v>
      </c>
    </row>
    <row r="71" spans="4:7" x14ac:dyDescent="0.25">
      <c r="D71" s="15">
        <f t="shared" si="3"/>
        <v>0</v>
      </c>
      <c r="G71" s="15">
        <f t="shared" si="4"/>
        <v>0</v>
      </c>
    </row>
    <row r="72" spans="4:7" x14ac:dyDescent="0.25">
      <c r="D72" s="15">
        <f t="shared" si="3"/>
        <v>0</v>
      </c>
      <c r="G72" s="15">
        <f t="shared" si="4"/>
        <v>0</v>
      </c>
    </row>
    <row r="73" spans="4:7" x14ac:dyDescent="0.25">
      <c r="D73" s="15">
        <f t="shared" si="3"/>
        <v>0</v>
      </c>
      <c r="G73" s="15">
        <f t="shared" si="4"/>
        <v>0</v>
      </c>
    </row>
    <row r="74" spans="4:7" x14ac:dyDescent="0.25">
      <c r="D74" s="15">
        <f t="shared" si="3"/>
        <v>0</v>
      </c>
      <c r="G74" s="15">
        <f t="shared" si="4"/>
        <v>0</v>
      </c>
    </row>
    <row r="75" spans="4:7" x14ac:dyDescent="0.25">
      <c r="D75" s="15">
        <f t="shared" si="3"/>
        <v>0</v>
      </c>
      <c r="G75" s="15">
        <f t="shared" si="4"/>
        <v>0</v>
      </c>
    </row>
    <row r="76" spans="4:7" x14ac:dyDescent="0.25">
      <c r="D76" s="15">
        <f t="shared" si="3"/>
        <v>0</v>
      </c>
      <c r="G76" s="15">
        <f t="shared" si="4"/>
        <v>0</v>
      </c>
    </row>
    <row r="77" spans="4:7" x14ac:dyDescent="0.25">
      <c r="D77" s="15">
        <f t="shared" si="3"/>
        <v>0</v>
      </c>
      <c r="G77" s="15">
        <f t="shared" si="4"/>
        <v>0</v>
      </c>
    </row>
    <row r="78" spans="4:7" x14ac:dyDescent="0.25">
      <c r="D78" s="15">
        <f t="shared" si="3"/>
        <v>0</v>
      </c>
      <c r="G78" s="15">
        <f t="shared" si="4"/>
        <v>0</v>
      </c>
    </row>
    <row r="79" spans="4:7" x14ac:dyDescent="0.25">
      <c r="D79" s="15">
        <f t="shared" si="3"/>
        <v>0</v>
      </c>
      <c r="G79" s="15">
        <f t="shared" si="4"/>
        <v>0</v>
      </c>
    </row>
    <row r="80" spans="4:7" x14ac:dyDescent="0.25">
      <c r="D80" s="15">
        <f t="shared" si="3"/>
        <v>0</v>
      </c>
      <c r="G80" s="15">
        <f t="shared" si="4"/>
        <v>0</v>
      </c>
    </row>
    <row r="81" spans="4:7" x14ac:dyDescent="0.25">
      <c r="D81" s="15">
        <f t="shared" si="3"/>
        <v>0</v>
      </c>
      <c r="G81" s="15">
        <f t="shared" si="4"/>
        <v>0</v>
      </c>
    </row>
    <row r="82" spans="4:7" x14ac:dyDescent="0.25">
      <c r="D82" s="15">
        <f t="shared" si="3"/>
        <v>0</v>
      </c>
      <c r="G82" s="15">
        <f t="shared" si="4"/>
        <v>0</v>
      </c>
    </row>
    <row r="83" spans="4:7" x14ac:dyDescent="0.25">
      <c r="D83" s="15">
        <f t="shared" si="3"/>
        <v>0</v>
      </c>
      <c r="G83" s="15">
        <f t="shared" si="4"/>
        <v>0</v>
      </c>
    </row>
    <row r="84" spans="4:7" x14ac:dyDescent="0.25">
      <c r="D84" s="15">
        <f t="shared" si="3"/>
        <v>0</v>
      </c>
      <c r="G84" s="15">
        <f t="shared" si="4"/>
        <v>0</v>
      </c>
    </row>
    <row r="85" spans="4:7" x14ac:dyDescent="0.25">
      <c r="D85" s="15">
        <f t="shared" si="3"/>
        <v>0</v>
      </c>
      <c r="G85" s="15">
        <f t="shared" si="4"/>
        <v>0</v>
      </c>
    </row>
    <row r="86" spans="4:7" x14ac:dyDescent="0.25">
      <c r="D86" s="15">
        <f t="shared" si="3"/>
        <v>0</v>
      </c>
      <c r="G86" s="15">
        <f t="shared" si="4"/>
        <v>0</v>
      </c>
    </row>
    <row r="87" spans="4:7" x14ac:dyDescent="0.25">
      <c r="D87" s="15">
        <f t="shared" si="3"/>
        <v>0</v>
      </c>
      <c r="G87" s="15">
        <f t="shared" si="4"/>
        <v>0</v>
      </c>
    </row>
    <row r="88" spans="4:7" x14ac:dyDescent="0.25">
      <c r="D88" s="15">
        <f t="shared" si="3"/>
        <v>0</v>
      </c>
      <c r="G88" s="15">
        <f t="shared" si="4"/>
        <v>0</v>
      </c>
    </row>
    <row r="89" spans="4:7" x14ac:dyDescent="0.25">
      <c r="D89" s="15">
        <f t="shared" si="3"/>
        <v>0</v>
      </c>
      <c r="G89" s="15">
        <f t="shared" si="4"/>
        <v>0</v>
      </c>
    </row>
    <row r="90" spans="4:7" x14ac:dyDescent="0.25">
      <c r="D90" s="15">
        <f t="shared" si="3"/>
        <v>0</v>
      </c>
      <c r="G90" s="15">
        <f t="shared" si="4"/>
        <v>0</v>
      </c>
    </row>
    <row r="91" spans="4:7" x14ac:dyDescent="0.25">
      <c r="D91" s="15">
        <f t="shared" si="3"/>
        <v>0</v>
      </c>
      <c r="G91" s="15">
        <f t="shared" si="4"/>
        <v>0</v>
      </c>
    </row>
    <row r="92" spans="4:7" x14ac:dyDescent="0.25">
      <c r="D92" s="15">
        <f t="shared" si="3"/>
        <v>0</v>
      </c>
      <c r="G92" s="15">
        <f t="shared" si="4"/>
        <v>0</v>
      </c>
    </row>
    <row r="93" spans="4:7" x14ac:dyDescent="0.25">
      <c r="D93" s="15">
        <f t="shared" si="3"/>
        <v>0</v>
      </c>
      <c r="G93" s="15">
        <f t="shared" si="4"/>
        <v>0</v>
      </c>
    </row>
    <row r="94" spans="4:7" x14ac:dyDescent="0.25">
      <c r="D94" s="15">
        <f t="shared" si="3"/>
        <v>0</v>
      </c>
      <c r="G94" s="15">
        <f t="shared" si="4"/>
        <v>0</v>
      </c>
    </row>
    <row r="95" spans="4:7" x14ac:dyDescent="0.25">
      <c r="D95" s="15">
        <f t="shared" si="3"/>
        <v>0</v>
      </c>
      <c r="G95" s="15">
        <f t="shared" si="4"/>
        <v>0</v>
      </c>
    </row>
    <row r="96" spans="4:7" x14ac:dyDescent="0.25">
      <c r="D96" s="15">
        <f t="shared" si="3"/>
        <v>0</v>
      </c>
      <c r="G96" s="15">
        <f t="shared" si="4"/>
        <v>0</v>
      </c>
    </row>
    <row r="97" spans="4:7" x14ac:dyDescent="0.25">
      <c r="D97" s="15">
        <f t="shared" si="3"/>
        <v>0</v>
      </c>
      <c r="G97" s="15">
        <f t="shared" si="4"/>
        <v>0</v>
      </c>
    </row>
    <row r="98" spans="4:7" x14ac:dyDescent="0.25">
      <c r="D98" s="15">
        <f t="shared" si="3"/>
        <v>0</v>
      </c>
      <c r="G98" s="15">
        <f t="shared" si="4"/>
        <v>0</v>
      </c>
    </row>
    <row r="99" spans="4:7" x14ac:dyDescent="0.25">
      <c r="D99" s="15">
        <f t="shared" si="3"/>
        <v>0</v>
      </c>
      <c r="G99" s="15">
        <f t="shared" si="4"/>
        <v>0</v>
      </c>
    </row>
    <row r="100" spans="4:7" x14ac:dyDescent="0.25">
      <c r="D100" s="15">
        <f t="shared" si="3"/>
        <v>0</v>
      </c>
      <c r="G100" s="15">
        <f t="shared" si="4"/>
        <v>0</v>
      </c>
    </row>
  </sheetData>
  <conditionalFormatting sqref="G2:G100">
    <cfRule type="cellIs" dxfId="7" priority="1" operator="lessThan">
      <formula>-5</formula>
    </cfRule>
    <cfRule type="cellIs" dxfId="6" priority="2" operator="greaterThan">
      <formula>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00"/>
  <sheetViews>
    <sheetView workbookViewId="0">
      <selection activeCell="G14" sqref="G14"/>
    </sheetView>
  </sheetViews>
  <sheetFormatPr defaultRowHeight="15" x14ac:dyDescent="0.25"/>
  <cols>
    <col min="1" max="1" width="20.42578125" customWidth="1"/>
    <col min="2" max="8" width="17.85546875" style="13" customWidth="1"/>
    <col min="9" max="9" width="31.5703125" bestFit="1" customWidth="1"/>
    <col min="10" max="10" width="12" bestFit="1" customWidth="1"/>
    <col min="11" max="11" width="9.7109375" bestFit="1" customWidth="1"/>
    <col min="12" max="12" width="10.7109375" bestFit="1" customWidth="1"/>
  </cols>
  <sheetData>
    <row r="1" spans="1:12" x14ac:dyDescent="0.25">
      <c r="A1" s="11"/>
      <c r="B1" s="14" t="s">
        <v>67</v>
      </c>
      <c r="C1" s="14" t="s">
        <v>68</v>
      </c>
      <c r="D1" s="14" t="s">
        <v>66</v>
      </c>
      <c r="E1" s="14" t="s">
        <v>69</v>
      </c>
      <c r="F1" s="14" t="s">
        <v>70</v>
      </c>
      <c r="G1" s="14" t="s">
        <v>66</v>
      </c>
      <c r="J1" s="14" t="s">
        <v>72</v>
      </c>
      <c r="K1" s="14" t="s">
        <v>73</v>
      </c>
      <c r="L1" s="14" t="s">
        <v>66</v>
      </c>
    </row>
    <row r="2" spans="1:12" x14ac:dyDescent="0.25">
      <c r="A2" s="16" t="s">
        <v>28</v>
      </c>
      <c r="B2" s="13">
        <v>-194</v>
      </c>
      <c r="C2" s="13">
        <v>-194</v>
      </c>
      <c r="D2" s="15">
        <f>B2-C2</f>
        <v>0</v>
      </c>
      <c r="G2" s="15">
        <f>E2-F2</f>
        <v>0</v>
      </c>
      <c r="I2" t="s">
        <v>75</v>
      </c>
      <c r="J2">
        <v>0</v>
      </c>
      <c r="K2">
        <v>0</v>
      </c>
      <c r="L2" s="15">
        <f t="shared" ref="L2:L3" si="0">J2-K2</f>
        <v>0</v>
      </c>
    </row>
    <row r="3" spans="1:12" x14ac:dyDescent="0.25">
      <c r="A3" s="16" t="s">
        <v>29</v>
      </c>
      <c r="B3" s="13">
        <v>-169</v>
      </c>
      <c r="C3" s="13">
        <v>-169</v>
      </c>
      <c r="D3" s="15">
        <f t="shared" ref="D3:D66" si="1">B3-C3</f>
        <v>0</v>
      </c>
      <c r="G3" s="15">
        <f t="shared" ref="G3:G66" si="2">E3-F3</f>
        <v>0</v>
      </c>
      <c r="I3" t="s">
        <v>74</v>
      </c>
      <c r="J3">
        <v>4</v>
      </c>
      <c r="K3">
        <v>4</v>
      </c>
      <c r="L3" s="15">
        <f t="shared" si="0"/>
        <v>0</v>
      </c>
    </row>
    <row r="4" spans="1:12" x14ac:dyDescent="0.25">
      <c r="A4" s="16" t="s">
        <v>30</v>
      </c>
      <c r="B4" s="13">
        <v>-53</v>
      </c>
      <c r="C4" s="13">
        <v>-53</v>
      </c>
      <c r="D4" s="15">
        <f t="shared" si="1"/>
        <v>0</v>
      </c>
      <c r="G4" s="15">
        <f t="shared" si="2"/>
        <v>0</v>
      </c>
    </row>
    <row r="5" spans="1:12" x14ac:dyDescent="0.25">
      <c r="A5" s="16" t="s">
        <v>31</v>
      </c>
      <c r="B5" s="13">
        <v>-191</v>
      </c>
      <c r="C5" s="13">
        <v>-191</v>
      </c>
      <c r="D5" s="15">
        <f t="shared" si="1"/>
        <v>0</v>
      </c>
      <c r="G5" s="15">
        <f t="shared" si="2"/>
        <v>0</v>
      </c>
    </row>
    <row r="6" spans="1:12" x14ac:dyDescent="0.25">
      <c r="A6" s="17" t="s">
        <v>32</v>
      </c>
      <c r="B6" s="13">
        <v>0</v>
      </c>
      <c r="C6" s="13">
        <v>0</v>
      </c>
      <c r="D6" s="15">
        <f t="shared" si="1"/>
        <v>0</v>
      </c>
      <c r="G6" s="15">
        <f t="shared" si="2"/>
        <v>0</v>
      </c>
    </row>
    <row r="7" spans="1:12" x14ac:dyDescent="0.25">
      <c r="A7" s="17" t="s">
        <v>33</v>
      </c>
      <c r="B7" s="13">
        <v>0</v>
      </c>
      <c r="C7" s="13">
        <v>0</v>
      </c>
      <c r="D7" s="15">
        <f t="shared" si="1"/>
        <v>0</v>
      </c>
      <c r="G7" s="15">
        <f t="shared" si="2"/>
        <v>0</v>
      </c>
    </row>
    <row r="8" spans="1:12" x14ac:dyDescent="0.25">
      <c r="A8" s="18" t="s">
        <v>34</v>
      </c>
      <c r="B8" s="13">
        <v>0</v>
      </c>
      <c r="C8" s="13">
        <v>0</v>
      </c>
      <c r="D8" s="15">
        <f t="shared" si="1"/>
        <v>0</v>
      </c>
      <c r="G8" s="15">
        <f t="shared" si="2"/>
        <v>0</v>
      </c>
    </row>
    <row r="9" spans="1:12" x14ac:dyDescent="0.25">
      <c r="A9" s="16" t="s">
        <v>35</v>
      </c>
      <c r="B9" s="13">
        <v>0</v>
      </c>
      <c r="C9" s="13">
        <v>0</v>
      </c>
      <c r="D9" s="15">
        <f t="shared" si="1"/>
        <v>0</v>
      </c>
      <c r="G9" s="15">
        <f t="shared" si="2"/>
        <v>0</v>
      </c>
    </row>
    <row r="10" spans="1:12" x14ac:dyDescent="0.25">
      <c r="A10" s="17" t="s">
        <v>36</v>
      </c>
      <c r="B10" s="13">
        <v>0</v>
      </c>
      <c r="C10" s="13">
        <v>0</v>
      </c>
      <c r="D10" s="15">
        <f t="shared" si="1"/>
        <v>0</v>
      </c>
      <c r="G10" s="15">
        <f t="shared" si="2"/>
        <v>0</v>
      </c>
    </row>
    <row r="11" spans="1:12" x14ac:dyDescent="0.25">
      <c r="A11" s="12" t="s">
        <v>149</v>
      </c>
      <c r="B11" s="13">
        <v>600</v>
      </c>
      <c r="C11" s="13">
        <v>600</v>
      </c>
      <c r="D11" s="15">
        <f t="shared" si="1"/>
        <v>0</v>
      </c>
      <c r="E11" s="13">
        <v>0.32500000000000001</v>
      </c>
      <c r="F11" s="13">
        <v>0.268285</v>
      </c>
      <c r="G11" s="15">
        <f t="shared" si="2"/>
        <v>5.6715000000000015E-2</v>
      </c>
    </row>
    <row r="12" spans="1:12" x14ac:dyDescent="0.25">
      <c r="A12" t="s">
        <v>139</v>
      </c>
      <c r="B12" s="13">
        <v>350</v>
      </c>
      <c r="C12" s="13">
        <v>350</v>
      </c>
      <c r="D12" s="15">
        <f t="shared" si="1"/>
        <v>0</v>
      </c>
      <c r="E12" s="13">
        <v>0.72499999999999998</v>
      </c>
      <c r="F12" s="13">
        <v>0.73327299999999995</v>
      </c>
      <c r="G12" s="15">
        <f t="shared" si="2"/>
        <v>-8.2729999999999748E-3</v>
      </c>
    </row>
    <row r="13" spans="1:12" x14ac:dyDescent="0.25">
      <c r="A13" t="s">
        <v>145</v>
      </c>
      <c r="B13" s="13">
        <v>900</v>
      </c>
      <c r="C13" s="13">
        <v>900</v>
      </c>
      <c r="D13" s="15">
        <f t="shared" si="1"/>
        <v>0</v>
      </c>
      <c r="E13" s="13">
        <v>28.8</v>
      </c>
      <c r="F13" s="13">
        <v>30.728027000000001</v>
      </c>
      <c r="G13" s="15">
        <f t="shared" si="2"/>
        <v>-1.9280270000000002</v>
      </c>
    </row>
    <row r="14" spans="1:12" x14ac:dyDescent="0.25">
      <c r="A14" t="s">
        <v>143</v>
      </c>
      <c r="B14" s="13">
        <v>750</v>
      </c>
      <c r="C14" s="13">
        <v>750</v>
      </c>
      <c r="D14" s="15">
        <f t="shared" si="1"/>
        <v>0</v>
      </c>
      <c r="E14" s="13">
        <v>21.049999999999997</v>
      </c>
      <c r="F14" s="13">
        <v>22.744961</v>
      </c>
      <c r="G14" s="15">
        <f t="shared" si="2"/>
        <v>-1.6949610000000028</v>
      </c>
    </row>
    <row r="15" spans="1:12" x14ac:dyDescent="0.25">
      <c r="D15" s="15">
        <f t="shared" si="1"/>
        <v>0</v>
      </c>
      <c r="G15" s="15">
        <f t="shared" si="2"/>
        <v>0</v>
      </c>
    </row>
    <row r="16" spans="1:12" x14ac:dyDescent="0.25">
      <c r="D16" s="15">
        <f t="shared" si="1"/>
        <v>0</v>
      </c>
      <c r="G16" s="15">
        <f t="shared" si="2"/>
        <v>0</v>
      </c>
    </row>
    <row r="17" spans="4:7" x14ac:dyDescent="0.25">
      <c r="D17" s="15">
        <f t="shared" si="1"/>
        <v>0</v>
      </c>
      <c r="G17" s="15">
        <f t="shared" si="2"/>
        <v>0</v>
      </c>
    </row>
    <row r="18" spans="4:7" x14ac:dyDescent="0.25">
      <c r="D18" s="15">
        <f t="shared" si="1"/>
        <v>0</v>
      </c>
      <c r="G18" s="15">
        <f t="shared" si="2"/>
        <v>0</v>
      </c>
    </row>
    <row r="19" spans="4:7" x14ac:dyDescent="0.25">
      <c r="D19" s="15">
        <f t="shared" si="1"/>
        <v>0</v>
      </c>
      <c r="G19" s="15">
        <f t="shared" si="2"/>
        <v>0</v>
      </c>
    </row>
    <row r="20" spans="4:7" x14ac:dyDescent="0.25">
      <c r="D20" s="15">
        <f t="shared" si="1"/>
        <v>0</v>
      </c>
      <c r="G20" s="15">
        <f t="shared" si="2"/>
        <v>0</v>
      </c>
    </row>
    <row r="21" spans="4:7" x14ac:dyDescent="0.25">
      <c r="D21" s="15">
        <f t="shared" si="1"/>
        <v>0</v>
      </c>
      <c r="G21" s="15">
        <f t="shared" si="2"/>
        <v>0</v>
      </c>
    </row>
    <row r="22" spans="4:7" x14ac:dyDescent="0.25">
      <c r="D22" s="15">
        <f t="shared" si="1"/>
        <v>0</v>
      </c>
      <c r="G22" s="15">
        <f t="shared" si="2"/>
        <v>0</v>
      </c>
    </row>
    <row r="23" spans="4:7" x14ac:dyDescent="0.25">
      <c r="D23" s="15">
        <f t="shared" si="1"/>
        <v>0</v>
      </c>
      <c r="G23" s="15">
        <f t="shared" si="2"/>
        <v>0</v>
      </c>
    </row>
    <row r="24" spans="4:7" x14ac:dyDescent="0.25">
      <c r="D24" s="15">
        <f t="shared" si="1"/>
        <v>0</v>
      </c>
      <c r="G24" s="15">
        <f t="shared" si="2"/>
        <v>0</v>
      </c>
    </row>
    <row r="25" spans="4:7" x14ac:dyDescent="0.25">
      <c r="D25" s="15">
        <f t="shared" si="1"/>
        <v>0</v>
      </c>
      <c r="G25" s="15">
        <f t="shared" si="2"/>
        <v>0</v>
      </c>
    </row>
    <row r="26" spans="4:7" x14ac:dyDescent="0.25">
      <c r="D26" s="15">
        <f t="shared" si="1"/>
        <v>0</v>
      </c>
      <c r="G26" s="15">
        <f t="shared" si="2"/>
        <v>0</v>
      </c>
    </row>
    <row r="27" spans="4:7" x14ac:dyDescent="0.25">
      <c r="D27" s="15">
        <f t="shared" si="1"/>
        <v>0</v>
      </c>
      <c r="G27" s="15">
        <f t="shared" si="2"/>
        <v>0</v>
      </c>
    </row>
    <row r="28" spans="4:7" x14ac:dyDescent="0.25">
      <c r="D28" s="15">
        <f t="shared" si="1"/>
        <v>0</v>
      </c>
      <c r="G28" s="15">
        <f t="shared" si="2"/>
        <v>0</v>
      </c>
    </row>
    <row r="29" spans="4:7" x14ac:dyDescent="0.25">
      <c r="D29" s="15">
        <f t="shared" si="1"/>
        <v>0</v>
      </c>
      <c r="G29" s="15">
        <f t="shared" si="2"/>
        <v>0</v>
      </c>
    </row>
    <row r="30" spans="4:7" x14ac:dyDescent="0.25">
      <c r="D30" s="15">
        <f t="shared" si="1"/>
        <v>0</v>
      </c>
      <c r="G30" s="15">
        <f t="shared" si="2"/>
        <v>0</v>
      </c>
    </row>
    <row r="31" spans="4:7" x14ac:dyDescent="0.25">
      <c r="D31" s="15">
        <f t="shared" si="1"/>
        <v>0</v>
      </c>
      <c r="G31" s="15">
        <f t="shared" si="2"/>
        <v>0</v>
      </c>
    </row>
    <row r="32" spans="4:7" x14ac:dyDescent="0.25">
      <c r="D32" s="15">
        <f t="shared" si="1"/>
        <v>0</v>
      </c>
      <c r="G32" s="15">
        <f t="shared" si="2"/>
        <v>0</v>
      </c>
    </row>
    <row r="33" spans="4:7" x14ac:dyDescent="0.25">
      <c r="D33" s="15">
        <f t="shared" si="1"/>
        <v>0</v>
      </c>
      <c r="G33" s="15">
        <f t="shared" si="2"/>
        <v>0</v>
      </c>
    </row>
    <row r="34" spans="4:7" x14ac:dyDescent="0.25">
      <c r="D34" s="15">
        <f t="shared" si="1"/>
        <v>0</v>
      </c>
      <c r="G34" s="15">
        <f t="shared" si="2"/>
        <v>0</v>
      </c>
    </row>
    <row r="35" spans="4:7" x14ac:dyDescent="0.25">
      <c r="D35" s="15">
        <f t="shared" si="1"/>
        <v>0</v>
      </c>
      <c r="G35" s="15">
        <f t="shared" si="2"/>
        <v>0</v>
      </c>
    </row>
    <row r="36" spans="4:7" x14ac:dyDescent="0.25">
      <c r="D36" s="15">
        <f t="shared" si="1"/>
        <v>0</v>
      </c>
      <c r="G36" s="15">
        <f t="shared" si="2"/>
        <v>0</v>
      </c>
    </row>
    <row r="37" spans="4:7" x14ac:dyDescent="0.25">
      <c r="D37" s="15">
        <f t="shared" si="1"/>
        <v>0</v>
      </c>
      <c r="G37" s="15">
        <f t="shared" si="2"/>
        <v>0</v>
      </c>
    </row>
    <row r="38" spans="4:7" x14ac:dyDescent="0.25">
      <c r="D38" s="15">
        <f t="shared" si="1"/>
        <v>0</v>
      </c>
      <c r="G38" s="15">
        <f t="shared" si="2"/>
        <v>0</v>
      </c>
    </row>
    <row r="39" spans="4:7" x14ac:dyDescent="0.25">
      <c r="D39" s="15">
        <f t="shared" si="1"/>
        <v>0</v>
      </c>
      <c r="G39" s="15">
        <f t="shared" si="2"/>
        <v>0</v>
      </c>
    </row>
    <row r="40" spans="4:7" x14ac:dyDescent="0.25">
      <c r="D40" s="15">
        <f t="shared" si="1"/>
        <v>0</v>
      </c>
      <c r="G40" s="15">
        <f t="shared" si="2"/>
        <v>0</v>
      </c>
    </row>
    <row r="41" spans="4:7" x14ac:dyDescent="0.25">
      <c r="D41" s="15">
        <f t="shared" si="1"/>
        <v>0</v>
      </c>
      <c r="G41" s="15">
        <f t="shared" si="2"/>
        <v>0</v>
      </c>
    </row>
    <row r="42" spans="4:7" x14ac:dyDescent="0.25">
      <c r="D42" s="15">
        <f t="shared" si="1"/>
        <v>0</v>
      </c>
      <c r="G42" s="15">
        <f t="shared" si="2"/>
        <v>0</v>
      </c>
    </row>
    <row r="43" spans="4:7" x14ac:dyDescent="0.25">
      <c r="D43" s="15">
        <f t="shared" si="1"/>
        <v>0</v>
      </c>
      <c r="G43" s="15">
        <f t="shared" si="2"/>
        <v>0</v>
      </c>
    </row>
    <row r="44" spans="4:7" x14ac:dyDescent="0.25">
      <c r="D44" s="15">
        <f t="shared" si="1"/>
        <v>0</v>
      </c>
      <c r="G44" s="15">
        <f t="shared" si="2"/>
        <v>0</v>
      </c>
    </row>
    <row r="45" spans="4:7" x14ac:dyDescent="0.25">
      <c r="D45" s="15">
        <f t="shared" si="1"/>
        <v>0</v>
      </c>
      <c r="G45" s="15">
        <f t="shared" si="2"/>
        <v>0</v>
      </c>
    </row>
    <row r="46" spans="4:7" x14ac:dyDescent="0.25">
      <c r="D46" s="15">
        <f t="shared" si="1"/>
        <v>0</v>
      </c>
      <c r="G46" s="15">
        <f t="shared" si="2"/>
        <v>0</v>
      </c>
    </row>
    <row r="47" spans="4:7" x14ac:dyDescent="0.25">
      <c r="D47" s="15">
        <f t="shared" si="1"/>
        <v>0</v>
      </c>
      <c r="G47" s="15">
        <f t="shared" si="2"/>
        <v>0</v>
      </c>
    </row>
    <row r="48" spans="4:7" x14ac:dyDescent="0.25">
      <c r="D48" s="15">
        <f t="shared" si="1"/>
        <v>0</v>
      </c>
      <c r="G48" s="15">
        <f t="shared" si="2"/>
        <v>0</v>
      </c>
    </row>
    <row r="49" spans="4:7" x14ac:dyDescent="0.25">
      <c r="D49" s="15">
        <f t="shared" si="1"/>
        <v>0</v>
      </c>
      <c r="G49" s="15">
        <f t="shared" si="2"/>
        <v>0</v>
      </c>
    </row>
    <row r="50" spans="4:7" x14ac:dyDescent="0.25">
      <c r="D50" s="15">
        <f t="shared" si="1"/>
        <v>0</v>
      </c>
      <c r="G50" s="15">
        <f t="shared" si="2"/>
        <v>0</v>
      </c>
    </row>
    <row r="51" spans="4:7" x14ac:dyDescent="0.25">
      <c r="D51" s="15">
        <f t="shared" si="1"/>
        <v>0</v>
      </c>
      <c r="G51" s="15">
        <f t="shared" si="2"/>
        <v>0</v>
      </c>
    </row>
    <row r="52" spans="4:7" x14ac:dyDescent="0.25">
      <c r="D52" s="15">
        <f t="shared" si="1"/>
        <v>0</v>
      </c>
      <c r="G52" s="15">
        <f t="shared" si="2"/>
        <v>0</v>
      </c>
    </row>
    <row r="53" spans="4:7" x14ac:dyDescent="0.25">
      <c r="D53" s="15">
        <f t="shared" si="1"/>
        <v>0</v>
      </c>
      <c r="G53" s="15">
        <f t="shared" si="2"/>
        <v>0</v>
      </c>
    </row>
    <row r="54" spans="4:7" x14ac:dyDescent="0.25">
      <c r="D54" s="15">
        <f t="shared" si="1"/>
        <v>0</v>
      </c>
      <c r="G54" s="15">
        <f t="shared" si="2"/>
        <v>0</v>
      </c>
    </row>
    <row r="55" spans="4:7" x14ac:dyDescent="0.25">
      <c r="D55" s="15">
        <f t="shared" si="1"/>
        <v>0</v>
      </c>
      <c r="G55" s="15">
        <f t="shared" si="2"/>
        <v>0</v>
      </c>
    </row>
    <row r="56" spans="4:7" x14ac:dyDescent="0.25">
      <c r="D56" s="15">
        <f t="shared" si="1"/>
        <v>0</v>
      </c>
      <c r="G56" s="15">
        <f t="shared" si="2"/>
        <v>0</v>
      </c>
    </row>
    <row r="57" spans="4:7" x14ac:dyDescent="0.25">
      <c r="D57" s="15">
        <f t="shared" si="1"/>
        <v>0</v>
      </c>
      <c r="G57" s="15">
        <f t="shared" si="2"/>
        <v>0</v>
      </c>
    </row>
    <row r="58" spans="4:7" x14ac:dyDescent="0.25">
      <c r="D58" s="15">
        <f t="shared" si="1"/>
        <v>0</v>
      </c>
      <c r="G58" s="15">
        <f t="shared" si="2"/>
        <v>0</v>
      </c>
    </row>
    <row r="59" spans="4:7" x14ac:dyDescent="0.25">
      <c r="D59" s="15">
        <f t="shared" si="1"/>
        <v>0</v>
      </c>
      <c r="G59" s="15">
        <f t="shared" si="2"/>
        <v>0</v>
      </c>
    </row>
    <row r="60" spans="4:7" x14ac:dyDescent="0.25">
      <c r="D60" s="15">
        <f t="shared" si="1"/>
        <v>0</v>
      </c>
      <c r="G60" s="15">
        <f t="shared" si="2"/>
        <v>0</v>
      </c>
    </row>
    <row r="61" spans="4:7" x14ac:dyDescent="0.25">
      <c r="D61" s="15">
        <f t="shared" si="1"/>
        <v>0</v>
      </c>
      <c r="G61" s="15">
        <f t="shared" si="2"/>
        <v>0</v>
      </c>
    </row>
    <row r="62" spans="4:7" x14ac:dyDescent="0.25">
      <c r="D62" s="15">
        <f t="shared" si="1"/>
        <v>0</v>
      </c>
      <c r="G62" s="15">
        <f t="shared" si="2"/>
        <v>0</v>
      </c>
    </row>
    <row r="63" spans="4:7" x14ac:dyDescent="0.25">
      <c r="D63" s="15">
        <f t="shared" si="1"/>
        <v>0</v>
      </c>
      <c r="G63" s="15">
        <f t="shared" si="2"/>
        <v>0</v>
      </c>
    </row>
    <row r="64" spans="4:7" x14ac:dyDescent="0.25">
      <c r="D64" s="15">
        <f t="shared" si="1"/>
        <v>0</v>
      </c>
      <c r="G64" s="15">
        <f t="shared" si="2"/>
        <v>0</v>
      </c>
    </row>
    <row r="65" spans="4:7" x14ac:dyDescent="0.25">
      <c r="D65" s="15">
        <f t="shared" si="1"/>
        <v>0</v>
      </c>
      <c r="G65" s="15">
        <f t="shared" si="2"/>
        <v>0</v>
      </c>
    </row>
    <row r="66" spans="4:7" x14ac:dyDescent="0.25">
      <c r="D66" s="15">
        <f t="shared" si="1"/>
        <v>0</v>
      </c>
      <c r="G66" s="15">
        <f t="shared" si="2"/>
        <v>0</v>
      </c>
    </row>
    <row r="67" spans="4:7" x14ac:dyDescent="0.25">
      <c r="D67" s="15">
        <f t="shared" ref="D67:D100" si="3">B67-C67</f>
        <v>0</v>
      </c>
      <c r="G67" s="15">
        <f t="shared" ref="G67:G100" si="4">E67-F67</f>
        <v>0</v>
      </c>
    </row>
    <row r="68" spans="4:7" x14ac:dyDescent="0.25">
      <c r="D68" s="15">
        <f t="shared" si="3"/>
        <v>0</v>
      </c>
      <c r="G68" s="15">
        <f t="shared" si="4"/>
        <v>0</v>
      </c>
    </row>
    <row r="69" spans="4:7" x14ac:dyDescent="0.25">
      <c r="D69" s="15">
        <f t="shared" si="3"/>
        <v>0</v>
      </c>
      <c r="G69" s="15">
        <f t="shared" si="4"/>
        <v>0</v>
      </c>
    </row>
    <row r="70" spans="4:7" x14ac:dyDescent="0.25">
      <c r="D70" s="15">
        <f t="shared" si="3"/>
        <v>0</v>
      </c>
      <c r="G70" s="15">
        <f t="shared" si="4"/>
        <v>0</v>
      </c>
    </row>
    <row r="71" spans="4:7" x14ac:dyDescent="0.25">
      <c r="D71" s="15">
        <f t="shared" si="3"/>
        <v>0</v>
      </c>
      <c r="G71" s="15">
        <f t="shared" si="4"/>
        <v>0</v>
      </c>
    </row>
    <row r="72" spans="4:7" x14ac:dyDescent="0.25">
      <c r="D72" s="15">
        <f t="shared" si="3"/>
        <v>0</v>
      </c>
      <c r="G72" s="15">
        <f t="shared" si="4"/>
        <v>0</v>
      </c>
    </row>
    <row r="73" spans="4:7" x14ac:dyDescent="0.25">
      <c r="D73" s="15">
        <f t="shared" si="3"/>
        <v>0</v>
      </c>
      <c r="G73" s="15">
        <f t="shared" si="4"/>
        <v>0</v>
      </c>
    </row>
    <row r="74" spans="4:7" x14ac:dyDescent="0.25">
      <c r="D74" s="15">
        <f t="shared" si="3"/>
        <v>0</v>
      </c>
      <c r="G74" s="15">
        <f t="shared" si="4"/>
        <v>0</v>
      </c>
    </row>
    <row r="75" spans="4:7" x14ac:dyDescent="0.25">
      <c r="D75" s="15">
        <f t="shared" si="3"/>
        <v>0</v>
      </c>
      <c r="G75" s="15">
        <f t="shared" si="4"/>
        <v>0</v>
      </c>
    </row>
    <row r="76" spans="4:7" x14ac:dyDescent="0.25">
      <c r="D76" s="15">
        <f t="shared" si="3"/>
        <v>0</v>
      </c>
      <c r="G76" s="15">
        <f t="shared" si="4"/>
        <v>0</v>
      </c>
    </row>
    <row r="77" spans="4:7" x14ac:dyDescent="0.25">
      <c r="D77" s="15">
        <f t="shared" si="3"/>
        <v>0</v>
      </c>
      <c r="G77" s="15">
        <f t="shared" si="4"/>
        <v>0</v>
      </c>
    </row>
    <row r="78" spans="4:7" x14ac:dyDescent="0.25">
      <c r="D78" s="15">
        <f t="shared" si="3"/>
        <v>0</v>
      </c>
      <c r="G78" s="15">
        <f t="shared" si="4"/>
        <v>0</v>
      </c>
    </row>
    <row r="79" spans="4:7" x14ac:dyDescent="0.25">
      <c r="D79" s="15">
        <f t="shared" si="3"/>
        <v>0</v>
      </c>
      <c r="G79" s="15">
        <f t="shared" si="4"/>
        <v>0</v>
      </c>
    </row>
    <row r="80" spans="4:7" x14ac:dyDescent="0.25">
      <c r="D80" s="15">
        <f t="shared" si="3"/>
        <v>0</v>
      </c>
      <c r="G80" s="15">
        <f t="shared" si="4"/>
        <v>0</v>
      </c>
    </row>
    <row r="81" spans="4:7" x14ac:dyDescent="0.25">
      <c r="D81" s="15">
        <f t="shared" si="3"/>
        <v>0</v>
      </c>
      <c r="G81" s="15">
        <f t="shared" si="4"/>
        <v>0</v>
      </c>
    </row>
    <row r="82" spans="4:7" x14ac:dyDescent="0.25">
      <c r="D82" s="15">
        <f t="shared" si="3"/>
        <v>0</v>
      </c>
      <c r="G82" s="15">
        <f t="shared" si="4"/>
        <v>0</v>
      </c>
    </row>
    <row r="83" spans="4:7" x14ac:dyDescent="0.25">
      <c r="D83" s="15">
        <f t="shared" si="3"/>
        <v>0</v>
      </c>
      <c r="G83" s="15">
        <f t="shared" si="4"/>
        <v>0</v>
      </c>
    </row>
    <row r="84" spans="4:7" x14ac:dyDescent="0.25">
      <c r="D84" s="15">
        <f t="shared" si="3"/>
        <v>0</v>
      </c>
      <c r="G84" s="15">
        <f t="shared" si="4"/>
        <v>0</v>
      </c>
    </row>
    <row r="85" spans="4:7" x14ac:dyDescent="0.25">
      <c r="D85" s="15">
        <f t="shared" si="3"/>
        <v>0</v>
      </c>
      <c r="G85" s="15">
        <f t="shared" si="4"/>
        <v>0</v>
      </c>
    </row>
    <row r="86" spans="4:7" x14ac:dyDescent="0.25">
      <c r="D86" s="15">
        <f t="shared" si="3"/>
        <v>0</v>
      </c>
      <c r="G86" s="15">
        <f t="shared" si="4"/>
        <v>0</v>
      </c>
    </row>
    <row r="87" spans="4:7" x14ac:dyDescent="0.25">
      <c r="D87" s="15">
        <f t="shared" si="3"/>
        <v>0</v>
      </c>
      <c r="G87" s="15">
        <f t="shared" si="4"/>
        <v>0</v>
      </c>
    </row>
    <row r="88" spans="4:7" x14ac:dyDescent="0.25">
      <c r="D88" s="15">
        <f t="shared" si="3"/>
        <v>0</v>
      </c>
      <c r="G88" s="15">
        <f t="shared" si="4"/>
        <v>0</v>
      </c>
    </row>
    <row r="89" spans="4:7" x14ac:dyDescent="0.25">
      <c r="D89" s="15">
        <f t="shared" si="3"/>
        <v>0</v>
      </c>
      <c r="G89" s="15">
        <f t="shared" si="4"/>
        <v>0</v>
      </c>
    </row>
    <row r="90" spans="4:7" x14ac:dyDescent="0.25">
      <c r="D90" s="15">
        <f t="shared" si="3"/>
        <v>0</v>
      </c>
      <c r="G90" s="15">
        <f t="shared" si="4"/>
        <v>0</v>
      </c>
    </row>
    <row r="91" spans="4:7" x14ac:dyDescent="0.25">
      <c r="D91" s="15">
        <f t="shared" si="3"/>
        <v>0</v>
      </c>
      <c r="G91" s="15">
        <f t="shared" si="4"/>
        <v>0</v>
      </c>
    </row>
    <row r="92" spans="4:7" x14ac:dyDescent="0.25">
      <c r="D92" s="15">
        <f t="shared" si="3"/>
        <v>0</v>
      </c>
      <c r="G92" s="15">
        <f t="shared" si="4"/>
        <v>0</v>
      </c>
    </row>
    <row r="93" spans="4:7" x14ac:dyDescent="0.25">
      <c r="D93" s="15">
        <f t="shared" si="3"/>
        <v>0</v>
      </c>
      <c r="G93" s="15">
        <f t="shared" si="4"/>
        <v>0</v>
      </c>
    </row>
    <row r="94" spans="4:7" x14ac:dyDescent="0.25">
      <c r="D94" s="15">
        <f t="shared" si="3"/>
        <v>0</v>
      </c>
      <c r="G94" s="15">
        <f t="shared" si="4"/>
        <v>0</v>
      </c>
    </row>
    <row r="95" spans="4:7" x14ac:dyDescent="0.25">
      <c r="D95" s="15">
        <f t="shared" si="3"/>
        <v>0</v>
      </c>
      <c r="G95" s="15">
        <f t="shared" si="4"/>
        <v>0</v>
      </c>
    </row>
    <row r="96" spans="4:7" x14ac:dyDescent="0.25">
      <c r="D96" s="15">
        <f t="shared" si="3"/>
        <v>0</v>
      </c>
      <c r="G96" s="15">
        <f t="shared" si="4"/>
        <v>0</v>
      </c>
    </row>
    <row r="97" spans="4:7" x14ac:dyDescent="0.25">
      <c r="D97" s="15">
        <f t="shared" si="3"/>
        <v>0</v>
      </c>
      <c r="G97" s="15">
        <f t="shared" si="4"/>
        <v>0</v>
      </c>
    </row>
    <row r="98" spans="4:7" x14ac:dyDescent="0.25">
      <c r="D98" s="15">
        <f t="shared" si="3"/>
        <v>0</v>
      </c>
      <c r="G98" s="15">
        <f t="shared" si="4"/>
        <v>0</v>
      </c>
    </row>
    <row r="99" spans="4:7" x14ac:dyDescent="0.25">
      <c r="D99" s="15">
        <f t="shared" si="3"/>
        <v>0</v>
      </c>
      <c r="G99" s="15">
        <f t="shared" si="4"/>
        <v>0</v>
      </c>
    </row>
    <row r="100" spans="4:7" x14ac:dyDescent="0.25">
      <c r="D100" s="15">
        <f t="shared" si="3"/>
        <v>0</v>
      </c>
      <c r="G100" s="15">
        <f t="shared" si="4"/>
        <v>0</v>
      </c>
    </row>
  </sheetData>
  <conditionalFormatting sqref="G2:G100">
    <cfRule type="cellIs" dxfId="5" priority="1" operator="lessThan">
      <formula>-5</formula>
    </cfRule>
    <cfRule type="cellIs" dxfId="4" priority="2" operator="greaterThan">
      <formula>5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00"/>
  <sheetViews>
    <sheetView workbookViewId="0">
      <selection activeCell="B19" sqref="B19"/>
    </sheetView>
  </sheetViews>
  <sheetFormatPr defaultRowHeight="15" x14ac:dyDescent="0.25"/>
  <cols>
    <col min="1" max="1" width="20.5703125" customWidth="1"/>
    <col min="2" max="7" width="18.5703125" style="13" customWidth="1"/>
    <col min="9" max="9" width="31.5703125" bestFit="1" customWidth="1"/>
    <col min="10" max="10" width="12" bestFit="1" customWidth="1"/>
    <col min="11" max="11" width="9.7109375" bestFit="1" customWidth="1"/>
    <col min="12" max="12" width="10.7109375" bestFit="1" customWidth="1"/>
  </cols>
  <sheetData>
    <row r="1" spans="1:12" x14ac:dyDescent="0.25">
      <c r="A1" s="11"/>
      <c r="B1" s="14" t="s">
        <v>67</v>
      </c>
      <c r="C1" s="14" t="s">
        <v>68</v>
      </c>
      <c r="D1" s="14" t="s">
        <v>66</v>
      </c>
      <c r="E1" s="14" t="s">
        <v>69</v>
      </c>
      <c r="F1" s="14" t="s">
        <v>70</v>
      </c>
      <c r="G1" s="14" t="s">
        <v>66</v>
      </c>
      <c r="J1" s="14" t="s">
        <v>72</v>
      </c>
      <c r="K1" s="14" t="s">
        <v>73</v>
      </c>
      <c r="L1" s="14" t="s">
        <v>66</v>
      </c>
    </row>
    <row r="2" spans="1:12" x14ac:dyDescent="0.25">
      <c r="A2" s="16" t="s">
        <v>28</v>
      </c>
      <c r="B2" s="13">
        <v>-652</v>
      </c>
      <c r="C2" s="13">
        <v>-652</v>
      </c>
      <c r="D2" s="15">
        <f>B2-C2</f>
        <v>0</v>
      </c>
      <c r="G2" s="15">
        <f>E2-F2</f>
        <v>0</v>
      </c>
      <c r="I2" t="s">
        <v>75</v>
      </c>
      <c r="J2">
        <v>0</v>
      </c>
      <c r="K2">
        <v>0</v>
      </c>
      <c r="L2" s="15">
        <f t="shared" ref="L2:L3" si="0">J2-K2</f>
        <v>0</v>
      </c>
    </row>
    <row r="3" spans="1:12" x14ac:dyDescent="0.25">
      <c r="A3" s="16" t="s">
        <v>29</v>
      </c>
      <c r="B3" s="13">
        <v>-536</v>
      </c>
      <c r="C3" s="13">
        <v>-536</v>
      </c>
      <c r="D3" s="15">
        <f t="shared" ref="D3:D66" si="1">B3-C3</f>
        <v>0</v>
      </c>
      <c r="G3" s="15">
        <f t="shared" ref="G3:G66" si="2">E3-F3</f>
        <v>0</v>
      </c>
      <c r="I3" t="s">
        <v>74</v>
      </c>
      <c r="J3">
        <v>6</v>
      </c>
      <c r="K3">
        <v>6</v>
      </c>
      <c r="L3" s="15">
        <f t="shared" si="0"/>
        <v>0</v>
      </c>
    </row>
    <row r="4" spans="1:12" x14ac:dyDescent="0.25">
      <c r="A4" s="16" t="s">
        <v>30</v>
      </c>
      <c r="B4" s="13">
        <v>-172</v>
      </c>
      <c r="C4" s="13">
        <v>-172</v>
      </c>
      <c r="D4" s="15">
        <f t="shared" si="1"/>
        <v>0</v>
      </c>
      <c r="G4" s="15">
        <f t="shared" si="2"/>
        <v>0</v>
      </c>
    </row>
    <row r="5" spans="1:12" x14ac:dyDescent="0.25">
      <c r="A5" s="16" t="s">
        <v>31</v>
      </c>
      <c r="B5" s="13">
        <v>-585</v>
      </c>
      <c r="C5" s="13">
        <v>-585</v>
      </c>
      <c r="D5" s="15">
        <f t="shared" si="1"/>
        <v>0</v>
      </c>
      <c r="G5" s="15">
        <f t="shared" si="2"/>
        <v>0</v>
      </c>
    </row>
    <row r="6" spans="1:12" x14ac:dyDescent="0.25">
      <c r="A6" s="17" t="s">
        <v>32</v>
      </c>
      <c r="B6" s="13">
        <v>0</v>
      </c>
      <c r="C6" s="13">
        <v>0</v>
      </c>
      <c r="D6" s="15">
        <f t="shared" si="1"/>
        <v>0</v>
      </c>
      <c r="G6" s="15">
        <f t="shared" si="2"/>
        <v>0</v>
      </c>
    </row>
    <row r="7" spans="1:12" x14ac:dyDescent="0.25">
      <c r="A7" s="17" t="s">
        <v>33</v>
      </c>
      <c r="B7" s="13">
        <v>0</v>
      </c>
      <c r="C7" s="13">
        <v>0</v>
      </c>
      <c r="D7" s="15">
        <f t="shared" si="1"/>
        <v>0</v>
      </c>
      <c r="G7" s="15">
        <f t="shared" si="2"/>
        <v>0</v>
      </c>
    </row>
    <row r="8" spans="1:12" x14ac:dyDescent="0.25">
      <c r="A8" s="18" t="s">
        <v>34</v>
      </c>
      <c r="B8" s="13">
        <v>0</v>
      </c>
      <c r="C8" s="13">
        <v>0</v>
      </c>
      <c r="D8" s="15">
        <f t="shared" si="1"/>
        <v>0</v>
      </c>
      <c r="G8" s="15">
        <f t="shared" si="2"/>
        <v>0</v>
      </c>
    </row>
    <row r="9" spans="1:12" x14ac:dyDescent="0.25">
      <c r="A9" s="16" t="s">
        <v>35</v>
      </c>
      <c r="B9" s="13">
        <v>0</v>
      </c>
      <c r="C9" s="13">
        <v>0</v>
      </c>
      <c r="D9" s="15">
        <f t="shared" si="1"/>
        <v>0</v>
      </c>
      <c r="G9" s="15">
        <f t="shared" si="2"/>
        <v>0</v>
      </c>
    </row>
    <row r="10" spans="1:12" x14ac:dyDescent="0.25">
      <c r="A10" s="17" t="s">
        <v>36</v>
      </c>
      <c r="B10" s="13">
        <v>0</v>
      </c>
      <c r="C10" s="13">
        <v>0</v>
      </c>
      <c r="D10" s="15">
        <f t="shared" si="1"/>
        <v>0</v>
      </c>
      <c r="G10" s="15">
        <f t="shared" si="2"/>
        <v>0</v>
      </c>
    </row>
    <row r="11" spans="1:12" x14ac:dyDescent="0.25">
      <c r="A11" s="12" t="s">
        <v>154</v>
      </c>
      <c r="B11" s="13">
        <v>2500</v>
      </c>
      <c r="C11" s="13">
        <v>2500</v>
      </c>
      <c r="D11" s="15">
        <f t="shared" si="1"/>
        <v>0</v>
      </c>
      <c r="E11" s="13">
        <v>67.75</v>
      </c>
      <c r="F11" s="13">
        <v>68.014342999999997</v>
      </c>
      <c r="G11" s="15">
        <f t="shared" si="2"/>
        <v>-0.26434299999999666</v>
      </c>
    </row>
    <row r="12" spans="1:12" x14ac:dyDescent="0.25">
      <c r="A12" t="s">
        <v>140</v>
      </c>
      <c r="B12" s="13">
        <v>1600</v>
      </c>
      <c r="C12" s="13">
        <v>1600</v>
      </c>
      <c r="D12" s="15">
        <f t="shared" si="1"/>
        <v>0</v>
      </c>
      <c r="E12" s="13">
        <v>0.42499999999999999</v>
      </c>
      <c r="F12" s="13">
        <v>0.37481300000000001</v>
      </c>
      <c r="G12" s="15">
        <f t="shared" si="2"/>
        <v>5.0186999999999982E-2</v>
      </c>
    </row>
    <row r="13" spans="1:12" x14ac:dyDescent="0.25">
      <c r="A13" t="s">
        <v>139</v>
      </c>
      <c r="B13" s="13">
        <v>1700</v>
      </c>
      <c r="C13" s="13">
        <v>1700</v>
      </c>
      <c r="D13" s="15">
        <f t="shared" si="1"/>
        <v>0</v>
      </c>
      <c r="E13" s="13">
        <v>0.7</v>
      </c>
      <c r="F13" s="13">
        <v>0.73327299999999995</v>
      </c>
      <c r="G13" s="15">
        <f t="shared" si="2"/>
        <v>-3.3272999999999997E-2</v>
      </c>
    </row>
    <row r="14" spans="1:12" x14ac:dyDescent="0.25">
      <c r="A14" t="s">
        <v>153</v>
      </c>
      <c r="B14" s="13">
        <v>2000</v>
      </c>
      <c r="C14" s="13">
        <v>2000</v>
      </c>
      <c r="D14" s="15">
        <f t="shared" si="1"/>
        <v>0</v>
      </c>
      <c r="E14" s="13">
        <v>1.4</v>
      </c>
      <c r="F14" s="13">
        <v>1.456798</v>
      </c>
      <c r="G14" s="15">
        <f t="shared" si="2"/>
        <v>-5.6798000000000126E-2</v>
      </c>
    </row>
    <row r="15" spans="1:12" x14ac:dyDescent="0.25">
      <c r="A15" t="s">
        <v>157</v>
      </c>
      <c r="B15" s="13">
        <v>300</v>
      </c>
      <c r="C15" s="13">
        <v>300</v>
      </c>
      <c r="D15" s="15">
        <f t="shared" si="1"/>
        <v>0</v>
      </c>
      <c r="E15" s="13">
        <v>19.25</v>
      </c>
      <c r="F15" s="13">
        <v>19.477582999999999</v>
      </c>
      <c r="G15" s="15">
        <f t="shared" si="2"/>
        <v>-0.2275829999999992</v>
      </c>
    </row>
    <row r="16" spans="1:12" x14ac:dyDescent="0.25">
      <c r="A16" t="s">
        <v>158</v>
      </c>
      <c r="B16" s="13">
        <v>1500</v>
      </c>
      <c r="C16" s="13">
        <v>1500</v>
      </c>
      <c r="D16" s="15">
        <f t="shared" si="1"/>
        <v>0</v>
      </c>
      <c r="E16" s="13">
        <v>0.9</v>
      </c>
      <c r="F16" s="13">
        <v>1.0305500000000001</v>
      </c>
      <c r="G16" s="15">
        <f t="shared" si="2"/>
        <v>-0.13055000000000005</v>
      </c>
    </row>
    <row r="17" spans="4:7" x14ac:dyDescent="0.25">
      <c r="D17" s="15">
        <f t="shared" si="1"/>
        <v>0</v>
      </c>
      <c r="G17" s="15">
        <f t="shared" si="2"/>
        <v>0</v>
      </c>
    </row>
    <row r="18" spans="4:7" x14ac:dyDescent="0.25">
      <c r="D18" s="15">
        <f t="shared" si="1"/>
        <v>0</v>
      </c>
      <c r="G18" s="15">
        <f t="shared" si="2"/>
        <v>0</v>
      </c>
    </row>
    <row r="19" spans="4:7" x14ac:dyDescent="0.25">
      <c r="D19" s="15">
        <f t="shared" si="1"/>
        <v>0</v>
      </c>
      <c r="G19" s="15">
        <f t="shared" si="2"/>
        <v>0</v>
      </c>
    </row>
    <row r="20" spans="4:7" x14ac:dyDescent="0.25">
      <c r="D20" s="15">
        <f t="shared" si="1"/>
        <v>0</v>
      </c>
      <c r="G20" s="15">
        <f t="shared" si="2"/>
        <v>0</v>
      </c>
    </row>
    <row r="21" spans="4:7" x14ac:dyDescent="0.25">
      <c r="D21" s="15">
        <f t="shared" si="1"/>
        <v>0</v>
      </c>
      <c r="G21" s="15">
        <f t="shared" si="2"/>
        <v>0</v>
      </c>
    </row>
    <row r="22" spans="4:7" x14ac:dyDescent="0.25">
      <c r="D22" s="15">
        <f t="shared" si="1"/>
        <v>0</v>
      </c>
      <c r="G22" s="15">
        <f t="shared" si="2"/>
        <v>0</v>
      </c>
    </row>
    <row r="23" spans="4:7" x14ac:dyDescent="0.25">
      <c r="D23" s="15">
        <f t="shared" si="1"/>
        <v>0</v>
      </c>
      <c r="G23" s="15">
        <f t="shared" si="2"/>
        <v>0</v>
      </c>
    </row>
    <row r="24" spans="4:7" x14ac:dyDescent="0.25">
      <c r="D24" s="15">
        <f t="shared" si="1"/>
        <v>0</v>
      </c>
      <c r="G24" s="15">
        <f t="shared" si="2"/>
        <v>0</v>
      </c>
    </row>
    <row r="25" spans="4:7" x14ac:dyDescent="0.25">
      <c r="D25" s="15">
        <f t="shared" si="1"/>
        <v>0</v>
      </c>
      <c r="G25" s="15">
        <f t="shared" si="2"/>
        <v>0</v>
      </c>
    </row>
    <row r="26" spans="4:7" x14ac:dyDescent="0.25">
      <c r="D26" s="15">
        <f t="shared" si="1"/>
        <v>0</v>
      </c>
      <c r="G26" s="15">
        <f t="shared" si="2"/>
        <v>0</v>
      </c>
    </row>
    <row r="27" spans="4:7" x14ac:dyDescent="0.25">
      <c r="D27" s="15">
        <f t="shared" si="1"/>
        <v>0</v>
      </c>
      <c r="G27" s="15">
        <f t="shared" si="2"/>
        <v>0</v>
      </c>
    </row>
    <row r="28" spans="4:7" x14ac:dyDescent="0.25">
      <c r="D28" s="15">
        <f t="shared" si="1"/>
        <v>0</v>
      </c>
      <c r="G28" s="15">
        <f t="shared" si="2"/>
        <v>0</v>
      </c>
    </row>
    <row r="29" spans="4:7" x14ac:dyDescent="0.25">
      <c r="D29" s="15">
        <f t="shared" si="1"/>
        <v>0</v>
      </c>
      <c r="G29" s="15">
        <f t="shared" si="2"/>
        <v>0</v>
      </c>
    </row>
    <row r="30" spans="4:7" x14ac:dyDescent="0.25">
      <c r="D30" s="15">
        <f t="shared" si="1"/>
        <v>0</v>
      </c>
      <c r="G30" s="15">
        <f t="shared" si="2"/>
        <v>0</v>
      </c>
    </row>
    <row r="31" spans="4:7" x14ac:dyDescent="0.25">
      <c r="D31" s="15">
        <f t="shared" si="1"/>
        <v>0</v>
      </c>
      <c r="G31" s="15">
        <f t="shared" si="2"/>
        <v>0</v>
      </c>
    </row>
    <row r="32" spans="4:7" x14ac:dyDescent="0.25">
      <c r="D32" s="15">
        <f t="shared" si="1"/>
        <v>0</v>
      </c>
      <c r="G32" s="15">
        <f t="shared" si="2"/>
        <v>0</v>
      </c>
    </row>
    <row r="33" spans="4:7" x14ac:dyDescent="0.25">
      <c r="D33" s="15">
        <f t="shared" si="1"/>
        <v>0</v>
      </c>
      <c r="G33" s="15">
        <f t="shared" si="2"/>
        <v>0</v>
      </c>
    </row>
    <row r="34" spans="4:7" x14ac:dyDescent="0.25">
      <c r="D34" s="15">
        <f t="shared" si="1"/>
        <v>0</v>
      </c>
      <c r="G34" s="15">
        <f t="shared" si="2"/>
        <v>0</v>
      </c>
    </row>
    <row r="35" spans="4:7" x14ac:dyDescent="0.25">
      <c r="D35" s="15">
        <f t="shared" si="1"/>
        <v>0</v>
      </c>
      <c r="G35" s="15">
        <f t="shared" si="2"/>
        <v>0</v>
      </c>
    </row>
    <row r="36" spans="4:7" x14ac:dyDescent="0.25">
      <c r="D36" s="15">
        <f t="shared" si="1"/>
        <v>0</v>
      </c>
      <c r="G36" s="15">
        <f t="shared" si="2"/>
        <v>0</v>
      </c>
    </row>
    <row r="37" spans="4:7" x14ac:dyDescent="0.25">
      <c r="D37" s="15">
        <f t="shared" si="1"/>
        <v>0</v>
      </c>
      <c r="G37" s="15">
        <f t="shared" si="2"/>
        <v>0</v>
      </c>
    </row>
    <row r="38" spans="4:7" x14ac:dyDescent="0.25">
      <c r="D38" s="15">
        <f t="shared" si="1"/>
        <v>0</v>
      </c>
      <c r="G38" s="15">
        <f t="shared" si="2"/>
        <v>0</v>
      </c>
    </row>
    <row r="39" spans="4:7" x14ac:dyDescent="0.25">
      <c r="D39" s="15">
        <f t="shared" si="1"/>
        <v>0</v>
      </c>
      <c r="G39" s="15">
        <f t="shared" si="2"/>
        <v>0</v>
      </c>
    </row>
    <row r="40" spans="4:7" x14ac:dyDescent="0.25">
      <c r="D40" s="15">
        <f t="shared" si="1"/>
        <v>0</v>
      </c>
      <c r="G40" s="15">
        <f t="shared" si="2"/>
        <v>0</v>
      </c>
    </row>
    <row r="41" spans="4:7" x14ac:dyDescent="0.25">
      <c r="D41" s="15">
        <f t="shared" si="1"/>
        <v>0</v>
      </c>
      <c r="G41" s="15">
        <f t="shared" si="2"/>
        <v>0</v>
      </c>
    </row>
    <row r="42" spans="4:7" x14ac:dyDescent="0.25">
      <c r="D42" s="15">
        <f t="shared" si="1"/>
        <v>0</v>
      </c>
      <c r="G42" s="15">
        <f t="shared" si="2"/>
        <v>0</v>
      </c>
    </row>
    <row r="43" spans="4:7" x14ac:dyDescent="0.25">
      <c r="D43" s="15">
        <f t="shared" si="1"/>
        <v>0</v>
      </c>
      <c r="G43" s="15">
        <f t="shared" si="2"/>
        <v>0</v>
      </c>
    </row>
    <row r="44" spans="4:7" x14ac:dyDescent="0.25">
      <c r="D44" s="15">
        <f t="shared" si="1"/>
        <v>0</v>
      </c>
      <c r="G44" s="15">
        <f t="shared" si="2"/>
        <v>0</v>
      </c>
    </row>
    <row r="45" spans="4:7" x14ac:dyDescent="0.25">
      <c r="D45" s="15">
        <f t="shared" si="1"/>
        <v>0</v>
      </c>
      <c r="G45" s="15">
        <f t="shared" si="2"/>
        <v>0</v>
      </c>
    </row>
    <row r="46" spans="4:7" x14ac:dyDescent="0.25">
      <c r="D46" s="15">
        <f t="shared" si="1"/>
        <v>0</v>
      </c>
      <c r="G46" s="15">
        <f t="shared" si="2"/>
        <v>0</v>
      </c>
    </row>
    <row r="47" spans="4:7" x14ac:dyDescent="0.25">
      <c r="D47" s="15">
        <f t="shared" si="1"/>
        <v>0</v>
      </c>
      <c r="G47" s="15">
        <f t="shared" si="2"/>
        <v>0</v>
      </c>
    </row>
    <row r="48" spans="4:7" x14ac:dyDescent="0.25">
      <c r="D48" s="15">
        <f t="shared" si="1"/>
        <v>0</v>
      </c>
      <c r="G48" s="15">
        <f t="shared" si="2"/>
        <v>0</v>
      </c>
    </row>
    <row r="49" spans="4:7" x14ac:dyDescent="0.25">
      <c r="D49" s="15">
        <f t="shared" si="1"/>
        <v>0</v>
      </c>
      <c r="G49" s="15">
        <f t="shared" si="2"/>
        <v>0</v>
      </c>
    </row>
    <row r="50" spans="4:7" x14ac:dyDescent="0.25">
      <c r="D50" s="15">
        <f t="shared" si="1"/>
        <v>0</v>
      </c>
      <c r="G50" s="15">
        <f t="shared" si="2"/>
        <v>0</v>
      </c>
    </row>
    <row r="51" spans="4:7" x14ac:dyDescent="0.25">
      <c r="D51" s="15">
        <f t="shared" si="1"/>
        <v>0</v>
      </c>
      <c r="G51" s="15">
        <f t="shared" si="2"/>
        <v>0</v>
      </c>
    </row>
    <row r="52" spans="4:7" x14ac:dyDescent="0.25">
      <c r="D52" s="15">
        <f t="shared" si="1"/>
        <v>0</v>
      </c>
      <c r="G52" s="15">
        <f t="shared" si="2"/>
        <v>0</v>
      </c>
    </row>
    <row r="53" spans="4:7" x14ac:dyDescent="0.25">
      <c r="D53" s="15">
        <f t="shared" si="1"/>
        <v>0</v>
      </c>
      <c r="G53" s="15">
        <f t="shared" si="2"/>
        <v>0</v>
      </c>
    </row>
    <row r="54" spans="4:7" x14ac:dyDescent="0.25">
      <c r="D54" s="15">
        <f t="shared" si="1"/>
        <v>0</v>
      </c>
      <c r="G54" s="15">
        <f t="shared" si="2"/>
        <v>0</v>
      </c>
    </row>
    <row r="55" spans="4:7" x14ac:dyDescent="0.25">
      <c r="D55" s="15">
        <f t="shared" si="1"/>
        <v>0</v>
      </c>
      <c r="G55" s="15">
        <f t="shared" si="2"/>
        <v>0</v>
      </c>
    </row>
    <row r="56" spans="4:7" x14ac:dyDescent="0.25">
      <c r="D56" s="15">
        <f t="shared" si="1"/>
        <v>0</v>
      </c>
      <c r="G56" s="15">
        <f t="shared" si="2"/>
        <v>0</v>
      </c>
    </row>
    <row r="57" spans="4:7" x14ac:dyDescent="0.25">
      <c r="D57" s="15">
        <f t="shared" si="1"/>
        <v>0</v>
      </c>
      <c r="G57" s="15">
        <f t="shared" si="2"/>
        <v>0</v>
      </c>
    </row>
    <row r="58" spans="4:7" x14ac:dyDescent="0.25">
      <c r="D58" s="15">
        <f t="shared" si="1"/>
        <v>0</v>
      </c>
      <c r="G58" s="15">
        <f t="shared" si="2"/>
        <v>0</v>
      </c>
    </row>
    <row r="59" spans="4:7" x14ac:dyDescent="0.25">
      <c r="D59" s="15">
        <f t="shared" si="1"/>
        <v>0</v>
      </c>
      <c r="G59" s="15">
        <f t="shared" si="2"/>
        <v>0</v>
      </c>
    </row>
    <row r="60" spans="4:7" x14ac:dyDescent="0.25">
      <c r="D60" s="15">
        <f t="shared" si="1"/>
        <v>0</v>
      </c>
      <c r="G60" s="15">
        <f t="shared" si="2"/>
        <v>0</v>
      </c>
    </row>
    <row r="61" spans="4:7" x14ac:dyDescent="0.25">
      <c r="D61" s="15">
        <f t="shared" si="1"/>
        <v>0</v>
      </c>
      <c r="G61" s="15">
        <f t="shared" si="2"/>
        <v>0</v>
      </c>
    </row>
    <row r="62" spans="4:7" x14ac:dyDescent="0.25">
      <c r="D62" s="15">
        <f t="shared" si="1"/>
        <v>0</v>
      </c>
      <c r="G62" s="15">
        <f t="shared" si="2"/>
        <v>0</v>
      </c>
    </row>
    <row r="63" spans="4:7" x14ac:dyDescent="0.25">
      <c r="D63" s="15">
        <f t="shared" si="1"/>
        <v>0</v>
      </c>
      <c r="G63" s="15">
        <f t="shared" si="2"/>
        <v>0</v>
      </c>
    </row>
    <row r="64" spans="4:7" x14ac:dyDescent="0.25">
      <c r="D64" s="15">
        <f t="shared" si="1"/>
        <v>0</v>
      </c>
      <c r="G64" s="15">
        <f t="shared" si="2"/>
        <v>0</v>
      </c>
    </row>
    <row r="65" spans="4:7" x14ac:dyDescent="0.25">
      <c r="D65" s="15">
        <f t="shared" si="1"/>
        <v>0</v>
      </c>
      <c r="G65" s="15">
        <f t="shared" si="2"/>
        <v>0</v>
      </c>
    </row>
    <row r="66" spans="4:7" x14ac:dyDescent="0.25">
      <c r="D66" s="15">
        <f t="shared" si="1"/>
        <v>0</v>
      </c>
      <c r="G66" s="15">
        <f t="shared" si="2"/>
        <v>0</v>
      </c>
    </row>
    <row r="67" spans="4:7" x14ac:dyDescent="0.25">
      <c r="D67" s="15">
        <f t="shared" ref="D67:D100" si="3">B67-C67</f>
        <v>0</v>
      </c>
      <c r="G67" s="15">
        <f t="shared" ref="G67:G100" si="4">E67-F67</f>
        <v>0</v>
      </c>
    </row>
    <row r="68" spans="4:7" x14ac:dyDescent="0.25">
      <c r="D68" s="15">
        <f t="shared" si="3"/>
        <v>0</v>
      </c>
      <c r="G68" s="15">
        <f t="shared" si="4"/>
        <v>0</v>
      </c>
    </row>
    <row r="69" spans="4:7" x14ac:dyDescent="0.25">
      <c r="D69" s="15">
        <f t="shared" si="3"/>
        <v>0</v>
      </c>
      <c r="G69" s="15">
        <f t="shared" si="4"/>
        <v>0</v>
      </c>
    </row>
    <row r="70" spans="4:7" x14ac:dyDescent="0.25">
      <c r="D70" s="15">
        <f t="shared" si="3"/>
        <v>0</v>
      </c>
      <c r="G70" s="15">
        <f t="shared" si="4"/>
        <v>0</v>
      </c>
    </row>
    <row r="71" spans="4:7" x14ac:dyDescent="0.25">
      <c r="D71" s="15">
        <f t="shared" si="3"/>
        <v>0</v>
      </c>
      <c r="G71" s="15">
        <f t="shared" si="4"/>
        <v>0</v>
      </c>
    </row>
    <row r="72" spans="4:7" x14ac:dyDescent="0.25">
      <c r="D72" s="15">
        <f t="shared" si="3"/>
        <v>0</v>
      </c>
      <c r="G72" s="15">
        <f t="shared" si="4"/>
        <v>0</v>
      </c>
    </row>
    <row r="73" spans="4:7" x14ac:dyDescent="0.25">
      <c r="D73" s="15">
        <f t="shared" si="3"/>
        <v>0</v>
      </c>
      <c r="G73" s="15">
        <f t="shared" si="4"/>
        <v>0</v>
      </c>
    </row>
    <row r="74" spans="4:7" x14ac:dyDescent="0.25">
      <c r="D74" s="15">
        <f t="shared" si="3"/>
        <v>0</v>
      </c>
      <c r="G74" s="15">
        <f t="shared" si="4"/>
        <v>0</v>
      </c>
    </row>
    <row r="75" spans="4:7" x14ac:dyDescent="0.25">
      <c r="D75" s="15">
        <f t="shared" si="3"/>
        <v>0</v>
      </c>
      <c r="G75" s="15">
        <f t="shared" si="4"/>
        <v>0</v>
      </c>
    </row>
    <row r="76" spans="4:7" x14ac:dyDescent="0.25">
      <c r="D76" s="15">
        <f t="shared" si="3"/>
        <v>0</v>
      </c>
      <c r="G76" s="15">
        <f t="shared" si="4"/>
        <v>0</v>
      </c>
    </row>
    <row r="77" spans="4:7" x14ac:dyDescent="0.25">
      <c r="D77" s="15">
        <f t="shared" si="3"/>
        <v>0</v>
      </c>
      <c r="G77" s="15">
        <f t="shared" si="4"/>
        <v>0</v>
      </c>
    </row>
    <row r="78" spans="4:7" x14ac:dyDescent="0.25">
      <c r="D78" s="15">
        <f t="shared" si="3"/>
        <v>0</v>
      </c>
      <c r="G78" s="15">
        <f t="shared" si="4"/>
        <v>0</v>
      </c>
    </row>
    <row r="79" spans="4:7" x14ac:dyDescent="0.25">
      <c r="D79" s="15">
        <f t="shared" si="3"/>
        <v>0</v>
      </c>
      <c r="G79" s="15">
        <f t="shared" si="4"/>
        <v>0</v>
      </c>
    </row>
    <row r="80" spans="4:7" x14ac:dyDescent="0.25">
      <c r="D80" s="15">
        <f t="shared" si="3"/>
        <v>0</v>
      </c>
      <c r="G80" s="15">
        <f t="shared" si="4"/>
        <v>0</v>
      </c>
    </row>
    <row r="81" spans="4:7" x14ac:dyDescent="0.25">
      <c r="D81" s="15">
        <f t="shared" si="3"/>
        <v>0</v>
      </c>
      <c r="G81" s="15">
        <f t="shared" si="4"/>
        <v>0</v>
      </c>
    </row>
    <row r="82" spans="4:7" x14ac:dyDescent="0.25">
      <c r="D82" s="15">
        <f t="shared" si="3"/>
        <v>0</v>
      </c>
      <c r="G82" s="15">
        <f t="shared" si="4"/>
        <v>0</v>
      </c>
    </row>
    <row r="83" spans="4:7" x14ac:dyDescent="0.25">
      <c r="D83" s="15">
        <f t="shared" si="3"/>
        <v>0</v>
      </c>
      <c r="G83" s="15">
        <f t="shared" si="4"/>
        <v>0</v>
      </c>
    </row>
    <row r="84" spans="4:7" x14ac:dyDescent="0.25">
      <c r="D84" s="15">
        <f t="shared" si="3"/>
        <v>0</v>
      </c>
      <c r="G84" s="15">
        <f t="shared" si="4"/>
        <v>0</v>
      </c>
    </row>
    <row r="85" spans="4:7" x14ac:dyDescent="0.25">
      <c r="D85" s="15">
        <f t="shared" si="3"/>
        <v>0</v>
      </c>
      <c r="G85" s="15">
        <f t="shared" si="4"/>
        <v>0</v>
      </c>
    </row>
    <row r="86" spans="4:7" x14ac:dyDescent="0.25">
      <c r="D86" s="15">
        <f t="shared" si="3"/>
        <v>0</v>
      </c>
      <c r="G86" s="15">
        <f t="shared" si="4"/>
        <v>0</v>
      </c>
    </row>
    <row r="87" spans="4:7" x14ac:dyDescent="0.25">
      <c r="D87" s="15">
        <f t="shared" si="3"/>
        <v>0</v>
      </c>
      <c r="G87" s="15">
        <f t="shared" si="4"/>
        <v>0</v>
      </c>
    </row>
    <row r="88" spans="4:7" x14ac:dyDescent="0.25">
      <c r="D88" s="15">
        <f t="shared" si="3"/>
        <v>0</v>
      </c>
      <c r="G88" s="15">
        <f t="shared" si="4"/>
        <v>0</v>
      </c>
    </row>
    <row r="89" spans="4:7" x14ac:dyDescent="0.25">
      <c r="D89" s="15">
        <f t="shared" si="3"/>
        <v>0</v>
      </c>
      <c r="G89" s="15">
        <f t="shared" si="4"/>
        <v>0</v>
      </c>
    </row>
    <row r="90" spans="4:7" x14ac:dyDescent="0.25">
      <c r="D90" s="15">
        <f t="shared" si="3"/>
        <v>0</v>
      </c>
      <c r="G90" s="15">
        <f t="shared" si="4"/>
        <v>0</v>
      </c>
    </row>
    <row r="91" spans="4:7" x14ac:dyDescent="0.25">
      <c r="D91" s="15">
        <f t="shared" si="3"/>
        <v>0</v>
      </c>
      <c r="G91" s="15">
        <f t="shared" si="4"/>
        <v>0</v>
      </c>
    </row>
    <row r="92" spans="4:7" x14ac:dyDescent="0.25">
      <c r="D92" s="15">
        <f t="shared" si="3"/>
        <v>0</v>
      </c>
      <c r="G92" s="15">
        <f t="shared" si="4"/>
        <v>0</v>
      </c>
    </row>
    <row r="93" spans="4:7" x14ac:dyDescent="0.25">
      <c r="D93" s="15">
        <f t="shared" si="3"/>
        <v>0</v>
      </c>
      <c r="G93" s="15">
        <f t="shared" si="4"/>
        <v>0</v>
      </c>
    </row>
    <row r="94" spans="4:7" x14ac:dyDescent="0.25">
      <c r="D94" s="15">
        <f t="shared" si="3"/>
        <v>0</v>
      </c>
      <c r="G94" s="15">
        <f t="shared" si="4"/>
        <v>0</v>
      </c>
    </row>
    <row r="95" spans="4:7" x14ac:dyDescent="0.25">
      <c r="D95" s="15">
        <f t="shared" si="3"/>
        <v>0</v>
      </c>
      <c r="G95" s="15">
        <f t="shared" si="4"/>
        <v>0</v>
      </c>
    </row>
    <row r="96" spans="4:7" x14ac:dyDescent="0.25">
      <c r="D96" s="15">
        <f t="shared" si="3"/>
        <v>0</v>
      </c>
      <c r="G96" s="15">
        <f t="shared" si="4"/>
        <v>0</v>
      </c>
    </row>
    <row r="97" spans="4:7" x14ac:dyDescent="0.25">
      <c r="D97" s="15">
        <f t="shared" si="3"/>
        <v>0</v>
      </c>
      <c r="G97" s="15">
        <f t="shared" si="4"/>
        <v>0</v>
      </c>
    </row>
    <row r="98" spans="4:7" x14ac:dyDescent="0.25">
      <c r="D98" s="15">
        <f t="shared" si="3"/>
        <v>0</v>
      </c>
      <c r="G98" s="15">
        <f t="shared" si="4"/>
        <v>0</v>
      </c>
    </row>
    <row r="99" spans="4:7" x14ac:dyDescent="0.25">
      <c r="D99" s="15">
        <f t="shared" si="3"/>
        <v>0</v>
      </c>
      <c r="G99" s="15">
        <f t="shared" si="4"/>
        <v>0</v>
      </c>
    </row>
    <row r="100" spans="4:7" x14ac:dyDescent="0.25">
      <c r="D100" s="15">
        <f t="shared" si="3"/>
        <v>0</v>
      </c>
      <c r="G100" s="15">
        <f t="shared" si="4"/>
        <v>0</v>
      </c>
    </row>
  </sheetData>
  <conditionalFormatting sqref="G2:G100">
    <cfRule type="cellIs" dxfId="3" priority="1" operator="lessThan">
      <formula>-5</formula>
    </cfRule>
    <cfRule type="cellIs" dxfId="2" priority="2" operator="greaterThan">
      <formula>5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100"/>
  <sheetViews>
    <sheetView workbookViewId="0">
      <selection activeCell="E32" sqref="E32"/>
    </sheetView>
  </sheetViews>
  <sheetFormatPr defaultRowHeight="15" x14ac:dyDescent="0.25"/>
  <cols>
    <col min="1" max="1" width="21.42578125" customWidth="1"/>
    <col min="2" max="7" width="18.5703125" style="13" customWidth="1"/>
    <col min="9" max="9" width="31.5703125" bestFit="1" customWidth="1"/>
    <col min="10" max="10" width="12" bestFit="1" customWidth="1"/>
    <col min="11" max="11" width="9.7109375" bestFit="1" customWidth="1"/>
    <col min="12" max="12" width="10.7109375" bestFit="1" customWidth="1"/>
  </cols>
  <sheetData>
    <row r="1" spans="1:12" x14ac:dyDescent="0.25">
      <c r="A1" s="11"/>
      <c r="B1" s="14" t="s">
        <v>67</v>
      </c>
      <c r="C1" s="14" t="s">
        <v>68</v>
      </c>
      <c r="D1" s="14" t="s">
        <v>66</v>
      </c>
      <c r="E1" s="14" t="s">
        <v>69</v>
      </c>
      <c r="F1" s="14" t="s">
        <v>70</v>
      </c>
      <c r="G1" s="14" t="s">
        <v>66</v>
      </c>
      <c r="J1" s="14" t="s">
        <v>72</v>
      </c>
      <c r="K1" s="14" t="s">
        <v>73</v>
      </c>
      <c r="L1" s="14" t="s">
        <v>66</v>
      </c>
    </row>
    <row r="2" spans="1:12" x14ac:dyDescent="0.25">
      <c r="A2" s="16" t="s">
        <v>28</v>
      </c>
      <c r="B2" s="13">
        <v>-15</v>
      </c>
      <c r="C2" s="13">
        <v>-15</v>
      </c>
      <c r="D2" s="15">
        <f>B2-C2</f>
        <v>0</v>
      </c>
      <c r="G2" s="15">
        <f>E2-F2</f>
        <v>0</v>
      </c>
      <c r="I2" t="s">
        <v>75</v>
      </c>
      <c r="J2">
        <v>0</v>
      </c>
      <c r="K2">
        <v>0</v>
      </c>
      <c r="L2" s="15">
        <f>J2-K2</f>
        <v>0</v>
      </c>
    </row>
    <row r="3" spans="1:12" x14ac:dyDescent="0.25">
      <c r="A3" s="16" t="s">
        <v>29</v>
      </c>
      <c r="B3" s="13">
        <v>-20</v>
      </c>
      <c r="C3" s="13">
        <v>-20</v>
      </c>
      <c r="D3" s="15">
        <f t="shared" ref="D3:D66" si="0">B3-C3</f>
        <v>0</v>
      </c>
      <c r="G3" s="15">
        <f t="shared" ref="G3:G66" si="1">E3-F3</f>
        <v>0</v>
      </c>
    </row>
    <row r="4" spans="1:12" x14ac:dyDescent="0.25">
      <c r="A4" s="16" t="s">
        <v>30</v>
      </c>
      <c r="B4" s="13">
        <v>-5</v>
      </c>
      <c r="C4" s="13">
        <v>-5</v>
      </c>
      <c r="D4" s="15">
        <f t="shared" si="0"/>
        <v>0</v>
      </c>
      <c r="G4" s="15">
        <f t="shared" si="1"/>
        <v>0</v>
      </c>
    </row>
    <row r="5" spans="1:12" x14ac:dyDescent="0.25">
      <c r="A5" s="16" t="s">
        <v>31</v>
      </c>
      <c r="B5" s="13">
        <v>-20</v>
      </c>
      <c r="C5" s="13">
        <v>-20</v>
      </c>
      <c r="D5" s="15">
        <f t="shared" si="0"/>
        <v>0</v>
      </c>
      <c r="G5" s="15">
        <f t="shared" si="1"/>
        <v>0</v>
      </c>
    </row>
    <row r="6" spans="1:12" x14ac:dyDescent="0.25">
      <c r="A6" s="17" t="s">
        <v>32</v>
      </c>
      <c r="B6" s="13">
        <v>0</v>
      </c>
      <c r="C6" s="13">
        <v>0</v>
      </c>
      <c r="D6" s="15">
        <f t="shared" si="0"/>
        <v>0</v>
      </c>
      <c r="G6" s="15">
        <f t="shared" si="1"/>
        <v>0</v>
      </c>
    </row>
    <row r="7" spans="1:12" x14ac:dyDescent="0.25">
      <c r="A7" s="17" t="s">
        <v>33</v>
      </c>
      <c r="B7" s="13">
        <v>0</v>
      </c>
      <c r="C7" s="13">
        <v>0</v>
      </c>
      <c r="D7" s="15">
        <f t="shared" si="0"/>
        <v>0</v>
      </c>
      <c r="G7" s="15">
        <f t="shared" si="1"/>
        <v>0</v>
      </c>
    </row>
    <row r="8" spans="1:12" x14ac:dyDescent="0.25">
      <c r="A8" s="18" t="s">
        <v>34</v>
      </c>
      <c r="B8" s="13">
        <v>0</v>
      </c>
      <c r="C8" s="13">
        <v>0</v>
      </c>
      <c r="D8" s="15">
        <f t="shared" si="0"/>
        <v>0</v>
      </c>
      <c r="G8" s="15">
        <f t="shared" si="1"/>
        <v>0</v>
      </c>
    </row>
    <row r="9" spans="1:12" x14ac:dyDescent="0.25">
      <c r="A9" s="16" t="s">
        <v>35</v>
      </c>
      <c r="B9" s="13">
        <v>0</v>
      </c>
      <c r="C9" s="13">
        <v>0</v>
      </c>
      <c r="D9" s="15">
        <f t="shared" si="0"/>
        <v>0</v>
      </c>
      <c r="G9" s="15">
        <f t="shared" si="1"/>
        <v>0</v>
      </c>
    </row>
    <row r="10" spans="1:12" x14ac:dyDescent="0.25">
      <c r="A10" s="17" t="s">
        <v>36</v>
      </c>
      <c r="B10" s="13">
        <v>0</v>
      </c>
      <c r="C10" s="13">
        <v>0</v>
      </c>
      <c r="D10" s="15">
        <f t="shared" si="0"/>
        <v>0</v>
      </c>
      <c r="G10" s="15">
        <f t="shared" si="1"/>
        <v>0</v>
      </c>
    </row>
    <row r="11" spans="1:12" x14ac:dyDescent="0.25">
      <c r="A11" s="12" t="s">
        <v>159</v>
      </c>
      <c r="C11" s="13">
        <v>0</v>
      </c>
      <c r="D11" s="15">
        <f t="shared" si="0"/>
        <v>0</v>
      </c>
      <c r="E11" s="13">
        <v>0</v>
      </c>
      <c r="F11" s="13">
        <v>0</v>
      </c>
      <c r="G11" s="15">
        <f t="shared" si="1"/>
        <v>0</v>
      </c>
    </row>
    <row r="12" spans="1:12" x14ac:dyDescent="0.25">
      <c r="A12" t="s">
        <v>160</v>
      </c>
      <c r="C12" s="13">
        <v>0</v>
      </c>
      <c r="D12" s="15">
        <f t="shared" si="0"/>
        <v>0</v>
      </c>
      <c r="E12" s="13">
        <v>0</v>
      </c>
      <c r="F12" s="13">
        <v>0</v>
      </c>
      <c r="G12" s="15">
        <f t="shared" si="1"/>
        <v>0</v>
      </c>
    </row>
    <row r="13" spans="1:12" x14ac:dyDescent="0.25">
      <c r="D13" s="15">
        <f t="shared" si="0"/>
        <v>0</v>
      </c>
      <c r="G13" s="15">
        <f t="shared" si="1"/>
        <v>0</v>
      </c>
    </row>
    <row r="14" spans="1:12" x14ac:dyDescent="0.25">
      <c r="D14" s="15">
        <f t="shared" si="0"/>
        <v>0</v>
      </c>
      <c r="G14" s="15">
        <f t="shared" si="1"/>
        <v>0</v>
      </c>
    </row>
    <row r="15" spans="1:12" x14ac:dyDescent="0.25">
      <c r="D15" s="15">
        <f t="shared" si="0"/>
        <v>0</v>
      </c>
      <c r="G15" s="15">
        <f t="shared" si="1"/>
        <v>0</v>
      </c>
    </row>
    <row r="16" spans="1:12" x14ac:dyDescent="0.25">
      <c r="D16" s="15">
        <f t="shared" si="0"/>
        <v>0</v>
      </c>
      <c r="G16" s="15">
        <f t="shared" si="1"/>
        <v>0</v>
      </c>
    </row>
    <row r="17" spans="4:7" x14ac:dyDescent="0.25">
      <c r="D17" s="15">
        <f t="shared" si="0"/>
        <v>0</v>
      </c>
      <c r="G17" s="15">
        <f t="shared" si="1"/>
        <v>0</v>
      </c>
    </row>
    <row r="18" spans="4:7" x14ac:dyDescent="0.25">
      <c r="D18" s="15">
        <f t="shared" si="0"/>
        <v>0</v>
      </c>
      <c r="G18" s="15">
        <f t="shared" si="1"/>
        <v>0</v>
      </c>
    </row>
    <row r="19" spans="4:7" x14ac:dyDescent="0.25">
      <c r="D19" s="15">
        <f t="shared" si="0"/>
        <v>0</v>
      </c>
      <c r="G19" s="15">
        <f t="shared" si="1"/>
        <v>0</v>
      </c>
    </row>
    <row r="20" spans="4:7" x14ac:dyDescent="0.25">
      <c r="D20" s="15">
        <f t="shared" si="0"/>
        <v>0</v>
      </c>
      <c r="G20" s="15">
        <f t="shared" si="1"/>
        <v>0</v>
      </c>
    </row>
    <row r="21" spans="4:7" x14ac:dyDescent="0.25">
      <c r="D21" s="15">
        <f t="shared" si="0"/>
        <v>0</v>
      </c>
      <c r="G21" s="15">
        <f t="shared" si="1"/>
        <v>0</v>
      </c>
    </row>
    <row r="22" spans="4:7" x14ac:dyDescent="0.25">
      <c r="D22" s="15">
        <f t="shared" si="0"/>
        <v>0</v>
      </c>
      <c r="G22" s="15">
        <f t="shared" si="1"/>
        <v>0</v>
      </c>
    </row>
    <row r="23" spans="4:7" x14ac:dyDescent="0.25">
      <c r="D23" s="15">
        <f t="shared" si="0"/>
        <v>0</v>
      </c>
      <c r="G23" s="15">
        <f t="shared" si="1"/>
        <v>0</v>
      </c>
    </row>
    <row r="24" spans="4:7" x14ac:dyDescent="0.25">
      <c r="D24" s="15">
        <f t="shared" si="0"/>
        <v>0</v>
      </c>
      <c r="G24" s="15">
        <f t="shared" si="1"/>
        <v>0</v>
      </c>
    </row>
    <row r="25" spans="4:7" x14ac:dyDescent="0.25">
      <c r="D25" s="15">
        <f t="shared" si="0"/>
        <v>0</v>
      </c>
      <c r="G25" s="15">
        <f t="shared" si="1"/>
        <v>0</v>
      </c>
    </row>
    <row r="26" spans="4:7" x14ac:dyDescent="0.25">
      <c r="D26" s="15">
        <f t="shared" si="0"/>
        <v>0</v>
      </c>
      <c r="G26" s="15">
        <f t="shared" si="1"/>
        <v>0</v>
      </c>
    </row>
    <row r="27" spans="4:7" x14ac:dyDescent="0.25">
      <c r="D27" s="15">
        <f t="shared" si="0"/>
        <v>0</v>
      </c>
      <c r="G27" s="15">
        <f t="shared" si="1"/>
        <v>0</v>
      </c>
    </row>
    <row r="28" spans="4:7" x14ac:dyDescent="0.25">
      <c r="D28" s="15">
        <f t="shared" si="0"/>
        <v>0</v>
      </c>
      <c r="G28" s="15">
        <f t="shared" si="1"/>
        <v>0</v>
      </c>
    </row>
    <row r="29" spans="4:7" x14ac:dyDescent="0.25">
      <c r="D29" s="15">
        <f t="shared" si="0"/>
        <v>0</v>
      </c>
      <c r="G29" s="15">
        <f t="shared" si="1"/>
        <v>0</v>
      </c>
    </row>
    <row r="30" spans="4:7" x14ac:dyDescent="0.25">
      <c r="D30" s="15">
        <f t="shared" si="0"/>
        <v>0</v>
      </c>
      <c r="G30" s="15">
        <f t="shared" si="1"/>
        <v>0</v>
      </c>
    </row>
    <row r="31" spans="4:7" x14ac:dyDescent="0.25">
      <c r="D31" s="15">
        <f t="shared" si="0"/>
        <v>0</v>
      </c>
      <c r="G31" s="15">
        <f t="shared" si="1"/>
        <v>0</v>
      </c>
    </row>
    <row r="32" spans="4:7" x14ac:dyDescent="0.25">
      <c r="D32" s="15">
        <f t="shared" si="0"/>
        <v>0</v>
      </c>
      <c r="G32" s="15">
        <f t="shared" si="1"/>
        <v>0</v>
      </c>
    </row>
    <row r="33" spans="4:7" x14ac:dyDescent="0.25">
      <c r="D33" s="15">
        <f t="shared" si="0"/>
        <v>0</v>
      </c>
      <c r="G33" s="15">
        <f t="shared" si="1"/>
        <v>0</v>
      </c>
    </row>
    <row r="34" spans="4:7" x14ac:dyDescent="0.25">
      <c r="D34" s="15">
        <f t="shared" si="0"/>
        <v>0</v>
      </c>
      <c r="G34" s="15">
        <f t="shared" si="1"/>
        <v>0</v>
      </c>
    </row>
    <row r="35" spans="4:7" x14ac:dyDescent="0.25">
      <c r="D35" s="15">
        <f t="shared" si="0"/>
        <v>0</v>
      </c>
      <c r="G35" s="15">
        <f t="shared" si="1"/>
        <v>0</v>
      </c>
    </row>
    <row r="36" spans="4:7" x14ac:dyDescent="0.25">
      <c r="D36" s="15">
        <f t="shared" si="0"/>
        <v>0</v>
      </c>
      <c r="G36" s="15">
        <f t="shared" si="1"/>
        <v>0</v>
      </c>
    </row>
    <row r="37" spans="4:7" x14ac:dyDescent="0.25">
      <c r="D37" s="15">
        <f t="shared" si="0"/>
        <v>0</v>
      </c>
      <c r="G37" s="15">
        <f t="shared" si="1"/>
        <v>0</v>
      </c>
    </row>
    <row r="38" spans="4:7" x14ac:dyDescent="0.25">
      <c r="D38" s="15">
        <f t="shared" si="0"/>
        <v>0</v>
      </c>
      <c r="G38" s="15">
        <f t="shared" si="1"/>
        <v>0</v>
      </c>
    </row>
    <row r="39" spans="4:7" x14ac:dyDescent="0.25">
      <c r="D39" s="15">
        <f t="shared" si="0"/>
        <v>0</v>
      </c>
      <c r="G39" s="15">
        <f t="shared" si="1"/>
        <v>0</v>
      </c>
    </row>
    <row r="40" spans="4:7" x14ac:dyDescent="0.25">
      <c r="D40" s="15">
        <f t="shared" si="0"/>
        <v>0</v>
      </c>
      <c r="G40" s="15">
        <f t="shared" si="1"/>
        <v>0</v>
      </c>
    </row>
    <row r="41" spans="4:7" x14ac:dyDescent="0.25">
      <c r="D41" s="15">
        <f t="shared" si="0"/>
        <v>0</v>
      </c>
      <c r="G41" s="15">
        <f t="shared" si="1"/>
        <v>0</v>
      </c>
    </row>
    <row r="42" spans="4:7" x14ac:dyDescent="0.25">
      <c r="D42" s="15">
        <f t="shared" si="0"/>
        <v>0</v>
      </c>
      <c r="G42" s="15">
        <f t="shared" si="1"/>
        <v>0</v>
      </c>
    </row>
    <row r="43" spans="4:7" x14ac:dyDescent="0.25">
      <c r="D43" s="15">
        <f t="shared" si="0"/>
        <v>0</v>
      </c>
      <c r="G43" s="15">
        <f t="shared" si="1"/>
        <v>0</v>
      </c>
    </row>
    <row r="44" spans="4:7" x14ac:dyDescent="0.25">
      <c r="D44" s="15">
        <f t="shared" si="0"/>
        <v>0</v>
      </c>
      <c r="G44" s="15">
        <f t="shared" si="1"/>
        <v>0</v>
      </c>
    </row>
    <row r="45" spans="4:7" x14ac:dyDescent="0.25">
      <c r="D45" s="15">
        <f t="shared" si="0"/>
        <v>0</v>
      </c>
      <c r="G45" s="15">
        <f t="shared" si="1"/>
        <v>0</v>
      </c>
    </row>
    <row r="46" spans="4:7" x14ac:dyDescent="0.25">
      <c r="D46" s="15">
        <f t="shared" si="0"/>
        <v>0</v>
      </c>
      <c r="G46" s="15">
        <f t="shared" si="1"/>
        <v>0</v>
      </c>
    </row>
    <row r="47" spans="4:7" x14ac:dyDescent="0.25">
      <c r="D47" s="15">
        <f t="shared" si="0"/>
        <v>0</v>
      </c>
      <c r="G47" s="15">
        <f t="shared" si="1"/>
        <v>0</v>
      </c>
    </row>
    <row r="48" spans="4:7" x14ac:dyDescent="0.25">
      <c r="D48" s="15">
        <f t="shared" si="0"/>
        <v>0</v>
      </c>
      <c r="G48" s="15">
        <f t="shared" si="1"/>
        <v>0</v>
      </c>
    </row>
    <row r="49" spans="4:7" x14ac:dyDescent="0.25">
      <c r="D49" s="15">
        <f t="shared" si="0"/>
        <v>0</v>
      </c>
      <c r="G49" s="15">
        <f t="shared" si="1"/>
        <v>0</v>
      </c>
    </row>
    <row r="50" spans="4:7" x14ac:dyDescent="0.25">
      <c r="D50" s="15">
        <f t="shared" si="0"/>
        <v>0</v>
      </c>
      <c r="G50" s="15">
        <f t="shared" si="1"/>
        <v>0</v>
      </c>
    </row>
    <row r="51" spans="4:7" x14ac:dyDescent="0.25">
      <c r="D51" s="15">
        <f t="shared" si="0"/>
        <v>0</v>
      </c>
      <c r="G51" s="15">
        <f t="shared" si="1"/>
        <v>0</v>
      </c>
    </row>
    <row r="52" spans="4:7" x14ac:dyDescent="0.25">
      <c r="D52" s="15">
        <f t="shared" si="0"/>
        <v>0</v>
      </c>
      <c r="G52" s="15">
        <f t="shared" si="1"/>
        <v>0</v>
      </c>
    </row>
    <row r="53" spans="4:7" x14ac:dyDescent="0.25">
      <c r="D53" s="15">
        <f t="shared" si="0"/>
        <v>0</v>
      </c>
      <c r="G53" s="15">
        <f t="shared" si="1"/>
        <v>0</v>
      </c>
    </row>
    <row r="54" spans="4:7" x14ac:dyDescent="0.25">
      <c r="D54" s="15">
        <f t="shared" si="0"/>
        <v>0</v>
      </c>
      <c r="G54" s="15">
        <f t="shared" si="1"/>
        <v>0</v>
      </c>
    </row>
    <row r="55" spans="4:7" x14ac:dyDescent="0.25">
      <c r="D55" s="15">
        <f t="shared" si="0"/>
        <v>0</v>
      </c>
      <c r="G55" s="15">
        <f t="shared" si="1"/>
        <v>0</v>
      </c>
    </row>
    <row r="56" spans="4:7" x14ac:dyDescent="0.25">
      <c r="D56" s="15">
        <f t="shared" si="0"/>
        <v>0</v>
      </c>
      <c r="G56" s="15">
        <f t="shared" si="1"/>
        <v>0</v>
      </c>
    </row>
    <row r="57" spans="4:7" x14ac:dyDescent="0.25">
      <c r="D57" s="15">
        <f t="shared" si="0"/>
        <v>0</v>
      </c>
      <c r="G57" s="15">
        <f t="shared" si="1"/>
        <v>0</v>
      </c>
    </row>
    <row r="58" spans="4:7" x14ac:dyDescent="0.25">
      <c r="D58" s="15">
        <f t="shared" si="0"/>
        <v>0</v>
      </c>
      <c r="G58" s="15">
        <f t="shared" si="1"/>
        <v>0</v>
      </c>
    </row>
    <row r="59" spans="4:7" x14ac:dyDescent="0.25">
      <c r="D59" s="15">
        <f t="shared" si="0"/>
        <v>0</v>
      </c>
      <c r="G59" s="15">
        <f t="shared" si="1"/>
        <v>0</v>
      </c>
    </row>
    <row r="60" spans="4:7" x14ac:dyDescent="0.25">
      <c r="D60" s="15">
        <f t="shared" si="0"/>
        <v>0</v>
      </c>
      <c r="G60" s="15">
        <f t="shared" si="1"/>
        <v>0</v>
      </c>
    </row>
    <row r="61" spans="4:7" x14ac:dyDescent="0.25">
      <c r="D61" s="15">
        <f t="shared" si="0"/>
        <v>0</v>
      </c>
      <c r="G61" s="15">
        <f t="shared" si="1"/>
        <v>0</v>
      </c>
    </row>
    <row r="62" spans="4:7" x14ac:dyDescent="0.25">
      <c r="D62" s="15">
        <f t="shared" si="0"/>
        <v>0</v>
      </c>
      <c r="G62" s="15">
        <f t="shared" si="1"/>
        <v>0</v>
      </c>
    </row>
    <row r="63" spans="4:7" x14ac:dyDescent="0.25">
      <c r="D63" s="15">
        <f t="shared" si="0"/>
        <v>0</v>
      </c>
      <c r="G63" s="15">
        <f t="shared" si="1"/>
        <v>0</v>
      </c>
    </row>
    <row r="64" spans="4:7" x14ac:dyDescent="0.25">
      <c r="D64" s="15">
        <f t="shared" si="0"/>
        <v>0</v>
      </c>
      <c r="G64" s="15">
        <f t="shared" si="1"/>
        <v>0</v>
      </c>
    </row>
    <row r="65" spans="4:7" x14ac:dyDescent="0.25">
      <c r="D65" s="15">
        <f t="shared" si="0"/>
        <v>0</v>
      </c>
      <c r="G65" s="15">
        <f t="shared" si="1"/>
        <v>0</v>
      </c>
    </row>
    <row r="66" spans="4:7" x14ac:dyDescent="0.25">
      <c r="D66" s="15">
        <f t="shared" si="0"/>
        <v>0</v>
      </c>
      <c r="G66" s="15">
        <f t="shared" si="1"/>
        <v>0</v>
      </c>
    </row>
    <row r="67" spans="4:7" x14ac:dyDescent="0.25">
      <c r="D67" s="15">
        <f t="shared" ref="D67:D100" si="2">B67-C67</f>
        <v>0</v>
      </c>
      <c r="G67" s="15">
        <f t="shared" ref="G67:G100" si="3">E67-F67</f>
        <v>0</v>
      </c>
    </row>
    <row r="68" spans="4:7" x14ac:dyDescent="0.25">
      <c r="D68" s="15">
        <f t="shared" si="2"/>
        <v>0</v>
      </c>
      <c r="G68" s="15">
        <f t="shared" si="3"/>
        <v>0</v>
      </c>
    </row>
    <row r="69" spans="4:7" x14ac:dyDescent="0.25">
      <c r="D69" s="15">
        <f t="shared" si="2"/>
        <v>0</v>
      </c>
      <c r="G69" s="15">
        <f t="shared" si="3"/>
        <v>0</v>
      </c>
    </row>
    <row r="70" spans="4:7" x14ac:dyDescent="0.25">
      <c r="D70" s="15">
        <f t="shared" si="2"/>
        <v>0</v>
      </c>
      <c r="G70" s="15">
        <f t="shared" si="3"/>
        <v>0</v>
      </c>
    </row>
    <row r="71" spans="4:7" x14ac:dyDescent="0.25">
      <c r="D71" s="15">
        <f t="shared" si="2"/>
        <v>0</v>
      </c>
      <c r="G71" s="15">
        <f t="shared" si="3"/>
        <v>0</v>
      </c>
    </row>
    <row r="72" spans="4:7" x14ac:dyDescent="0.25">
      <c r="D72" s="15">
        <f t="shared" si="2"/>
        <v>0</v>
      </c>
      <c r="G72" s="15">
        <f t="shared" si="3"/>
        <v>0</v>
      </c>
    </row>
    <row r="73" spans="4:7" x14ac:dyDescent="0.25">
      <c r="D73" s="15">
        <f t="shared" si="2"/>
        <v>0</v>
      </c>
      <c r="G73" s="15">
        <f t="shared" si="3"/>
        <v>0</v>
      </c>
    </row>
    <row r="74" spans="4:7" x14ac:dyDescent="0.25">
      <c r="D74" s="15">
        <f t="shared" si="2"/>
        <v>0</v>
      </c>
      <c r="G74" s="15">
        <f t="shared" si="3"/>
        <v>0</v>
      </c>
    </row>
    <row r="75" spans="4:7" x14ac:dyDescent="0.25">
      <c r="D75" s="15">
        <f t="shared" si="2"/>
        <v>0</v>
      </c>
      <c r="G75" s="15">
        <f t="shared" si="3"/>
        <v>0</v>
      </c>
    </row>
    <row r="76" spans="4:7" x14ac:dyDescent="0.25">
      <c r="D76" s="15">
        <f t="shared" si="2"/>
        <v>0</v>
      </c>
      <c r="G76" s="15">
        <f t="shared" si="3"/>
        <v>0</v>
      </c>
    </row>
    <row r="77" spans="4:7" x14ac:dyDescent="0.25">
      <c r="D77" s="15">
        <f t="shared" si="2"/>
        <v>0</v>
      </c>
      <c r="G77" s="15">
        <f t="shared" si="3"/>
        <v>0</v>
      </c>
    </row>
    <row r="78" spans="4:7" x14ac:dyDescent="0.25">
      <c r="D78" s="15">
        <f t="shared" si="2"/>
        <v>0</v>
      </c>
      <c r="G78" s="15">
        <f t="shared" si="3"/>
        <v>0</v>
      </c>
    </row>
    <row r="79" spans="4:7" x14ac:dyDescent="0.25">
      <c r="D79" s="15">
        <f t="shared" si="2"/>
        <v>0</v>
      </c>
      <c r="G79" s="15">
        <f t="shared" si="3"/>
        <v>0</v>
      </c>
    </row>
    <row r="80" spans="4:7" x14ac:dyDescent="0.25">
      <c r="D80" s="15">
        <f t="shared" si="2"/>
        <v>0</v>
      </c>
      <c r="G80" s="15">
        <f t="shared" si="3"/>
        <v>0</v>
      </c>
    </row>
    <row r="81" spans="4:7" x14ac:dyDescent="0.25">
      <c r="D81" s="15">
        <f t="shared" si="2"/>
        <v>0</v>
      </c>
      <c r="G81" s="15">
        <f t="shared" si="3"/>
        <v>0</v>
      </c>
    </row>
    <row r="82" spans="4:7" x14ac:dyDescent="0.25">
      <c r="D82" s="15">
        <f t="shared" si="2"/>
        <v>0</v>
      </c>
      <c r="G82" s="15">
        <f t="shared" si="3"/>
        <v>0</v>
      </c>
    </row>
    <row r="83" spans="4:7" x14ac:dyDescent="0.25">
      <c r="D83" s="15">
        <f t="shared" si="2"/>
        <v>0</v>
      </c>
      <c r="G83" s="15">
        <f t="shared" si="3"/>
        <v>0</v>
      </c>
    </row>
    <row r="84" spans="4:7" x14ac:dyDescent="0.25">
      <c r="D84" s="15">
        <f t="shared" si="2"/>
        <v>0</v>
      </c>
      <c r="G84" s="15">
        <f t="shared" si="3"/>
        <v>0</v>
      </c>
    </row>
    <row r="85" spans="4:7" x14ac:dyDescent="0.25">
      <c r="D85" s="15">
        <f t="shared" si="2"/>
        <v>0</v>
      </c>
      <c r="G85" s="15">
        <f t="shared" si="3"/>
        <v>0</v>
      </c>
    </row>
    <row r="86" spans="4:7" x14ac:dyDescent="0.25">
      <c r="D86" s="15">
        <f t="shared" si="2"/>
        <v>0</v>
      </c>
      <c r="G86" s="15">
        <f t="shared" si="3"/>
        <v>0</v>
      </c>
    </row>
    <row r="87" spans="4:7" x14ac:dyDescent="0.25">
      <c r="D87" s="15">
        <f t="shared" si="2"/>
        <v>0</v>
      </c>
      <c r="G87" s="15">
        <f t="shared" si="3"/>
        <v>0</v>
      </c>
    </row>
    <row r="88" spans="4:7" x14ac:dyDescent="0.25">
      <c r="D88" s="15">
        <f t="shared" si="2"/>
        <v>0</v>
      </c>
      <c r="G88" s="15">
        <f t="shared" si="3"/>
        <v>0</v>
      </c>
    </row>
    <row r="89" spans="4:7" x14ac:dyDescent="0.25">
      <c r="D89" s="15">
        <f t="shared" si="2"/>
        <v>0</v>
      </c>
      <c r="G89" s="15">
        <f t="shared" si="3"/>
        <v>0</v>
      </c>
    </row>
    <row r="90" spans="4:7" x14ac:dyDescent="0.25">
      <c r="D90" s="15">
        <f t="shared" si="2"/>
        <v>0</v>
      </c>
      <c r="G90" s="15">
        <f t="shared" si="3"/>
        <v>0</v>
      </c>
    </row>
    <row r="91" spans="4:7" x14ac:dyDescent="0.25">
      <c r="D91" s="15">
        <f t="shared" si="2"/>
        <v>0</v>
      </c>
      <c r="G91" s="15">
        <f t="shared" si="3"/>
        <v>0</v>
      </c>
    </row>
    <row r="92" spans="4:7" x14ac:dyDescent="0.25">
      <c r="D92" s="15">
        <f t="shared" si="2"/>
        <v>0</v>
      </c>
      <c r="G92" s="15">
        <f t="shared" si="3"/>
        <v>0</v>
      </c>
    </row>
    <row r="93" spans="4:7" x14ac:dyDescent="0.25">
      <c r="D93" s="15">
        <f t="shared" si="2"/>
        <v>0</v>
      </c>
      <c r="G93" s="15">
        <f t="shared" si="3"/>
        <v>0</v>
      </c>
    </row>
    <row r="94" spans="4:7" x14ac:dyDescent="0.25">
      <c r="D94" s="15">
        <f t="shared" si="2"/>
        <v>0</v>
      </c>
      <c r="G94" s="15">
        <f t="shared" si="3"/>
        <v>0</v>
      </c>
    </row>
    <row r="95" spans="4:7" x14ac:dyDescent="0.25">
      <c r="D95" s="15">
        <f t="shared" si="2"/>
        <v>0</v>
      </c>
      <c r="G95" s="15">
        <f t="shared" si="3"/>
        <v>0</v>
      </c>
    </row>
    <row r="96" spans="4:7" x14ac:dyDescent="0.25">
      <c r="D96" s="15">
        <f t="shared" si="2"/>
        <v>0</v>
      </c>
      <c r="G96" s="15">
        <f t="shared" si="3"/>
        <v>0</v>
      </c>
    </row>
    <row r="97" spans="4:7" x14ac:dyDescent="0.25">
      <c r="D97" s="15">
        <f t="shared" si="2"/>
        <v>0</v>
      </c>
      <c r="G97" s="15">
        <f t="shared" si="3"/>
        <v>0</v>
      </c>
    </row>
    <row r="98" spans="4:7" x14ac:dyDescent="0.25">
      <c r="D98" s="15">
        <f t="shared" si="2"/>
        <v>0</v>
      </c>
      <c r="G98" s="15">
        <f t="shared" si="3"/>
        <v>0</v>
      </c>
    </row>
    <row r="99" spans="4:7" x14ac:dyDescent="0.25">
      <c r="D99" s="15">
        <f t="shared" si="2"/>
        <v>0</v>
      </c>
      <c r="G99" s="15">
        <f t="shared" si="3"/>
        <v>0</v>
      </c>
    </row>
    <row r="100" spans="4:7" x14ac:dyDescent="0.25">
      <c r="D100" s="15">
        <f t="shared" si="2"/>
        <v>0</v>
      </c>
      <c r="G100" s="15">
        <f t="shared" si="3"/>
        <v>0</v>
      </c>
    </row>
  </sheetData>
  <conditionalFormatting sqref="G2:G100">
    <cfRule type="cellIs" dxfId="1" priority="1" operator="lessThan">
      <formula>-5</formula>
    </cfRule>
    <cfRule type="cellIs" dxfId="0" priority="2" operator="greaterThan">
      <formula>5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W20"/>
  <sheetViews>
    <sheetView workbookViewId="0">
      <pane xSplit="2" ySplit="7" topLeftCell="O8" activePane="bottomRight" state="frozen"/>
      <selection pane="topRight" activeCell="C1" sqref="C1"/>
      <selection pane="bottomLeft" activeCell="A6" sqref="A6"/>
      <selection pane="bottomRight" activeCell="P40" sqref="P40"/>
    </sheetView>
  </sheetViews>
  <sheetFormatPr defaultRowHeight="15" x14ac:dyDescent="0.25"/>
  <cols>
    <col min="1" max="1" width="4" customWidth="1"/>
    <col min="2" max="2" width="20.28515625" bestFit="1" customWidth="1"/>
    <col min="3" max="3" width="27.5703125" style="1" customWidth="1"/>
    <col min="4" max="4" width="24.7109375" style="1" customWidth="1"/>
    <col min="5" max="5" width="18.85546875" style="1" bestFit="1" customWidth="1"/>
    <col min="6" max="6" width="16.140625" style="1" bestFit="1" customWidth="1"/>
    <col min="7" max="7" width="11.7109375" style="1" bestFit="1" customWidth="1"/>
    <col min="8" max="8" width="17.42578125" style="1" bestFit="1" customWidth="1"/>
    <col min="9" max="9" width="11.42578125" style="1" bestFit="1" customWidth="1"/>
    <col min="10" max="10" width="15.28515625" style="1" bestFit="1" customWidth="1"/>
    <col min="11" max="11" width="18.42578125" style="1" bestFit="1" customWidth="1"/>
    <col min="12" max="13" width="22.140625" style="1" customWidth="1"/>
    <col min="14" max="14" width="18.85546875" style="1" customWidth="1"/>
    <col min="15" max="15" width="27.5703125" style="1" bestFit="1" customWidth="1"/>
    <col min="16" max="16" width="31" style="1" bestFit="1" customWidth="1"/>
    <col min="17" max="17" width="30.140625" style="1" bestFit="1" customWidth="1"/>
    <col min="18" max="18" width="20.42578125" bestFit="1" customWidth="1"/>
    <col min="19" max="19" width="26.42578125" customWidth="1"/>
    <col min="20" max="20" width="18.85546875" bestFit="1" customWidth="1"/>
    <col min="21" max="21" width="17.5703125" customWidth="1"/>
    <col min="22" max="22" width="16.42578125" customWidth="1"/>
    <col min="23" max="23" width="18" customWidth="1"/>
  </cols>
  <sheetData>
    <row r="1" spans="2:23" x14ac:dyDescent="0.25">
      <c r="B1" t="s">
        <v>1</v>
      </c>
      <c r="C1" s="2" t="s">
        <v>21</v>
      </c>
      <c r="D1" s="2"/>
      <c r="E1" s="2"/>
      <c r="F1" s="2"/>
      <c r="G1" s="2"/>
      <c r="H1" s="2"/>
      <c r="I1" s="2"/>
      <c r="J1" s="2"/>
      <c r="K1" s="2"/>
      <c r="L1" s="2"/>
      <c r="M1" s="2"/>
    </row>
    <row r="2" spans="2:23" x14ac:dyDescent="0.25">
      <c r="B2" t="s">
        <v>23</v>
      </c>
      <c r="C2" s="2" t="s">
        <v>24</v>
      </c>
      <c r="D2" s="2"/>
      <c r="E2" s="2"/>
      <c r="F2" s="2"/>
      <c r="G2" s="2"/>
      <c r="H2" s="2"/>
      <c r="I2" s="2"/>
      <c r="J2" s="2"/>
      <c r="K2" s="2"/>
      <c r="L2" s="2"/>
      <c r="M2" s="2"/>
    </row>
    <row r="3" spans="2:23" x14ac:dyDescent="0.25">
      <c r="B3" t="s">
        <v>62</v>
      </c>
      <c r="C3" s="2" t="str">
        <f>"COBPositions_"&amp;MAX(Summary!$C$6:$C$12)&amp;".csv"</f>
        <v>COBPositions_20151105.csv</v>
      </c>
      <c r="D3" s="2"/>
      <c r="E3" s="2"/>
      <c r="F3" s="2"/>
      <c r="G3" s="2"/>
      <c r="H3" s="2"/>
      <c r="I3" s="2"/>
      <c r="J3" s="2"/>
      <c r="K3" s="2"/>
      <c r="L3" s="2"/>
      <c r="M3" s="2"/>
    </row>
    <row r="4" spans="2:23" x14ac:dyDescent="0.25">
      <c r="B4" t="s">
        <v>63</v>
      </c>
      <c r="C4" s="2" t="str">
        <f>"10001_positionsgeneric_sunamer_"&amp;MAX(Summary!$C$6:$C$12)&amp;".csv"</f>
        <v>10001_positionsgeneric_sunamer_20151105.csv</v>
      </c>
      <c r="D4" s="2"/>
      <c r="E4" s="2"/>
      <c r="F4" s="2"/>
      <c r="G4" s="2"/>
      <c r="H4" s="2"/>
      <c r="I4" s="2"/>
      <c r="J4" s="2"/>
      <c r="K4" s="2"/>
      <c r="L4" s="2"/>
      <c r="M4" s="2"/>
    </row>
    <row r="5" spans="2:23" x14ac:dyDescent="0.25">
      <c r="B5" t="s">
        <v>22</v>
      </c>
      <c r="C5" s="2" t="s">
        <v>25</v>
      </c>
      <c r="D5" s="2"/>
      <c r="E5" s="2"/>
      <c r="F5" s="2"/>
      <c r="G5" s="2"/>
      <c r="H5" s="2"/>
      <c r="I5" s="2"/>
      <c r="J5" s="2"/>
      <c r="K5" s="2"/>
      <c r="L5" s="2"/>
      <c r="M5" s="2"/>
    </row>
    <row r="7" spans="2:23" x14ac:dyDescent="0.25">
      <c r="C7" s="3" t="s">
        <v>2</v>
      </c>
      <c r="D7" s="3" t="s">
        <v>14</v>
      </c>
      <c r="E7" s="3" t="s">
        <v>26</v>
      </c>
      <c r="F7" s="3" t="s">
        <v>28</v>
      </c>
      <c r="G7" s="3" t="s">
        <v>29</v>
      </c>
      <c r="H7" s="3" t="s">
        <v>30</v>
      </c>
      <c r="I7" s="3" t="s">
        <v>31</v>
      </c>
      <c r="J7" s="3" t="s">
        <v>32</v>
      </c>
      <c r="K7" s="3" t="s">
        <v>33</v>
      </c>
      <c r="L7" s="3" t="s">
        <v>34</v>
      </c>
      <c r="M7" s="3" t="s">
        <v>35</v>
      </c>
      <c r="N7" s="3" t="s">
        <v>36</v>
      </c>
      <c r="O7" s="3" t="s">
        <v>38</v>
      </c>
      <c r="P7" s="3" t="s">
        <v>39</v>
      </c>
      <c r="Q7" s="3" t="s">
        <v>40</v>
      </c>
      <c r="R7" s="3" t="s">
        <v>41</v>
      </c>
      <c r="S7" s="3" t="s">
        <v>64</v>
      </c>
      <c r="T7" s="3" t="s">
        <v>44</v>
      </c>
      <c r="U7" s="3" t="s">
        <v>45</v>
      </c>
      <c r="V7" s="3" t="s">
        <v>46</v>
      </c>
      <c r="W7" s="3" t="s">
        <v>47</v>
      </c>
    </row>
    <row r="8" spans="2:23" x14ac:dyDescent="0.25">
      <c r="B8" s="4" t="s">
        <v>9</v>
      </c>
      <c r="C8" s="5" t="s">
        <v>3</v>
      </c>
      <c r="D8" s="5" t="s">
        <v>15</v>
      </c>
      <c r="E8" s="5" t="s">
        <v>27</v>
      </c>
      <c r="F8" s="5" t="s">
        <v>80</v>
      </c>
      <c r="G8" s="5" t="s">
        <v>81</v>
      </c>
      <c r="H8" s="5" t="s">
        <v>82</v>
      </c>
      <c r="I8" s="5" t="s">
        <v>83</v>
      </c>
      <c r="J8" s="5" t="s">
        <v>76</v>
      </c>
      <c r="K8" s="5" t="s">
        <v>77</v>
      </c>
      <c r="L8" s="5" t="s">
        <v>78</v>
      </c>
      <c r="M8" s="5" t="s">
        <v>79</v>
      </c>
      <c r="N8" s="5" t="s">
        <v>84</v>
      </c>
      <c r="O8" s="5" t="s">
        <v>37</v>
      </c>
      <c r="P8" s="5">
        <v>3</v>
      </c>
      <c r="Q8" s="5">
        <v>26</v>
      </c>
      <c r="R8" s="5" t="b">
        <v>1</v>
      </c>
      <c r="S8" s="5" t="s">
        <v>65</v>
      </c>
      <c r="T8" s="5">
        <v>3</v>
      </c>
      <c r="U8" s="5">
        <v>28</v>
      </c>
      <c r="V8" s="1" t="s">
        <v>48</v>
      </c>
      <c r="W8" s="1" t="s">
        <v>55</v>
      </c>
    </row>
    <row r="9" spans="2:23" x14ac:dyDescent="0.25">
      <c r="B9" s="4" t="s">
        <v>10</v>
      </c>
      <c r="C9" s="5" t="s">
        <v>4</v>
      </c>
      <c r="D9" s="5" t="s">
        <v>16</v>
      </c>
      <c r="E9" s="5" t="s">
        <v>27</v>
      </c>
      <c r="F9" s="5" t="s">
        <v>80</v>
      </c>
      <c r="G9" s="5" t="s">
        <v>81</v>
      </c>
      <c r="H9" s="5" t="s">
        <v>82</v>
      </c>
      <c r="I9" s="5" t="s">
        <v>83</v>
      </c>
      <c r="J9" s="5" t="s">
        <v>76</v>
      </c>
      <c r="K9" s="5" t="s">
        <v>77</v>
      </c>
      <c r="L9" s="5" t="s">
        <v>78</v>
      </c>
      <c r="M9" s="5" t="s">
        <v>79</v>
      </c>
      <c r="N9" s="5" t="s">
        <v>84</v>
      </c>
      <c r="O9" s="5" t="s">
        <v>37</v>
      </c>
      <c r="P9" s="5">
        <v>3</v>
      </c>
      <c r="Q9" s="5">
        <v>26</v>
      </c>
      <c r="R9" s="5" t="b">
        <v>1</v>
      </c>
      <c r="S9" s="5" t="s">
        <v>65</v>
      </c>
      <c r="T9" s="5">
        <v>3</v>
      </c>
      <c r="U9" s="5">
        <v>75</v>
      </c>
      <c r="V9" s="1" t="s">
        <v>49</v>
      </c>
      <c r="W9" s="1" t="s">
        <v>56</v>
      </c>
    </row>
    <row r="10" spans="2:23" x14ac:dyDescent="0.25">
      <c r="B10" s="4" t="s">
        <v>5</v>
      </c>
      <c r="C10" s="5" t="s">
        <v>5</v>
      </c>
      <c r="D10" s="5" t="s">
        <v>17</v>
      </c>
      <c r="E10" s="5" t="s">
        <v>27</v>
      </c>
      <c r="F10" s="5" t="s">
        <v>80</v>
      </c>
      <c r="G10" s="5" t="s">
        <v>81</v>
      </c>
      <c r="H10" s="5" t="s">
        <v>82</v>
      </c>
      <c r="I10" s="5" t="s">
        <v>83</v>
      </c>
      <c r="J10" s="5" t="s">
        <v>76</v>
      </c>
      <c r="K10" s="5" t="s">
        <v>77</v>
      </c>
      <c r="L10" s="5" t="s">
        <v>78</v>
      </c>
      <c r="M10" s="5" t="s">
        <v>79</v>
      </c>
      <c r="N10" s="5" t="s">
        <v>84</v>
      </c>
      <c r="O10" s="5" t="s">
        <v>37</v>
      </c>
      <c r="P10" s="5">
        <v>3</v>
      </c>
      <c r="Q10" s="5">
        <v>26</v>
      </c>
      <c r="R10" s="5" t="b">
        <v>1</v>
      </c>
      <c r="S10" s="5" t="s">
        <v>65</v>
      </c>
      <c r="T10" s="5">
        <v>3</v>
      </c>
      <c r="U10" s="5">
        <v>28</v>
      </c>
      <c r="V10" s="1" t="s">
        <v>52</v>
      </c>
      <c r="W10" s="1" t="s">
        <v>57</v>
      </c>
    </row>
    <row r="11" spans="2:23" x14ac:dyDescent="0.25">
      <c r="B11" s="4" t="s">
        <v>11</v>
      </c>
      <c r="C11" s="5" t="s">
        <v>6</v>
      </c>
      <c r="D11" s="5" t="s">
        <v>18</v>
      </c>
      <c r="E11" s="5" t="s">
        <v>27</v>
      </c>
      <c r="F11" s="5" t="s">
        <v>80</v>
      </c>
      <c r="G11" s="5" t="s">
        <v>81</v>
      </c>
      <c r="H11" s="5" t="s">
        <v>82</v>
      </c>
      <c r="I11" s="5" t="s">
        <v>83</v>
      </c>
      <c r="J11" s="5" t="s">
        <v>76</v>
      </c>
      <c r="K11" s="5" t="s">
        <v>77</v>
      </c>
      <c r="L11" s="5" t="s">
        <v>78</v>
      </c>
      <c r="M11" s="5" t="s">
        <v>79</v>
      </c>
      <c r="N11" s="5" t="s">
        <v>84</v>
      </c>
      <c r="O11" s="5" t="s">
        <v>37</v>
      </c>
      <c r="P11" s="5">
        <v>3</v>
      </c>
      <c r="Q11" s="5">
        <v>26</v>
      </c>
      <c r="R11" s="5" t="b">
        <v>1</v>
      </c>
      <c r="S11" s="5" t="s">
        <v>65</v>
      </c>
      <c r="T11" s="5">
        <v>3</v>
      </c>
      <c r="U11" s="5">
        <v>48</v>
      </c>
      <c r="V11" s="1" t="s">
        <v>50</v>
      </c>
      <c r="W11" s="1" t="s">
        <v>58</v>
      </c>
    </row>
    <row r="12" spans="2:23" x14ac:dyDescent="0.25">
      <c r="B12" s="4" t="s">
        <v>12</v>
      </c>
      <c r="C12" s="5" t="s">
        <v>7</v>
      </c>
      <c r="D12" s="5" t="s">
        <v>19</v>
      </c>
      <c r="E12" s="5" t="s">
        <v>27</v>
      </c>
      <c r="F12" s="5" t="s">
        <v>80</v>
      </c>
      <c r="G12" s="5" t="s">
        <v>81</v>
      </c>
      <c r="H12" s="5" t="s">
        <v>82</v>
      </c>
      <c r="I12" s="5" t="s">
        <v>83</v>
      </c>
      <c r="J12" s="5" t="s">
        <v>76</v>
      </c>
      <c r="K12" s="5" t="s">
        <v>77</v>
      </c>
      <c r="L12" s="5" t="s">
        <v>78</v>
      </c>
      <c r="M12" s="5" t="s">
        <v>79</v>
      </c>
      <c r="N12" s="5" t="s">
        <v>84</v>
      </c>
      <c r="O12" s="5" t="s">
        <v>37</v>
      </c>
      <c r="P12" s="5">
        <v>3</v>
      </c>
      <c r="Q12" s="5">
        <v>26</v>
      </c>
      <c r="R12" s="5" t="b">
        <v>1</v>
      </c>
      <c r="S12" s="5" t="s">
        <v>65</v>
      </c>
      <c r="T12" s="5">
        <v>3</v>
      </c>
      <c r="U12" s="5">
        <v>50</v>
      </c>
      <c r="V12" s="1" t="s">
        <v>51</v>
      </c>
      <c r="W12" s="1" t="s">
        <v>59</v>
      </c>
    </row>
    <row r="13" spans="2:23" x14ac:dyDescent="0.25">
      <c r="B13" s="4" t="s">
        <v>13</v>
      </c>
      <c r="C13" s="5" t="s">
        <v>8</v>
      </c>
      <c r="D13" s="5" t="s">
        <v>20</v>
      </c>
      <c r="E13" s="5" t="s">
        <v>27</v>
      </c>
      <c r="F13" s="5" t="s">
        <v>80</v>
      </c>
      <c r="G13" s="5" t="s">
        <v>81</v>
      </c>
      <c r="H13" s="5" t="s">
        <v>82</v>
      </c>
      <c r="I13" s="5" t="s">
        <v>83</v>
      </c>
      <c r="J13" s="5" t="s">
        <v>76</v>
      </c>
      <c r="K13" s="5" t="s">
        <v>77</v>
      </c>
      <c r="L13" s="5" t="s">
        <v>78</v>
      </c>
      <c r="M13" s="5" t="s">
        <v>79</v>
      </c>
      <c r="N13" s="5" t="s">
        <v>84</v>
      </c>
      <c r="O13" s="5" t="s">
        <v>37</v>
      </c>
      <c r="P13" s="5">
        <v>3</v>
      </c>
      <c r="Q13" s="5">
        <v>26</v>
      </c>
      <c r="R13" s="5" t="b">
        <v>1</v>
      </c>
      <c r="S13" s="5" t="s">
        <v>65</v>
      </c>
      <c r="T13" s="5">
        <v>3</v>
      </c>
      <c r="U13" s="5">
        <v>48</v>
      </c>
      <c r="V13" s="1" t="s">
        <v>53</v>
      </c>
      <c r="W13" s="1" t="s">
        <v>60</v>
      </c>
    </row>
    <row r="14" spans="2:23" x14ac:dyDescent="0.25">
      <c r="B14" s="4" t="s">
        <v>42</v>
      </c>
      <c r="C14" s="5" t="s">
        <v>42</v>
      </c>
      <c r="D14" s="5" t="s">
        <v>43</v>
      </c>
      <c r="E14" s="5" t="s">
        <v>27</v>
      </c>
      <c r="F14" s="5" t="s">
        <v>80</v>
      </c>
      <c r="G14" s="5" t="s">
        <v>81</v>
      </c>
      <c r="H14" s="5" t="s">
        <v>82</v>
      </c>
      <c r="I14" s="5" t="s">
        <v>83</v>
      </c>
      <c r="J14" s="5" t="s">
        <v>76</v>
      </c>
      <c r="K14" s="5" t="s">
        <v>77</v>
      </c>
      <c r="L14" s="5" t="s">
        <v>78</v>
      </c>
      <c r="M14" s="5" t="s">
        <v>79</v>
      </c>
      <c r="N14" s="5" t="s">
        <v>84</v>
      </c>
      <c r="O14" s="5" t="s">
        <v>37</v>
      </c>
      <c r="P14" s="5">
        <v>3</v>
      </c>
      <c r="Q14" s="5">
        <v>26</v>
      </c>
      <c r="R14" s="5" t="b">
        <v>0</v>
      </c>
      <c r="S14" s="5" t="s">
        <v>65</v>
      </c>
      <c r="V14" s="1" t="s">
        <v>54</v>
      </c>
      <c r="W14" s="1" t="s">
        <v>61</v>
      </c>
    </row>
    <row r="15" spans="2:23" x14ac:dyDescent="0.25">
      <c r="R15" s="1"/>
      <c r="S15" s="1"/>
      <c r="T15" s="1"/>
      <c r="U15" s="1"/>
      <c r="V15" s="1"/>
      <c r="W15" s="1"/>
    </row>
    <row r="17" spans="3:4" x14ac:dyDescent="0.25">
      <c r="C17" s="3"/>
      <c r="D17" s="3"/>
    </row>
    <row r="18" spans="3:4" x14ac:dyDescent="0.25">
      <c r="C18" s="3"/>
    </row>
    <row r="19" spans="3:4" x14ac:dyDescent="0.25">
      <c r="C19" s="3"/>
    </row>
    <row r="20" spans="3:4" x14ac:dyDescent="0.25">
      <c r="C20" s="3"/>
    </row>
  </sheetData>
  <hyperlinks>
    <hyperlink ref="C1" r:id="rId1"/>
    <hyperlink ref="C2" r:id="rId2"/>
    <hyperlink ref="C5" r:id="rId3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19</vt:i4>
      </vt:variant>
    </vt:vector>
  </HeadingPairs>
  <TitlesOfParts>
    <vt:vector size="29" baseType="lpstr">
      <vt:lpstr>Summary</vt:lpstr>
      <vt:lpstr>IA</vt:lpstr>
      <vt:lpstr>DAP</vt:lpstr>
      <vt:lpstr>ML</vt:lpstr>
      <vt:lpstr>USL</vt:lpstr>
      <vt:lpstr>VALIC-GMWB</vt:lpstr>
      <vt:lpstr>VALIC-VIX-DAP</vt:lpstr>
      <vt:lpstr>VIX</vt:lpstr>
      <vt:lpstr>GMAB</vt:lpstr>
      <vt:lpstr>Input</vt:lpstr>
      <vt:lpstr>ArchiveFolder</vt:lpstr>
      <vt:lpstr>CitiFileFolder</vt:lpstr>
      <vt:lpstr>CitiFutFileName</vt:lpstr>
      <vt:lpstr>CitiOptFileName</vt:lpstr>
      <vt:lpstr>FormFolder</vt:lpstr>
      <vt:lpstr>FutTickerCell</vt:lpstr>
      <vt:lpstr>IAFile</vt:lpstr>
      <vt:lpstr>IAFolder</vt:lpstr>
      <vt:lpstr>IAFORMDate</vt:lpstr>
      <vt:lpstr>IAOptCell</vt:lpstr>
      <vt:lpstr>IAOptFileName</vt:lpstr>
      <vt:lpstr>IAOptFolder</vt:lpstr>
      <vt:lpstr>IAOptSheet</vt:lpstr>
      <vt:lpstr>IAPosDate</vt:lpstr>
      <vt:lpstr>IAPosSheet</vt:lpstr>
      <vt:lpstr>InputStart</vt:lpstr>
      <vt:lpstr>OptTickerCell</vt:lpstr>
      <vt:lpstr>RiskRptPath</vt:lpstr>
      <vt:lpstr>SummaryStart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Li, Mei</cp:lastModifiedBy>
  <dcterms:created xsi:type="dcterms:W3CDTF">2006-09-16T00:00:00Z</dcterms:created>
  <dcterms:modified xsi:type="dcterms:W3CDTF">2015-11-06T16:42:35Z</dcterms:modified>
</cp:coreProperties>
</file>