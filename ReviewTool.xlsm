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105" windowWidth="24915" windowHeight="11565"/>
  </bookViews>
  <sheets>
    <sheet name="Run" sheetId="1" r:id="rId1"/>
    <sheet name="SPX Option Data" sheetId="26" r:id="rId2"/>
  </sheets>
  <functionGroups builtInGroupCount="17"/>
  <externalReferences>
    <externalReference r:id="rId3"/>
    <externalReference r:id="rId4"/>
  </externalReferences>
  <definedNames>
    <definedName name="BatesDataStart">Run!$B$13</definedName>
    <definedName name="BOP_Date" localSheetId="1">[1]Input!$B$2</definedName>
    <definedName name="BOP_Date">[2]Input!$B$2</definedName>
    <definedName name="Current_Date" localSheetId="1">[1]Input!$B$1</definedName>
    <definedName name="Current_Date">[2]Input!$B$1</definedName>
    <definedName name="DataDate">Run!$D$4</definedName>
    <definedName name="EmailContent">Run!$B$18</definedName>
    <definedName name="HestonDataStart">Run!$B$8</definedName>
  </definedNames>
  <calcPr calcId="145621"/>
</workbook>
</file>

<file path=xl/calcChain.xml><?xml version="1.0" encoding="utf-8"?>
<calcChain xmlns="http://schemas.openxmlformats.org/spreadsheetml/2006/main">
  <c r="D3" i="1" l="1"/>
  <c r="D4" i="1"/>
</calcChain>
</file>

<file path=xl/sharedStrings.xml><?xml version="1.0" encoding="utf-8"?>
<sst xmlns="http://schemas.openxmlformats.org/spreadsheetml/2006/main" count="2474" uniqueCount="1249">
  <si>
    <t>Data Date</t>
  </si>
  <si>
    <t>Today's Date</t>
  </si>
  <si>
    <t>Space Holder</t>
  </si>
  <si>
    <t>Call Tickers</t>
  </si>
  <si>
    <t>Put Tickers</t>
  </si>
  <si>
    <t>Expiry</t>
  </si>
  <si>
    <t>Strike</t>
  </si>
  <si>
    <t>Underlying Ticker</t>
  </si>
  <si>
    <t>Expiration Type</t>
  </si>
  <si>
    <t>Call Bid</t>
  </si>
  <si>
    <t>Call Mid</t>
  </si>
  <si>
    <t>Call Ask</t>
  </si>
  <si>
    <t>Put Bid</t>
  </si>
  <si>
    <t>Put Mid</t>
  </si>
  <si>
    <t>Put Ask</t>
  </si>
  <si>
    <t>Ind</t>
  </si>
  <si>
    <t>model r</t>
  </si>
  <si>
    <t>model q</t>
  </si>
  <si>
    <t>model vol</t>
  </si>
  <si>
    <t>Call Price</t>
  </si>
  <si>
    <t>Put Price</t>
  </si>
  <si>
    <t>Heston Put Price</t>
  </si>
  <si>
    <t>Heston Price Diff</t>
  </si>
  <si>
    <t>Bates Put Price</t>
  </si>
  <si>
    <t>Bates Price Diff</t>
  </si>
  <si>
    <t>SPX</t>
  </si>
  <si>
    <t>E</t>
  </si>
  <si>
    <t>SPX US 11/22/14 C1325 Index</t>
  </si>
  <si>
    <t>SPX US 11/22/14 P1325 Index</t>
  </si>
  <si>
    <t>SPX US 11/22/14 C1350 Index</t>
  </si>
  <si>
    <t>SPX US 11/22/14 P1350 Index</t>
  </si>
  <si>
    <t>SPX US 11/22/14 C1375 Index</t>
  </si>
  <si>
    <t>SPX US 11/22/14 P1375 Index</t>
  </si>
  <si>
    <t>SPX US 11/22/14 C1400 Index</t>
  </si>
  <si>
    <t>SPX US 11/22/14 P1400 Index</t>
  </si>
  <si>
    <t>SPX US 11/22/14 C1425 Index</t>
  </si>
  <si>
    <t>SPX US 11/22/14 P1425 Index</t>
  </si>
  <si>
    <t>SPX US 11/22/14 C1450 Index</t>
  </si>
  <si>
    <t>SPX US 11/22/14 P1450 Index</t>
  </si>
  <si>
    <t>SPX US 11/22/14 C1475 Index</t>
  </si>
  <si>
    <t>SPX US 11/22/14 P1475 Index</t>
  </si>
  <si>
    <t>SPX US 11/22/14 C1500 Index</t>
  </si>
  <si>
    <t>SPX US 11/22/14 P1500 Index</t>
  </si>
  <si>
    <t>SPX US 11/22/14 C1525 Index</t>
  </si>
  <si>
    <t>SPX US 11/22/14 P1525 Index</t>
  </si>
  <si>
    <t>SPX US 11/22/14 C1550 Index</t>
  </si>
  <si>
    <t>SPX US 11/22/14 P1550 Index</t>
  </si>
  <si>
    <t>SPX US 11/22/14 C1575 Index</t>
  </si>
  <si>
    <t>SPX US 11/22/14 P1575 Index</t>
  </si>
  <si>
    <t>SPX US 11/22/14 C1600 Index</t>
  </si>
  <si>
    <t>SPX US 11/22/14 P1600 Index</t>
  </si>
  <si>
    <t>SPX US 11/22/14 C1625 Index</t>
  </si>
  <si>
    <t>SPX US 11/22/14 P1625 Index</t>
  </si>
  <si>
    <t>SPX US 11/22/14 C1650 Index</t>
  </si>
  <si>
    <t>SPX US 11/22/14 P1650 Index</t>
  </si>
  <si>
    <t>SPX US 11/22/14 C1675 Index</t>
  </si>
  <si>
    <t>SPX US 11/22/14 P1675 Index</t>
  </si>
  <si>
    <t>SPX US 11/22/14 C1700 Index</t>
  </si>
  <si>
    <t>SPX US 11/22/14 P1700 Index</t>
  </si>
  <si>
    <t>SPX US 11/22/14 C1725 Index</t>
  </si>
  <si>
    <t>SPX US 11/22/14 P1725 Index</t>
  </si>
  <si>
    <t>SPX US 11/22/14 C1750 Index</t>
  </si>
  <si>
    <t>SPX US 11/22/14 P1750 Index</t>
  </si>
  <si>
    <t>SPX US 11/22/14 C1775 Index</t>
  </si>
  <si>
    <t>SPX US 11/22/14 P1775 Index</t>
  </si>
  <si>
    <t>SPX US 11/22/14 C1800 Index</t>
  </si>
  <si>
    <t>SPX US 11/22/14 P1800 Index</t>
  </si>
  <si>
    <t>SPX US 11/22/14 C1825 Index</t>
  </si>
  <si>
    <t>SPX US 11/22/14 P1825 Index</t>
  </si>
  <si>
    <t>SPX US 11/22/14 C1850 Index</t>
  </si>
  <si>
    <t>SPX US 11/22/14 P1850 Index</t>
  </si>
  <si>
    <t>SPX US 11/22/14 C1875 Index</t>
  </si>
  <si>
    <t>SPX US 11/22/14 P1875 Index</t>
  </si>
  <si>
    <t>SPX US 11/22/14 C1900 Index</t>
  </si>
  <si>
    <t>SPX US 11/22/14 P1900 Index</t>
  </si>
  <si>
    <t>SPX US 11/22/14 C1925 Index</t>
  </si>
  <si>
    <t>SPX US 11/22/14 P1925 Index</t>
  </si>
  <si>
    <t>SPX US 11/22/14 C1950 Index</t>
  </si>
  <si>
    <t>SPX US 11/22/14 P1950 Index</t>
  </si>
  <si>
    <t>SPX US 11/22/14 C1975 Index</t>
  </si>
  <si>
    <t>SPX US 11/22/14 P1975 Index</t>
  </si>
  <si>
    <t>SPX US 11/22/14 C2000 Index</t>
  </si>
  <si>
    <t>SPX US 11/22/14 P2000 Index</t>
  </si>
  <si>
    <t>SPX US 11/22/14 C2025 Index</t>
  </si>
  <si>
    <t>SPX US 11/22/14 P2025 Index</t>
  </si>
  <si>
    <t>SPX US 11/22/14 C2050 Index</t>
  </si>
  <si>
    <t>SPX US 11/22/14 P2050 Index</t>
  </si>
  <si>
    <t>SPX US 11/22/14 C2075 Index</t>
  </si>
  <si>
    <t>SPX US 11/22/14 P2075 Index</t>
  </si>
  <si>
    <t>SPX US 11/22/14 C2100 Index</t>
  </si>
  <si>
    <t>SPX US 11/22/14 P2100 Index</t>
  </si>
  <si>
    <t>SPX US 11/22/14 C2125 Index</t>
  </si>
  <si>
    <t>SPX US 11/22/14 P2125 Index</t>
  </si>
  <si>
    <t>SPX US 11/22/14 C2150 Index</t>
  </si>
  <si>
    <t>SPX US 11/22/14 P2150 Index</t>
  </si>
  <si>
    <t>SPX US 12/20/14 C1000 Index</t>
  </si>
  <si>
    <t>SPX US 12/20/14 P1000 Index</t>
  </si>
  <si>
    <t>SPX US 12/20/14 C1050 Index</t>
  </si>
  <si>
    <t>SPX US 12/20/14 P1050 Index</t>
  </si>
  <si>
    <t>SPX US 12/20/14 C1075 Index</t>
  </si>
  <si>
    <t>SPX US 12/20/14 P1075 Index</t>
  </si>
  <si>
    <t>SPX US 12/20/14 C1100 Index</t>
  </si>
  <si>
    <t>SPX US 12/20/14 P1100 Index</t>
  </si>
  <si>
    <t>SPX US 12/20/14 C1125 Index</t>
  </si>
  <si>
    <t>SPX US 12/20/14 P1125 Index</t>
  </si>
  <si>
    <t>SPX US 12/20/14 C1150 Index</t>
  </si>
  <si>
    <t>SPX US 12/20/14 P1150 Index</t>
  </si>
  <si>
    <t>SPX US 12/20/14 C1175 Index</t>
  </si>
  <si>
    <t>SPX US 12/20/14 P1175 Index</t>
  </si>
  <si>
    <t>SPX US 12/20/14 C1200 Index</t>
  </si>
  <si>
    <t>SPX US 12/20/14 P1200 Index</t>
  </si>
  <si>
    <t>SPX US 12/20/14 C1225 Index</t>
  </si>
  <si>
    <t>SPX US 12/20/14 P1225 Index</t>
  </si>
  <si>
    <t>SPX US 12/20/14 C1250 Index</t>
  </si>
  <si>
    <t>SPX US 12/20/14 P1250 Index</t>
  </si>
  <si>
    <t>SPX US 12/20/14 C1300 Index</t>
  </si>
  <si>
    <t>SPX US 12/20/14 P1300 Index</t>
  </si>
  <si>
    <t>SPX US 12/20/14 C1350 Index</t>
  </si>
  <si>
    <t>SPX US 12/20/14 P1350 Index</t>
  </si>
  <si>
    <t>SPX US 12/20/14 C1400 Index</t>
  </si>
  <si>
    <t>SPX US 12/20/14 P1400 Index</t>
  </si>
  <si>
    <t>SPX US 12/20/14 C1425 Index</t>
  </si>
  <si>
    <t>SPX US 12/20/14 P1425 Index</t>
  </si>
  <si>
    <t>SPX US 12/20/14 C1450 Index</t>
  </si>
  <si>
    <t>SPX US 12/20/14 P1450 Index</t>
  </si>
  <si>
    <t>SPX US 12/20/14 C1475 Index</t>
  </si>
  <si>
    <t>SPX US 12/20/14 P1475 Index</t>
  </si>
  <si>
    <t>SPX US 12/20/14 C1500 Index</t>
  </si>
  <si>
    <t>SPX US 12/20/14 P1500 Index</t>
  </si>
  <si>
    <t>SPX US 12/20/14 C1525 Index</t>
  </si>
  <si>
    <t>SPX US 12/20/14 P1525 Index</t>
  </si>
  <si>
    <t>SPX US 12/20/14 C1550 Index</t>
  </si>
  <si>
    <t>SPX US 12/20/14 P1550 Index</t>
  </si>
  <si>
    <t>SPX US 12/20/14 C1575 Index</t>
  </si>
  <si>
    <t>SPX US 12/20/14 P1575 Index</t>
  </si>
  <si>
    <t>SPX US 12/20/14 C1600 Index</t>
  </si>
  <si>
    <t>SPX US 12/20/14 P1600 Index</t>
  </si>
  <si>
    <t>SPX US 12/20/14 C1625 Index</t>
  </si>
  <si>
    <t>SPX US 12/20/14 P1625 Index</t>
  </si>
  <si>
    <t>SPX US 12/20/14 C1650 Index</t>
  </si>
  <si>
    <t>SPX US 12/20/14 P1650 Index</t>
  </si>
  <si>
    <t>SPX US 12/20/14 C1675 Index</t>
  </si>
  <si>
    <t>SPX US 12/20/14 P1675 Index</t>
  </si>
  <si>
    <t>SPX US 12/20/14 C1700 Index</t>
  </si>
  <si>
    <t>SPX US 12/20/14 P1700 Index</t>
  </si>
  <si>
    <t>SPX US 12/20/14 C1725 Index</t>
  </si>
  <si>
    <t>SPX US 12/20/14 P1725 Index</t>
  </si>
  <si>
    <t>SPX US 12/20/14 C1750 Index</t>
  </si>
  <si>
    <t>SPX US 12/20/14 P1750 Index</t>
  </si>
  <si>
    <t>SPX US 12/20/14 C1775 Index</t>
  </si>
  <si>
    <t>SPX US 12/20/14 P1775 Index</t>
  </si>
  <si>
    <t>SPX US 12/20/14 C1800 Index</t>
  </si>
  <si>
    <t>SPX US 12/20/14 P1800 Index</t>
  </si>
  <si>
    <t>SPX US 12/20/14 C1825 Index</t>
  </si>
  <si>
    <t>SPX US 12/20/14 P1825 Index</t>
  </si>
  <si>
    <t>SPX US 12/20/14 C1850 Index</t>
  </si>
  <si>
    <t>SPX US 12/20/14 P1850 Index</t>
  </si>
  <si>
    <t>SPX US 12/20/14 C1875 Index</t>
  </si>
  <si>
    <t>SPX US 12/20/14 P1875 Index</t>
  </si>
  <si>
    <t>SPX US 12/20/14 C1900 Index</t>
  </si>
  <si>
    <t>SPX US 12/20/14 P1900 Index</t>
  </si>
  <si>
    <t>SPX US 12/20/14 C1925 Index</t>
  </si>
  <si>
    <t>SPX US 12/20/14 P1925 Index</t>
  </si>
  <si>
    <t>SPX US 12/20/14 C1950 Index</t>
  </si>
  <si>
    <t>SPX US 12/20/14 P1950 Index</t>
  </si>
  <si>
    <t>SPX US 12/20/14 C1975 Index</t>
  </si>
  <si>
    <t>SPX US 12/20/14 P1975 Index</t>
  </si>
  <si>
    <t>SPX US 12/20/14 C2000 Index</t>
  </si>
  <si>
    <t>SPX US 12/20/14 P2000 Index</t>
  </si>
  <si>
    <t>SPX US 12/20/14 C2025 Index</t>
  </si>
  <si>
    <t>SPX US 12/20/14 P2025 Index</t>
  </si>
  <si>
    <t>SPX US 12/20/14 C2050 Index</t>
  </si>
  <si>
    <t>SPX US 12/20/14 P2050 Index</t>
  </si>
  <si>
    <t>SPX US 12/20/14 C2075 Index</t>
  </si>
  <si>
    <t>SPX US 12/20/14 P2075 Index</t>
  </si>
  <si>
    <t>SPX US 12/20/14 C2100 Index</t>
  </si>
  <si>
    <t>SPX US 12/20/14 P2100 Index</t>
  </si>
  <si>
    <t>SPX US 12/20/14 C2125 Index</t>
  </si>
  <si>
    <t>SPX US 12/20/14 P2125 Index</t>
  </si>
  <si>
    <t>SPX US 12/20/14 C2150 Index</t>
  </si>
  <si>
    <t>SPX US 12/20/14 P2150 Index</t>
  </si>
  <si>
    <t>SPX US 12/20/14 C2175 Index</t>
  </si>
  <si>
    <t>SPX US 12/20/14 P2175 Index</t>
  </si>
  <si>
    <t>SPX US 12/20/14 C2200 Index</t>
  </si>
  <si>
    <t>SPX US 12/20/14 P2200 Index</t>
  </si>
  <si>
    <t>SPX US 01/17/15 C800 Index</t>
  </si>
  <si>
    <t>SPX US 01/17/15 P800 Index</t>
  </si>
  <si>
    <t>SPX US 01/17/15 C950 Index</t>
  </si>
  <si>
    <t>SPX US 01/17/15 P950 Index</t>
  </si>
  <si>
    <t>SPX US 01/17/15 C1250 Index</t>
  </si>
  <si>
    <t>SPX US 01/17/15 P1250 Index</t>
  </si>
  <si>
    <t>SPX US 01/17/15 C1325 Index</t>
  </si>
  <si>
    <t>SPX US 01/17/15 P1325 Index</t>
  </si>
  <si>
    <t>SPX US 01/17/15 C1350 Index</t>
  </si>
  <si>
    <t>SPX US 01/17/15 P1350 Index</t>
  </si>
  <si>
    <t>SPX US 01/17/15 C1375 Index</t>
  </si>
  <si>
    <t>SPX US 01/17/15 P1375 Index</t>
  </si>
  <si>
    <t>SPX US 01/17/15 C1400 Index</t>
  </si>
  <si>
    <t>SPX US 01/17/15 P1400 Index</t>
  </si>
  <si>
    <t>SPX US 01/17/15 C1425 Index</t>
  </si>
  <si>
    <t>SPX US 01/17/15 P1425 Index</t>
  </si>
  <si>
    <t>SPX US 01/17/15 C1450 Index</t>
  </si>
  <si>
    <t>SPX US 01/17/15 P1450 Index</t>
  </si>
  <si>
    <t>SPX US 01/17/15 C1475 Index</t>
  </si>
  <si>
    <t>SPX US 01/17/15 P1475 Index</t>
  </si>
  <si>
    <t>SPX US 01/17/15 C1500 Index</t>
  </si>
  <si>
    <t>SPX US 01/17/15 P1500 Index</t>
  </si>
  <si>
    <t>SPX US 01/17/15 C1525 Index</t>
  </si>
  <si>
    <t>SPX US 01/17/15 P1525 Index</t>
  </si>
  <si>
    <t>SPX US 01/17/15 C1550 Index</t>
  </si>
  <si>
    <t>SPX US 01/17/15 P1550 Index</t>
  </si>
  <si>
    <t>SPX US 01/17/15 C1575 Index</t>
  </si>
  <si>
    <t>SPX US 01/17/15 P1575 Index</t>
  </si>
  <si>
    <t>SPX US 01/17/15 C1600 Index</t>
  </si>
  <si>
    <t>SPX US 01/17/15 P1600 Index</t>
  </si>
  <si>
    <t>SPX US 01/17/15 C1625 Index</t>
  </si>
  <si>
    <t>SPX US 01/17/15 P1625 Index</t>
  </si>
  <si>
    <t>SPX US 01/17/15 C1650 Index</t>
  </si>
  <si>
    <t>SPX US 01/17/15 P1650 Index</t>
  </si>
  <si>
    <t>SPX US 01/17/15 C1675 Index</t>
  </si>
  <si>
    <t>SPX US 01/17/15 P1675 Index</t>
  </si>
  <si>
    <t>SPX US 01/17/15 C1700 Index</t>
  </si>
  <si>
    <t>SPX US 01/17/15 P1700 Index</t>
  </si>
  <si>
    <t>SPX US 01/17/15 C1725 Index</t>
  </si>
  <si>
    <t>SPX US 01/17/15 P1725 Index</t>
  </si>
  <si>
    <t>SPX US 01/17/15 C1750 Index</t>
  </si>
  <si>
    <t>SPX US 01/17/15 P1750 Index</t>
  </si>
  <si>
    <t>SPX US 01/17/15 C1775 Index</t>
  </si>
  <si>
    <t>SPX US 01/17/15 P1775 Index</t>
  </si>
  <si>
    <t>SPX US 01/17/15 C1800 Index</t>
  </si>
  <si>
    <t>SPX US 01/17/15 P1800 Index</t>
  </si>
  <si>
    <t>SPX US 01/17/15 C1825 Index</t>
  </si>
  <si>
    <t>SPX US 01/17/15 P1825 Index</t>
  </si>
  <si>
    <t>SPX US 01/17/15 C1850 Index</t>
  </si>
  <si>
    <t>SPX US 01/17/15 P1850 Index</t>
  </si>
  <si>
    <t>SPX US 01/17/15 C1875 Index</t>
  </si>
  <si>
    <t>SPX US 01/17/15 P1875 Index</t>
  </si>
  <si>
    <t>SPX US 01/17/15 C1900 Index</t>
  </si>
  <si>
    <t>SPX US 01/17/15 P1900 Index</t>
  </si>
  <si>
    <t>SPX US 01/17/15 C1925 Index</t>
  </si>
  <si>
    <t>SPX US 01/17/15 P1925 Index</t>
  </si>
  <si>
    <t>SPX US 01/17/15 C1950 Index</t>
  </si>
  <si>
    <t>SPX US 01/17/15 P1950 Index</t>
  </si>
  <si>
    <t>SPX US 01/17/15 C1975 Index</t>
  </si>
  <si>
    <t>SPX US 01/17/15 P1975 Index</t>
  </si>
  <si>
    <t>SPX US 01/17/15 C2000 Index</t>
  </si>
  <si>
    <t>SPX US 01/17/15 P2000 Index</t>
  </si>
  <si>
    <t>SPX US 01/17/15 C2025 Index</t>
  </si>
  <si>
    <t>SPX US 01/17/15 P2025 Index</t>
  </si>
  <si>
    <t>SPX US 01/17/15 C2050 Index</t>
  </si>
  <si>
    <t>SPX US 01/17/15 P2050 Index</t>
  </si>
  <si>
    <t>SPX US 01/17/15 C2075 Index</t>
  </si>
  <si>
    <t>SPX US 01/17/15 P2075 Index</t>
  </si>
  <si>
    <t>SPX US 01/17/15 C2100 Index</t>
  </si>
  <si>
    <t>SPX US 01/17/15 P2100 Index</t>
  </si>
  <si>
    <t>SPX US 01/17/15 C2125 Index</t>
  </si>
  <si>
    <t>SPX US 01/17/15 P2125 Index</t>
  </si>
  <si>
    <t>SPX US 01/17/15 C2150 Index</t>
  </si>
  <si>
    <t>SPX US 01/17/15 P2150 Index</t>
  </si>
  <si>
    <t>SPX US 01/17/15 C2175 Index</t>
  </si>
  <si>
    <t>SPX US 01/17/15 P2175 Index</t>
  </si>
  <si>
    <t>SPX US 01/17/15 C2200 Index</t>
  </si>
  <si>
    <t>SPX US 01/17/15 P2200 Index</t>
  </si>
  <si>
    <t>SPX US 03/20/15 C800 Index</t>
  </si>
  <si>
    <t>SPX US 03/20/15 P800 Index</t>
  </si>
  <si>
    <t>SPX US 03/20/15 C900 Index</t>
  </si>
  <si>
    <t>SPX US 03/20/15 P900 Index</t>
  </si>
  <si>
    <t>SPX US 03/20/15 C1000 Index</t>
  </si>
  <si>
    <t>SPX US 03/20/15 P1000 Index</t>
  </si>
  <si>
    <t>SPX US 03/20/15 C1050 Index</t>
  </si>
  <si>
    <t>SPX US 03/20/15 P1050 Index</t>
  </si>
  <si>
    <t>SPX US 03/20/15 C1100 Index</t>
  </si>
  <si>
    <t>SPX US 03/20/15 P1100 Index</t>
  </si>
  <si>
    <t>SPX US 03/20/15 C1125 Index</t>
  </si>
  <si>
    <t>SPX US 03/20/15 P1125 Index</t>
  </si>
  <si>
    <t>SPX US 03/20/15 C1150 Index</t>
  </si>
  <si>
    <t>SPX US 03/20/15 P1150 Index</t>
  </si>
  <si>
    <t>SPX US 03/20/15 C1175 Index</t>
  </si>
  <si>
    <t>SPX US 03/20/15 P1175 Index</t>
  </si>
  <si>
    <t>SPX US 03/20/15 C1200 Index</t>
  </si>
  <si>
    <t>SPX US 03/20/15 P1200 Index</t>
  </si>
  <si>
    <t>SPX US 03/20/15 C1225 Index</t>
  </si>
  <si>
    <t>SPX US 03/20/15 P1225 Index</t>
  </si>
  <si>
    <t>SPX US 03/20/15 C1250 Index</t>
  </si>
  <si>
    <t>SPX US 03/20/15 P1250 Index</t>
  </si>
  <si>
    <t>SPX US 03/20/15 C1275 Index</t>
  </si>
  <si>
    <t>SPX US 03/20/15 P1275 Index</t>
  </si>
  <si>
    <t>SPX US 03/20/15 C1300 Index</t>
  </si>
  <si>
    <t>SPX US 03/20/15 P1300 Index</t>
  </si>
  <si>
    <t>SPX US 03/20/15 C1325 Index</t>
  </si>
  <si>
    <t>SPX US 03/20/15 P1325 Index</t>
  </si>
  <si>
    <t>SPX US 03/20/15 C1350 Index</t>
  </si>
  <si>
    <t>SPX US 03/20/15 P1350 Index</t>
  </si>
  <si>
    <t>SPX US 03/20/15 C1375 Index</t>
  </si>
  <si>
    <t>SPX US 03/20/15 P1375 Index</t>
  </si>
  <si>
    <t>SPX US 03/20/15 C1400 Index</t>
  </si>
  <si>
    <t>SPX US 03/20/15 P1400 Index</t>
  </si>
  <si>
    <t>SPX US 03/20/15 C1425 Index</t>
  </si>
  <si>
    <t>SPX US 03/20/15 P1425 Index</t>
  </si>
  <si>
    <t>SPX US 03/20/15 C1450 Index</t>
  </si>
  <si>
    <t>SPX US 03/20/15 P1450 Index</t>
  </si>
  <si>
    <t>SPX US 03/20/15 C1475 Index</t>
  </si>
  <si>
    <t>SPX US 03/20/15 P1475 Index</t>
  </si>
  <si>
    <t>SPX US 03/20/15 C1500 Index</t>
  </si>
  <si>
    <t>SPX US 03/20/15 P1500 Index</t>
  </si>
  <si>
    <t>SPX US 03/20/15 C1525 Index</t>
  </si>
  <si>
    <t>SPX US 03/20/15 P1525 Index</t>
  </si>
  <si>
    <t>SPX US 03/20/15 C1550 Index</t>
  </si>
  <si>
    <t>SPX US 03/20/15 P1550 Index</t>
  </si>
  <si>
    <t>SPX US 03/20/15 C1575 Index</t>
  </si>
  <si>
    <t>SPX US 03/20/15 P1575 Index</t>
  </si>
  <si>
    <t>SPX US 03/20/15 C1600 Index</t>
  </si>
  <si>
    <t>SPX US 03/20/15 P1600 Index</t>
  </si>
  <si>
    <t>SPX US 03/20/15 C1625 Index</t>
  </si>
  <si>
    <t>SPX US 03/20/15 P1625 Index</t>
  </si>
  <si>
    <t>SPX US 03/20/15 C1650 Index</t>
  </si>
  <si>
    <t>SPX US 03/20/15 P1650 Index</t>
  </si>
  <si>
    <t>SPX US 03/20/15 C1675 Index</t>
  </si>
  <si>
    <t>SPX US 03/20/15 P1675 Index</t>
  </si>
  <si>
    <t>SPX US 03/20/15 C1700 Index</t>
  </si>
  <si>
    <t>SPX US 03/20/15 P1700 Index</t>
  </si>
  <si>
    <t>SPX US 03/20/15 C1725 Index</t>
  </si>
  <si>
    <t>SPX US 03/20/15 P1725 Index</t>
  </si>
  <si>
    <t>SPX US 03/20/15 C1750 Index</t>
  </si>
  <si>
    <t>SPX US 03/20/15 P1750 Index</t>
  </si>
  <si>
    <t>SPX US 03/20/15 C1775 Index</t>
  </si>
  <si>
    <t>SPX US 03/20/15 P1775 Index</t>
  </si>
  <si>
    <t>SPX US 03/20/15 C1800 Index</t>
  </si>
  <si>
    <t>SPX US 03/20/15 P1800 Index</t>
  </si>
  <si>
    <t>SPX US 03/20/15 C1825 Index</t>
  </si>
  <si>
    <t>SPX US 03/20/15 P1825 Index</t>
  </si>
  <si>
    <t>SPX US 03/20/15 C1850 Index</t>
  </si>
  <si>
    <t>SPX US 03/20/15 P1850 Index</t>
  </si>
  <si>
    <t>SPX US 03/20/15 C1875 Index</t>
  </si>
  <si>
    <t>SPX US 03/20/15 P1875 Index</t>
  </si>
  <si>
    <t>SPX US 03/20/15 C1900 Index</t>
  </si>
  <si>
    <t>SPX US 03/20/15 P1900 Index</t>
  </si>
  <si>
    <t>SPX US 03/20/15 C1925 Index</t>
  </si>
  <si>
    <t>SPX US 03/20/15 P1925 Index</t>
  </si>
  <si>
    <t>SPX US 03/20/15 C1950 Index</t>
  </si>
  <si>
    <t>SPX US 03/20/15 P1950 Index</t>
  </si>
  <si>
    <t>SPX US 03/20/15 C1975 Index</t>
  </si>
  <si>
    <t>SPX US 03/20/15 P1975 Index</t>
  </si>
  <si>
    <t>SPX US 03/20/15 C2000 Index</t>
  </si>
  <si>
    <t>SPX US 03/20/15 P2000 Index</t>
  </si>
  <si>
    <t>SPX US 03/20/15 C2025 Index</t>
  </si>
  <si>
    <t>SPX US 03/20/15 P2025 Index</t>
  </si>
  <si>
    <t>SPX US 03/20/15 C2050 Index</t>
  </si>
  <si>
    <t>SPX US 03/20/15 P2050 Index</t>
  </si>
  <si>
    <t>SPX US 03/20/15 C2075 Index</t>
  </si>
  <si>
    <t>SPX US 03/20/15 P2075 Index</t>
  </si>
  <si>
    <t>SPX US 03/20/15 C2100 Index</t>
  </si>
  <si>
    <t>SPX US 03/20/15 P2100 Index</t>
  </si>
  <si>
    <t>SPX US 03/20/15 C2125 Index</t>
  </si>
  <si>
    <t>SPX US 03/20/15 P2125 Index</t>
  </si>
  <si>
    <t>SPX US 03/20/15 C2150 Index</t>
  </si>
  <si>
    <t>SPX US 03/20/15 P2150 Index</t>
  </si>
  <si>
    <t>SPX US 03/20/15 C2175 Index</t>
  </si>
  <si>
    <t>SPX US 03/20/15 P2175 Index</t>
  </si>
  <si>
    <t>SPX US 03/20/15 C2200 Index</t>
  </si>
  <si>
    <t>SPX US 03/20/15 P2200 Index</t>
  </si>
  <si>
    <t>SPX US 03/20/15 C2225 Index</t>
  </si>
  <si>
    <t>SPX US 03/20/15 P2225 Index</t>
  </si>
  <si>
    <t>SPX US 03/20/15 C2250 Index</t>
  </si>
  <si>
    <t>SPX US 03/20/15 P2250 Index</t>
  </si>
  <si>
    <t>SPX US 03/20/15 C2275 Index</t>
  </si>
  <si>
    <t>SPX US 03/20/15 P2275 Index</t>
  </si>
  <si>
    <t>SPX US 03/20/15 C2300 Index</t>
  </si>
  <si>
    <t>SPX US 03/20/15 P2300 Index</t>
  </si>
  <si>
    <t>SPX US 03/20/15 C2400 Index</t>
  </si>
  <si>
    <t>SPX US 03/20/15 P2400 Index</t>
  </si>
  <si>
    <t>SPX US 06/19/15 C600 Index</t>
  </si>
  <si>
    <t>SPX US 06/19/15 P600 Index</t>
  </si>
  <si>
    <t>SPX US 06/19/15 C700 Index</t>
  </si>
  <si>
    <t>SPX US 06/19/15 P700 Index</t>
  </si>
  <si>
    <t>SPX US 06/19/15 C750 Index</t>
  </si>
  <si>
    <t>SPX US 06/19/15 P750 Index</t>
  </si>
  <si>
    <t>SPX US 06/19/15 C775 Index</t>
  </si>
  <si>
    <t>SPX US 06/19/15 P775 Index</t>
  </si>
  <si>
    <t>SPX US 06/19/15 C800 Index</t>
  </si>
  <si>
    <t>SPX US 06/19/15 P800 Index</t>
  </si>
  <si>
    <t>SPX US 06/19/15 C825 Index</t>
  </si>
  <si>
    <t>SPX US 06/19/15 P825 Index</t>
  </si>
  <si>
    <t>SPX US 06/19/15 C850 Index</t>
  </si>
  <si>
    <t>SPX US 06/19/15 P850 Index</t>
  </si>
  <si>
    <t>SPX US 06/19/15 C875 Index</t>
  </si>
  <si>
    <t>SPX US 06/19/15 P875 Index</t>
  </si>
  <si>
    <t>SPX US 06/19/15 C900 Index</t>
  </si>
  <si>
    <t>SPX US 06/19/15 P900 Index</t>
  </si>
  <si>
    <t>SPX US 06/19/15 C925 Index</t>
  </si>
  <si>
    <t>SPX US 06/19/15 P925 Index</t>
  </si>
  <si>
    <t>SPX US 06/19/15 C950 Index</t>
  </si>
  <si>
    <t>SPX US 06/19/15 P950 Index</t>
  </si>
  <si>
    <t>SPX US 06/19/15 C975 Index</t>
  </si>
  <si>
    <t>SPX US 06/19/15 P975 Index</t>
  </si>
  <si>
    <t>SPX US 06/19/15 C1000 Index</t>
  </si>
  <si>
    <t>SPX US 06/19/15 P1000 Index</t>
  </si>
  <si>
    <t>SPX US 06/19/15 C1025 Index</t>
  </si>
  <si>
    <t>SPX US 06/19/15 P1025 Index</t>
  </si>
  <si>
    <t>SPX US 06/19/15 C1050 Index</t>
  </si>
  <si>
    <t>SPX US 06/19/15 P1050 Index</t>
  </si>
  <si>
    <t>SPX US 06/19/15 C1075 Index</t>
  </si>
  <si>
    <t>SPX US 06/19/15 P1075 Index</t>
  </si>
  <si>
    <t>SPX US 06/19/15 C1100 Index</t>
  </si>
  <si>
    <t>SPX US 06/19/15 P1100 Index</t>
  </si>
  <si>
    <t>SPX US 06/19/15 C1125 Index</t>
  </si>
  <si>
    <t>SPX US 06/19/15 P1125 Index</t>
  </si>
  <si>
    <t>SPX US 06/19/15 C1150 Index</t>
  </si>
  <si>
    <t>SPX US 06/19/15 P1150 Index</t>
  </si>
  <si>
    <t>SPX US 06/19/15 C1175 Index</t>
  </si>
  <si>
    <t>SPX US 06/19/15 P1175 Index</t>
  </si>
  <si>
    <t>SPX US 06/19/15 C1200 Index</t>
  </si>
  <si>
    <t>SPX US 06/19/15 P1200 Index</t>
  </si>
  <si>
    <t>SPX US 06/19/15 C1225 Index</t>
  </si>
  <si>
    <t>SPX US 06/19/15 P1225 Index</t>
  </si>
  <si>
    <t>SPX US 06/19/15 C1250 Index</t>
  </si>
  <si>
    <t>SPX US 06/19/15 P1250 Index</t>
  </si>
  <si>
    <t>SPX US 06/19/15 C1275 Index</t>
  </si>
  <si>
    <t>SPX US 06/19/15 P1275 Index</t>
  </si>
  <si>
    <t>SPX US 06/19/15 C1300 Index</t>
  </si>
  <si>
    <t>SPX US 06/19/15 P1300 Index</t>
  </si>
  <si>
    <t>SPX US 06/19/15 C1325 Index</t>
  </si>
  <si>
    <t>SPX US 06/19/15 P1325 Index</t>
  </si>
  <si>
    <t>SPX US 06/19/15 C1350 Index</t>
  </si>
  <si>
    <t>SPX US 06/19/15 P1350 Index</t>
  </si>
  <si>
    <t>SPX US 06/19/15 C1375 Index</t>
  </si>
  <si>
    <t>SPX US 06/19/15 P1375 Index</t>
  </si>
  <si>
    <t>SPX US 06/19/15 C1400 Index</t>
  </si>
  <si>
    <t>SPX US 06/19/15 P1400 Index</t>
  </si>
  <si>
    <t>SPX US 06/19/15 C1425 Index</t>
  </si>
  <si>
    <t>SPX US 06/19/15 P1425 Index</t>
  </si>
  <si>
    <t>SPX US 06/19/15 C1450 Index</t>
  </si>
  <si>
    <t>SPX US 06/19/15 P1450 Index</t>
  </si>
  <si>
    <t>SPX US 06/19/15 C1475 Index</t>
  </si>
  <si>
    <t>SPX US 06/19/15 P1475 Index</t>
  </si>
  <si>
    <t>SPX US 06/19/15 C1500 Index</t>
  </si>
  <si>
    <t>SPX US 06/19/15 P1500 Index</t>
  </si>
  <si>
    <t>SPX US 06/19/15 C1525 Index</t>
  </si>
  <si>
    <t>SPX US 06/19/15 P1525 Index</t>
  </si>
  <si>
    <t>SPX US 06/19/15 C1550 Index</t>
  </si>
  <si>
    <t>SPX US 06/19/15 P1550 Index</t>
  </si>
  <si>
    <t>SPX US 06/19/15 C1575 Index</t>
  </si>
  <si>
    <t>SPX US 06/19/15 P1575 Index</t>
  </si>
  <si>
    <t>SPX US 06/19/15 C1600 Index</t>
  </si>
  <si>
    <t>SPX US 06/19/15 P1600 Index</t>
  </si>
  <si>
    <t>SPX US 06/19/15 C1625 Index</t>
  </si>
  <si>
    <t>SPX US 06/19/15 P1625 Index</t>
  </si>
  <si>
    <t>SPX US 06/19/15 C1650 Index</t>
  </si>
  <si>
    <t>SPX US 06/19/15 P1650 Index</t>
  </si>
  <si>
    <t>SPX US 06/19/15 C1675 Index</t>
  </si>
  <si>
    <t>SPX US 06/19/15 P1675 Index</t>
  </si>
  <si>
    <t>SPX US 06/19/15 C1700 Index</t>
  </si>
  <si>
    <t>SPX US 06/19/15 P1700 Index</t>
  </si>
  <si>
    <t>SPX US 06/19/15 C1725 Index</t>
  </si>
  <si>
    <t>SPX US 06/19/15 P1725 Index</t>
  </si>
  <si>
    <t>SPX US 06/19/15 C1750 Index</t>
  </si>
  <si>
    <t>SPX US 06/19/15 P1750 Index</t>
  </si>
  <si>
    <t>SPX US 06/19/15 C1775 Index</t>
  </si>
  <si>
    <t>SPX US 06/19/15 P1775 Index</t>
  </si>
  <si>
    <t>SPX US 06/19/15 C1800 Index</t>
  </si>
  <si>
    <t>SPX US 06/19/15 P1800 Index</t>
  </si>
  <si>
    <t>SPX US 06/19/15 C1825 Index</t>
  </si>
  <si>
    <t>SPX US 06/19/15 P1825 Index</t>
  </si>
  <si>
    <t>SPX US 06/19/15 C1850 Index</t>
  </si>
  <si>
    <t>SPX US 06/19/15 P1850 Index</t>
  </si>
  <si>
    <t>SPX US 06/19/15 C1875 Index</t>
  </si>
  <si>
    <t>SPX US 06/19/15 P1875 Index</t>
  </si>
  <si>
    <t>SPX US 06/19/15 C1900 Index</t>
  </si>
  <si>
    <t>SPX US 06/19/15 P1900 Index</t>
  </si>
  <si>
    <t>SPX US 06/19/15 C1925 Index</t>
  </si>
  <si>
    <t>SPX US 06/19/15 P1925 Index</t>
  </si>
  <si>
    <t>SPX US 06/19/15 C1950 Index</t>
  </si>
  <si>
    <t>SPX US 06/19/15 P1950 Index</t>
  </si>
  <si>
    <t>SPX US 06/19/15 C1975 Index</t>
  </si>
  <si>
    <t>SPX US 06/19/15 P1975 Index</t>
  </si>
  <si>
    <t>SPX US 06/19/15 C2000 Index</t>
  </si>
  <si>
    <t>SPX US 06/19/15 P2000 Index</t>
  </si>
  <si>
    <t>SPX US 06/19/15 C2025 Index</t>
  </si>
  <si>
    <t>SPX US 06/19/15 P2025 Index</t>
  </si>
  <si>
    <t>SPX US 06/19/15 C2050 Index</t>
  </si>
  <si>
    <t>SPX US 06/19/15 P2050 Index</t>
  </si>
  <si>
    <t>SPX US 06/19/15 C2075 Index</t>
  </si>
  <si>
    <t>SPX US 06/19/15 P2075 Index</t>
  </si>
  <si>
    <t>SPX US 06/19/15 C2100 Index</t>
  </si>
  <si>
    <t>SPX US 06/19/15 P2100 Index</t>
  </si>
  <si>
    <t>SPX US 06/19/15 C2125 Index</t>
  </si>
  <si>
    <t>SPX US 06/19/15 P2125 Index</t>
  </si>
  <si>
    <t>SPX US 06/19/15 C2150 Index</t>
  </si>
  <si>
    <t>SPX US 06/19/15 P2150 Index</t>
  </si>
  <si>
    <t>SPX US 06/19/15 C2175 Index</t>
  </si>
  <si>
    <t>SPX US 06/19/15 P2175 Index</t>
  </si>
  <si>
    <t>SPX US 06/19/15 C2200 Index</t>
  </si>
  <si>
    <t>SPX US 06/19/15 P2200 Index</t>
  </si>
  <si>
    <t>SPX US 06/19/15 C2225 Index</t>
  </si>
  <si>
    <t>SPX US 06/19/15 P2225 Index</t>
  </si>
  <si>
    <t>SPX US 06/19/15 C2250 Index</t>
  </si>
  <si>
    <t>SPX US 06/19/15 P2250 Index</t>
  </si>
  <si>
    <t>SPX US 06/19/15 C2275 Index</t>
  </si>
  <si>
    <t>SPX US 06/19/15 P2275 Index</t>
  </si>
  <si>
    <t>SPX US 06/19/15 C2300 Index</t>
  </si>
  <si>
    <t>SPX US 06/19/15 P2300 Index</t>
  </si>
  <si>
    <t>SPX US 06/19/15 C2400 Index</t>
  </si>
  <si>
    <t>SPX US 06/19/15 P2400 Index</t>
  </si>
  <si>
    <t>SPX US 06/19/15 C2500 Index</t>
  </si>
  <si>
    <t>SPX US 06/19/15 P2500 Index</t>
  </si>
  <si>
    <t>SPX US 09/18/15 C600 Index</t>
  </si>
  <si>
    <t>SPX US 09/18/15 P600 Index</t>
  </si>
  <si>
    <t>SPX US 09/18/15 C700 Index</t>
  </si>
  <si>
    <t>SPX US 09/18/15 P700 Index</t>
  </si>
  <si>
    <t>SPX US 09/18/15 C750 Index</t>
  </si>
  <si>
    <t>SPX US 09/18/15 P750 Index</t>
  </si>
  <si>
    <t>SPX US 09/18/15 C800 Index</t>
  </si>
  <si>
    <t>SPX US 09/18/15 P800 Index</t>
  </si>
  <si>
    <t>SPX US 09/18/15 C825 Index</t>
  </si>
  <si>
    <t>SPX US 09/18/15 P825 Index</t>
  </si>
  <si>
    <t>SPX US 09/18/15 C850 Index</t>
  </si>
  <si>
    <t>SPX US 09/18/15 P850 Index</t>
  </si>
  <si>
    <t>SPX US 09/18/15 C875 Index</t>
  </si>
  <si>
    <t>SPX US 09/18/15 P875 Index</t>
  </si>
  <si>
    <t>SPX US 09/18/15 C900 Index</t>
  </si>
  <si>
    <t>SPX US 09/18/15 P900 Index</t>
  </si>
  <si>
    <t>SPX US 09/18/15 C925 Index</t>
  </si>
  <si>
    <t>SPX US 09/18/15 P925 Index</t>
  </si>
  <si>
    <t>SPX US 09/18/15 C950 Index</t>
  </si>
  <si>
    <t>SPX US 09/18/15 P950 Index</t>
  </si>
  <si>
    <t>SPX US 09/18/15 C975 Index</t>
  </si>
  <si>
    <t>SPX US 09/18/15 P975 Index</t>
  </si>
  <si>
    <t>SPX US 09/18/15 C1000 Index</t>
  </si>
  <si>
    <t>SPX US 09/18/15 P1000 Index</t>
  </si>
  <si>
    <t>SPX US 09/18/15 C1025 Index</t>
  </si>
  <si>
    <t>SPX US 09/18/15 P1025 Index</t>
  </si>
  <si>
    <t>SPX US 09/18/15 C1050 Index</t>
  </si>
  <si>
    <t>SPX US 09/18/15 P1050 Index</t>
  </si>
  <si>
    <t>SPX US 09/18/15 C1075 Index</t>
  </si>
  <si>
    <t>SPX US 09/18/15 P1075 Index</t>
  </si>
  <si>
    <t>SPX US 09/18/15 C1100 Index</t>
  </si>
  <si>
    <t>SPX US 09/18/15 P1100 Index</t>
  </si>
  <si>
    <t>SPX US 09/18/15 C1125 Index</t>
  </si>
  <si>
    <t>SPX US 09/18/15 P1125 Index</t>
  </si>
  <si>
    <t>SPX US 09/18/15 C1150 Index</t>
  </si>
  <si>
    <t>SPX US 09/18/15 P1150 Index</t>
  </si>
  <si>
    <t>SPX US 09/18/15 C1175 Index</t>
  </si>
  <si>
    <t>SPX US 09/18/15 P1175 Index</t>
  </si>
  <si>
    <t>SPX US 09/18/15 C1200 Index</t>
  </si>
  <si>
    <t>SPX US 09/18/15 P1200 Index</t>
  </si>
  <si>
    <t>SPX US 09/18/15 C1225 Index</t>
  </si>
  <si>
    <t>SPX US 09/18/15 P1225 Index</t>
  </si>
  <si>
    <t>SPX US 09/18/15 C1250 Index</t>
  </si>
  <si>
    <t>SPX US 09/18/15 P1250 Index</t>
  </si>
  <si>
    <t>SPX US 09/18/15 C1275 Index</t>
  </si>
  <si>
    <t>SPX US 09/18/15 P1275 Index</t>
  </si>
  <si>
    <t>SPX US 09/18/15 C1300 Index</t>
  </si>
  <si>
    <t>SPX US 09/18/15 P1300 Index</t>
  </si>
  <si>
    <t>SPX US 09/18/15 C1325 Index</t>
  </si>
  <si>
    <t>SPX US 09/18/15 P1325 Index</t>
  </si>
  <si>
    <t>SPX US 09/18/15 C1350 Index</t>
  </si>
  <si>
    <t>SPX US 09/18/15 P1350 Index</t>
  </si>
  <si>
    <t>SPX US 09/18/15 C1375 Index</t>
  </si>
  <si>
    <t>SPX US 09/18/15 P1375 Index</t>
  </si>
  <si>
    <t>SPX US 09/18/15 C1400 Index</t>
  </si>
  <si>
    <t>SPX US 09/18/15 P1400 Index</t>
  </si>
  <si>
    <t>SPX US 09/18/15 C1425 Index</t>
  </si>
  <si>
    <t>SPX US 09/18/15 P1425 Index</t>
  </si>
  <si>
    <t>SPX US 09/18/15 C1450 Index</t>
  </si>
  <si>
    <t>SPX US 09/18/15 P1450 Index</t>
  </si>
  <si>
    <t>SPX US 09/18/15 C1475 Index</t>
  </si>
  <si>
    <t>SPX US 09/18/15 P1475 Index</t>
  </si>
  <si>
    <t>SPX US 09/18/15 C1500 Index</t>
  </si>
  <si>
    <t>SPX US 09/18/15 P1500 Index</t>
  </si>
  <si>
    <t>SPX US 09/18/15 C1525 Index</t>
  </si>
  <si>
    <t>SPX US 09/18/15 P1525 Index</t>
  </si>
  <si>
    <t>SPX US 09/18/15 C1550 Index</t>
  </si>
  <si>
    <t>SPX US 09/18/15 P1550 Index</t>
  </si>
  <si>
    <t>SPX US 09/18/15 C1575 Index</t>
  </si>
  <si>
    <t>SPX US 09/18/15 P1575 Index</t>
  </si>
  <si>
    <t>SPX US 09/18/15 C1600 Index</t>
  </si>
  <si>
    <t>SPX US 09/18/15 P1600 Index</t>
  </si>
  <si>
    <t>SPX US 09/18/15 C1625 Index</t>
  </si>
  <si>
    <t>SPX US 09/18/15 P1625 Index</t>
  </si>
  <si>
    <t>SPX US 09/18/15 C1650 Index</t>
  </si>
  <si>
    <t>SPX US 09/18/15 P1650 Index</t>
  </si>
  <si>
    <t>SPX US 09/18/15 C1675 Index</t>
  </si>
  <si>
    <t>SPX US 09/18/15 P1675 Index</t>
  </si>
  <si>
    <t>SPX US 09/18/15 C1700 Index</t>
  </si>
  <si>
    <t>SPX US 09/18/15 P1700 Index</t>
  </si>
  <si>
    <t>SPX US 09/18/15 C1725 Index</t>
  </si>
  <si>
    <t>SPX US 09/18/15 P1725 Index</t>
  </si>
  <si>
    <t>SPX US 09/18/15 C1750 Index</t>
  </si>
  <si>
    <t>SPX US 09/18/15 P1750 Index</t>
  </si>
  <si>
    <t>SPX US 09/18/15 C1775 Index</t>
  </si>
  <si>
    <t>SPX US 09/18/15 P1775 Index</t>
  </si>
  <si>
    <t>SPX US 09/18/15 C1800 Index</t>
  </si>
  <si>
    <t>SPX US 09/18/15 P1800 Index</t>
  </si>
  <si>
    <t>SPX US 09/18/15 C1825 Index</t>
  </si>
  <si>
    <t>SPX US 09/18/15 P1825 Index</t>
  </si>
  <si>
    <t>SPX US 09/18/15 C1850 Index</t>
  </si>
  <si>
    <t>SPX US 09/18/15 P1850 Index</t>
  </si>
  <si>
    <t>SPX US 09/18/15 C1875 Index</t>
  </si>
  <si>
    <t>SPX US 09/18/15 P1875 Index</t>
  </si>
  <si>
    <t>SPX US 09/18/15 C1900 Index</t>
  </si>
  <si>
    <t>SPX US 09/18/15 P1900 Index</t>
  </si>
  <si>
    <t>SPX US 09/18/15 C1925 Index</t>
  </si>
  <si>
    <t>SPX US 09/18/15 P1925 Index</t>
  </si>
  <si>
    <t>SPX US 09/18/15 C1950 Index</t>
  </si>
  <si>
    <t>SPX US 09/18/15 P1950 Index</t>
  </si>
  <si>
    <t>SPX US 09/18/15 C1975 Index</t>
  </si>
  <si>
    <t>SPX US 09/18/15 P1975 Index</t>
  </si>
  <si>
    <t>SPX US 09/18/15 C2000 Index</t>
  </si>
  <si>
    <t>SPX US 09/18/15 P2000 Index</t>
  </si>
  <si>
    <t>SPX US 09/18/15 C2025 Index</t>
  </si>
  <si>
    <t>SPX US 09/18/15 P2025 Index</t>
  </si>
  <si>
    <t>SPX US 09/18/15 C2050 Index</t>
  </si>
  <si>
    <t>SPX US 09/18/15 P2050 Index</t>
  </si>
  <si>
    <t>SPX US 09/18/15 C2075 Index</t>
  </si>
  <si>
    <t>SPX US 09/18/15 P2075 Index</t>
  </si>
  <si>
    <t>SPX US 09/18/15 C2100 Index</t>
  </si>
  <si>
    <t>SPX US 09/18/15 P2100 Index</t>
  </si>
  <si>
    <t>SPX US 09/18/15 C2125 Index</t>
  </si>
  <si>
    <t>SPX US 09/18/15 P2125 Index</t>
  </si>
  <si>
    <t>SPX US 09/18/15 C2150 Index</t>
  </si>
  <si>
    <t>SPX US 09/18/15 P2150 Index</t>
  </si>
  <si>
    <t>SPX US 09/18/15 C2175 Index</t>
  </si>
  <si>
    <t>SPX US 09/18/15 P2175 Index</t>
  </si>
  <si>
    <t>SPX US 09/18/15 C2200 Index</t>
  </si>
  <si>
    <t>SPX US 09/18/15 P2200 Index</t>
  </si>
  <si>
    <t>SPX US 09/18/15 C2225 Index</t>
  </si>
  <si>
    <t>SPX US 09/18/15 P2225 Index</t>
  </si>
  <si>
    <t>SPX US 09/18/15 C2250 Index</t>
  </si>
  <si>
    <t>SPX US 09/18/15 P2250 Index</t>
  </si>
  <si>
    <t>SPX US 09/18/15 C2275 Index</t>
  </si>
  <si>
    <t>SPX US 09/18/15 P2275 Index</t>
  </si>
  <si>
    <t>SPX US 09/18/15 C2300 Index</t>
  </si>
  <si>
    <t>SPX US 09/18/15 P2300 Index</t>
  </si>
  <si>
    <t>SPX US 09/18/15 C2350 Index</t>
  </si>
  <si>
    <t>SPX US 09/18/15 P2350 Index</t>
  </si>
  <si>
    <t>SPX US 09/18/15 C2400 Index</t>
  </si>
  <si>
    <t>SPX US 09/18/15 P2400 Index</t>
  </si>
  <si>
    <t>SPX US 09/18/15 C2500 Index</t>
  </si>
  <si>
    <t>SPX US 09/18/15 P2500 Index</t>
  </si>
  <si>
    <t>SPX US 12/19/15 C300 Index</t>
  </si>
  <si>
    <t>SPX US 12/19/15 P300 Index</t>
  </si>
  <si>
    <t>SPX US 12/19/15 C400 Index</t>
  </si>
  <si>
    <t>SPX US 12/19/15 P400 Index</t>
  </si>
  <si>
    <t>SPX US 12/19/15 C500 Index</t>
  </si>
  <si>
    <t>SPX US 12/19/15 P500 Index</t>
  </si>
  <si>
    <t>SPX US 12/19/15 C550 Index</t>
  </si>
  <si>
    <t>SPX US 12/19/15 P550 Index</t>
  </si>
  <si>
    <t>SPX US 12/19/15 C600 Index</t>
  </si>
  <si>
    <t>SPX US 12/19/15 P600 Index</t>
  </si>
  <si>
    <t>SPX US 12/19/15 C650 Index</t>
  </si>
  <si>
    <t>SPX US 12/19/15 P650 Index</t>
  </si>
  <si>
    <t>SPX US 12/19/15 C700 Index</t>
  </si>
  <si>
    <t>SPX US 12/19/15 P700 Index</t>
  </si>
  <si>
    <t>SPX US 12/19/15 C750 Index</t>
  </si>
  <si>
    <t>SPX US 12/19/15 P750 Index</t>
  </si>
  <si>
    <t>SPX US 12/19/15 C800 Index</t>
  </si>
  <si>
    <t>SPX US 12/19/15 P800 Index</t>
  </si>
  <si>
    <t>SPX US 12/19/15 C850 Index</t>
  </si>
  <si>
    <t>SPX US 12/19/15 P850 Index</t>
  </si>
  <si>
    <t>SPX US 12/19/15 C900 Index</t>
  </si>
  <si>
    <t>SPX US 12/19/15 P900 Index</t>
  </si>
  <si>
    <t>SPX US 12/19/15 C950 Index</t>
  </si>
  <si>
    <t>SPX US 12/19/15 P950 Index</t>
  </si>
  <si>
    <t>SPX US 12/19/15 C975 Index</t>
  </si>
  <si>
    <t>SPX US 12/19/15 P975 Index</t>
  </si>
  <si>
    <t>SPX US 12/19/15 C1000 Index</t>
  </si>
  <si>
    <t>SPX US 12/19/15 P1000 Index</t>
  </si>
  <si>
    <t>SPX US 12/19/15 C1025 Index</t>
  </si>
  <si>
    <t>SPX US 12/19/15 P1025 Index</t>
  </si>
  <si>
    <t>SPX US 12/19/15 C1050 Index</t>
  </si>
  <si>
    <t>SPX US 12/19/15 P1050 Index</t>
  </si>
  <si>
    <t>SPX US 12/19/15 C1075 Index</t>
  </si>
  <si>
    <t>SPX US 12/19/15 P1075 Index</t>
  </si>
  <si>
    <t>SPX US 12/19/15 C1100 Index</t>
  </si>
  <si>
    <t>SPX US 12/19/15 P1100 Index</t>
  </si>
  <si>
    <t>SPX US 12/19/15 C1125 Index</t>
  </si>
  <si>
    <t>SPX US 12/19/15 P1125 Index</t>
  </si>
  <si>
    <t>SPX US 12/19/15 C1150 Index</t>
  </si>
  <si>
    <t>SPX US 12/19/15 P1150 Index</t>
  </si>
  <si>
    <t>SPX US 12/19/15 C1175 Index</t>
  </si>
  <si>
    <t>SPX US 12/19/15 P1175 Index</t>
  </si>
  <si>
    <t>SPX US 12/19/15 C1200 Index</t>
  </si>
  <si>
    <t>SPX US 12/19/15 P1200 Index</t>
  </si>
  <si>
    <t>SPX US 12/19/15 C1225 Index</t>
  </si>
  <si>
    <t>SPX US 12/19/15 P1225 Index</t>
  </si>
  <si>
    <t>SPX US 12/19/15 C1250 Index</t>
  </si>
  <si>
    <t>SPX US 12/19/15 P1250 Index</t>
  </si>
  <si>
    <t>SPX US 12/19/15 C1275 Index</t>
  </si>
  <si>
    <t>SPX US 12/19/15 P1275 Index</t>
  </si>
  <si>
    <t>SPX US 12/19/15 C1300 Index</t>
  </si>
  <si>
    <t>SPX US 12/19/15 P1300 Index</t>
  </si>
  <si>
    <t>SPX US 12/19/15 C1325 Index</t>
  </si>
  <si>
    <t>SPX US 12/19/15 P1325 Index</t>
  </si>
  <si>
    <t>SPX US 12/19/15 C1350 Index</t>
  </si>
  <si>
    <t>SPX US 12/19/15 P1350 Index</t>
  </si>
  <si>
    <t>SPX US 12/19/15 C1375 Index</t>
  </si>
  <si>
    <t>SPX US 12/19/15 P1375 Index</t>
  </si>
  <si>
    <t>SPX US 12/19/15 C1400 Index</t>
  </si>
  <si>
    <t>SPX US 12/19/15 P1400 Index</t>
  </si>
  <si>
    <t>SPX US 12/19/15 C1425 Index</t>
  </si>
  <si>
    <t>SPX US 12/19/15 P1425 Index</t>
  </si>
  <si>
    <t>SPX US 12/19/15 C1450 Index</t>
  </si>
  <si>
    <t>SPX US 12/19/15 P1450 Index</t>
  </si>
  <si>
    <t>SPX US 12/19/15 C1475 Index</t>
  </si>
  <si>
    <t>SPX US 12/19/15 P1475 Index</t>
  </si>
  <si>
    <t>SPX US 12/19/15 C1500 Index</t>
  </si>
  <si>
    <t>SPX US 12/19/15 P1500 Index</t>
  </si>
  <si>
    <t>SPX US 12/19/15 C1525 Index</t>
  </si>
  <si>
    <t>SPX US 12/19/15 P1525 Index</t>
  </si>
  <si>
    <t>SPX US 12/19/15 C1550 Index</t>
  </si>
  <si>
    <t>SPX US 12/19/15 P1550 Index</t>
  </si>
  <si>
    <t>SPX US 12/19/15 C1575 Index</t>
  </si>
  <si>
    <t>SPX US 12/19/15 P1575 Index</t>
  </si>
  <si>
    <t>SPX US 12/19/15 C1600 Index</t>
  </si>
  <si>
    <t>SPX US 12/19/15 P1600 Index</t>
  </si>
  <si>
    <t>SPX US 12/19/15 C1625 Index</t>
  </si>
  <si>
    <t>SPX US 12/19/15 P1625 Index</t>
  </si>
  <si>
    <t>SPX US 12/19/15 C1650 Index</t>
  </si>
  <si>
    <t>SPX US 12/19/15 P1650 Index</t>
  </si>
  <si>
    <t>SPX US 12/19/15 C1675 Index</t>
  </si>
  <si>
    <t>SPX US 12/19/15 P1675 Index</t>
  </si>
  <si>
    <t>SPX US 12/19/15 C1700 Index</t>
  </si>
  <si>
    <t>SPX US 12/19/15 P1700 Index</t>
  </si>
  <si>
    <t>SPX US 12/19/15 C1725 Index</t>
  </si>
  <si>
    <t>SPX US 12/19/15 P1725 Index</t>
  </si>
  <si>
    <t>SPX US 12/19/15 C1750 Index</t>
  </si>
  <si>
    <t>SPX US 12/19/15 P1750 Index</t>
  </si>
  <si>
    <t>SPX US 12/19/15 C1775 Index</t>
  </si>
  <si>
    <t>SPX US 12/19/15 P1775 Index</t>
  </si>
  <si>
    <t>SPX US 12/19/15 C1800 Index</t>
  </si>
  <si>
    <t>SPX US 12/19/15 P1800 Index</t>
  </si>
  <si>
    <t>SPX US 12/19/15 C1825 Index</t>
  </si>
  <si>
    <t>SPX US 12/19/15 P1825 Index</t>
  </si>
  <si>
    <t>SPX US 12/19/15 C1850 Index</t>
  </si>
  <si>
    <t>SPX US 12/19/15 P1850 Index</t>
  </si>
  <si>
    <t>SPX US 12/19/15 C1875 Index</t>
  </si>
  <si>
    <t>SPX US 12/19/15 P1875 Index</t>
  </si>
  <si>
    <t>SPX US 12/19/15 C1900 Index</t>
  </si>
  <si>
    <t>SPX US 12/19/15 P1900 Index</t>
  </si>
  <si>
    <t>SPX US 12/19/15 C1925 Index</t>
  </si>
  <si>
    <t>SPX US 12/19/15 P1925 Index</t>
  </si>
  <si>
    <t>SPX US 12/19/15 C1950 Index</t>
  </si>
  <si>
    <t>SPX US 12/19/15 P1950 Index</t>
  </si>
  <si>
    <t>SPX US 12/19/15 C1975 Index</t>
  </si>
  <si>
    <t>SPX US 12/19/15 P1975 Index</t>
  </si>
  <si>
    <t>SPX US 12/19/15 C2000 Index</t>
  </si>
  <si>
    <t>SPX US 12/19/15 P2000 Index</t>
  </si>
  <si>
    <t>SPX US 12/19/15 C2025 Index</t>
  </si>
  <si>
    <t>SPX US 12/19/15 P2025 Index</t>
  </si>
  <si>
    <t>SPX US 12/19/15 C2050 Index</t>
  </si>
  <si>
    <t>SPX US 12/19/15 P2050 Index</t>
  </si>
  <si>
    <t>SPX US 12/19/15 C2075 Index</t>
  </si>
  <si>
    <t>SPX US 12/19/15 P2075 Index</t>
  </si>
  <si>
    <t>SPX US 12/19/15 C2100 Index</t>
  </si>
  <si>
    <t>SPX US 12/19/15 P2100 Index</t>
  </si>
  <si>
    <t>SPX US 12/19/15 C2125 Index</t>
  </si>
  <si>
    <t>SPX US 12/19/15 P2125 Index</t>
  </si>
  <si>
    <t>SPX US 12/19/15 C2150 Index</t>
  </si>
  <si>
    <t>SPX US 12/19/15 P2150 Index</t>
  </si>
  <si>
    <t>SPX US 12/19/15 C2175 Index</t>
  </si>
  <si>
    <t>SPX US 12/19/15 P2175 Index</t>
  </si>
  <si>
    <t>SPX US 12/19/15 C2200 Index</t>
  </si>
  <si>
    <t>SPX US 12/19/15 P2200 Index</t>
  </si>
  <si>
    <t>SPX US 12/19/15 C2225 Index</t>
  </si>
  <si>
    <t>SPX US 12/19/15 P2225 Index</t>
  </si>
  <si>
    <t>SPX US 12/19/15 C2250 Index</t>
  </si>
  <si>
    <t>SPX US 12/19/15 P2250 Index</t>
  </si>
  <si>
    <t>SPX US 12/19/15 C2275 Index</t>
  </si>
  <si>
    <t>SPX US 12/19/15 P2275 Index</t>
  </si>
  <si>
    <t>SPX US 12/19/15 C2300 Index</t>
  </si>
  <si>
    <t>SPX US 12/19/15 P2300 Index</t>
  </si>
  <si>
    <t>SPX US 12/19/15 C2325 Index</t>
  </si>
  <si>
    <t>SPX US 12/19/15 P2325 Index</t>
  </si>
  <si>
    <t>SPX US 12/19/15 C2350 Index</t>
  </si>
  <si>
    <t>SPX US 12/19/15 P2350 Index</t>
  </si>
  <si>
    <t>SPX US 12/19/15 C2375 Index</t>
  </si>
  <si>
    <t>SPX US 12/19/15 P2375 Index</t>
  </si>
  <si>
    <t>SPX US 12/19/15 C2400 Index</t>
  </si>
  <si>
    <t>SPX US 12/19/15 P2400 Index</t>
  </si>
  <si>
    <t>SPX US 12/19/15 C2500 Index</t>
  </si>
  <si>
    <t>SPX US 12/19/15 P2500 Index</t>
  </si>
  <si>
    <t>SPX US 12/19/15 C2600 Index</t>
  </si>
  <si>
    <t>SPX US 12/19/15 P2600 Index</t>
  </si>
  <si>
    <t>SPX US 12/19/15 C3000 Index</t>
  </si>
  <si>
    <t>SPX US 12/19/15 P3000 Index</t>
  </si>
  <si>
    <t>SPX US 01/15/16 C600 Index</t>
  </si>
  <si>
    <t>SPX US 01/15/16 P600 Index</t>
  </si>
  <si>
    <t>SPX US 01/15/16 C700 Index</t>
  </si>
  <si>
    <t>SPX US 01/15/16 P700 Index</t>
  </si>
  <si>
    <t>SPX US 01/15/16 C750 Index</t>
  </si>
  <si>
    <t>SPX US 01/15/16 P750 Index</t>
  </si>
  <si>
    <t>SPX US 01/15/16 C800 Index</t>
  </si>
  <si>
    <t>SPX US 01/15/16 P800 Index</t>
  </si>
  <si>
    <t>SPX US 01/15/16 C850 Index</t>
  </si>
  <si>
    <t>SPX US 01/15/16 P850 Index</t>
  </si>
  <si>
    <t>SPX US 01/15/16 C900 Index</t>
  </si>
  <si>
    <t>SPX US 01/15/16 P900 Index</t>
  </si>
  <si>
    <t>SPX US 01/15/16 C925 Index</t>
  </si>
  <si>
    <t>SPX US 01/15/16 P925 Index</t>
  </si>
  <si>
    <t>SPX US 01/15/16 C950 Index</t>
  </si>
  <si>
    <t>SPX US 01/15/16 P950 Index</t>
  </si>
  <si>
    <t>SPX US 01/15/16 C975 Index</t>
  </si>
  <si>
    <t>SPX US 01/15/16 P975 Index</t>
  </si>
  <si>
    <t>SPX US 01/15/16 C1000 Index</t>
  </si>
  <si>
    <t>SPX US 01/15/16 P1000 Index</t>
  </si>
  <si>
    <t>SPX US 01/15/16 C1025 Index</t>
  </si>
  <si>
    <t>SPX US 01/15/16 P1025 Index</t>
  </si>
  <si>
    <t>SPX US 01/15/16 C1050 Index</t>
  </si>
  <si>
    <t>SPX US 01/15/16 P1050 Index</t>
  </si>
  <si>
    <t>SPX US 01/15/16 C1075 Index</t>
  </si>
  <si>
    <t>SPX US 01/15/16 P1075 Index</t>
  </si>
  <si>
    <t>SPX US 01/15/16 C1100 Index</t>
  </si>
  <si>
    <t>SPX US 01/15/16 P1100 Index</t>
  </si>
  <si>
    <t>SPX US 01/15/16 C1125 Index</t>
  </si>
  <si>
    <t>SPX US 01/15/16 P1125 Index</t>
  </si>
  <si>
    <t>SPX US 01/15/16 C1150 Index</t>
  </si>
  <si>
    <t>SPX US 01/15/16 P1150 Index</t>
  </si>
  <si>
    <t>SPX US 01/15/16 C1175 Index</t>
  </si>
  <si>
    <t>SPX US 01/15/16 P1175 Index</t>
  </si>
  <si>
    <t>SPX US 01/15/16 C1200 Index</t>
  </si>
  <si>
    <t>SPX US 01/15/16 P1200 Index</t>
  </si>
  <si>
    <t>SPX US 01/15/16 C1225 Index</t>
  </si>
  <si>
    <t>SPX US 01/15/16 P1225 Index</t>
  </si>
  <si>
    <t>SPX US 01/15/16 C1250 Index</t>
  </si>
  <si>
    <t>SPX US 01/15/16 P1250 Index</t>
  </si>
  <si>
    <t>SPX US 01/15/16 C1275 Index</t>
  </si>
  <si>
    <t>SPX US 01/15/16 P1275 Index</t>
  </si>
  <si>
    <t>SPX US 01/15/16 C1300 Index</t>
  </si>
  <si>
    <t>SPX US 01/15/16 P1300 Index</t>
  </si>
  <si>
    <t>SPX US 01/15/16 C1325 Index</t>
  </si>
  <si>
    <t>SPX US 01/15/16 P1325 Index</t>
  </si>
  <si>
    <t>SPX US 01/15/16 C1350 Index</t>
  </si>
  <si>
    <t>SPX US 01/15/16 P1350 Index</t>
  </si>
  <si>
    <t>SPX US 01/15/16 C1375 Index</t>
  </si>
  <si>
    <t>SPX US 01/15/16 P1375 Index</t>
  </si>
  <si>
    <t>SPX US 01/15/16 C1400 Index</t>
  </si>
  <si>
    <t>SPX US 01/15/16 P1400 Index</t>
  </si>
  <si>
    <t>SPX US 01/15/16 C1425 Index</t>
  </si>
  <si>
    <t>SPX US 01/15/16 P1425 Index</t>
  </si>
  <si>
    <t>SPX US 01/15/16 C1450 Index</t>
  </si>
  <si>
    <t>SPX US 01/15/16 P1450 Index</t>
  </si>
  <si>
    <t>SPX US 01/15/16 C1475 Index</t>
  </si>
  <si>
    <t>SPX US 01/15/16 P1475 Index</t>
  </si>
  <si>
    <t>SPX US 01/15/16 C1500 Index</t>
  </si>
  <si>
    <t>SPX US 01/15/16 P1500 Index</t>
  </si>
  <si>
    <t>SPX US 01/15/16 C1525 Index</t>
  </si>
  <si>
    <t>SPX US 01/15/16 P1525 Index</t>
  </si>
  <si>
    <t>SPX US 01/15/16 C1550 Index</t>
  </si>
  <si>
    <t>SPX US 01/15/16 P1550 Index</t>
  </si>
  <si>
    <t>SPX US 01/15/16 C1575 Index</t>
  </si>
  <si>
    <t>SPX US 01/15/16 P1575 Index</t>
  </si>
  <si>
    <t>SPX US 01/15/16 C1600 Index</t>
  </si>
  <si>
    <t>SPX US 01/15/16 P1600 Index</t>
  </si>
  <si>
    <t>SPX US 01/15/16 C1625 Index</t>
  </si>
  <si>
    <t>SPX US 01/15/16 P1625 Index</t>
  </si>
  <si>
    <t>SPX US 01/15/16 C1650 Index</t>
  </si>
  <si>
    <t>SPX US 01/15/16 P1650 Index</t>
  </si>
  <si>
    <t>SPX US 01/15/16 C1675 Index</t>
  </si>
  <si>
    <t>SPX US 01/15/16 P1675 Index</t>
  </si>
  <si>
    <t>SPX US 01/15/16 C1700 Index</t>
  </si>
  <si>
    <t>SPX US 01/15/16 P1700 Index</t>
  </si>
  <si>
    <t>SPX US 01/15/16 C1725 Index</t>
  </si>
  <si>
    <t>SPX US 01/15/16 P1725 Index</t>
  </si>
  <si>
    <t>SPX US 01/15/16 C1750 Index</t>
  </si>
  <si>
    <t>SPX US 01/15/16 P1750 Index</t>
  </si>
  <si>
    <t>SPX US 01/15/16 C1775 Index</t>
  </si>
  <si>
    <t>SPX US 01/15/16 P1775 Index</t>
  </si>
  <si>
    <t>SPX US 01/15/16 C1800 Index</t>
  </si>
  <si>
    <t>SPX US 01/15/16 P1800 Index</t>
  </si>
  <si>
    <t>SPX US 01/15/16 C1825 Index</t>
  </si>
  <si>
    <t>SPX US 01/15/16 P1825 Index</t>
  </si>
  <si>
    <t>SPX US 01/15/16 C1850 Index</t>
  </si>
  <si>
    <t>SPX US 01/15/16 P1850 Index</t>
  </si>
  <si>
    <t>SPX US 01/15/16 C1875 Index</t>
  </si>
  <si>
    <t>SPX US 01/15/16 P1875 Index</t>
  </si>
  <si>
    <t>SPX US 01/15/16 C1900 Index</t>
  </si>
  <si>
    <t>SPX US 01/15/16 P1900 Index</t>
  </si>
  <si>
    <t>SPX US 01/15/16 C1925 Index</t>
  </si>
  <si>
    <t>SPX US 01/15/16 P1925 Index</t>
  </si>
  <si>
    <t>SPX US 01/15/16 C1950 Index</t>
  </si>
  <si>
    <t>SPX US 01/15/16 P1950 Index</t>
  </si>
  <si>
    <t>SPX US 01/15/16 C1975 Index</t>
  </si>
  <si>
    <t>SPX US 01/15/16 P1975 Index</t>
  </si>
  <si>
    <t>SPX US 01/15/16 C2000 Index</t>
  </si>
  <si>
    <t>SPX US 01/15/16 P2000 Index</t>
  </si>
  <si>
    <t>SPX US 01/15/16 C2025 Index</t>
  </si>
  <si>
    <t>SPX US 01/15/16 P2025 Index</t>
  </si>
  <si>
    <t>SPX US 01/15/16 C2050 Index</t>
  </si>
  <si>
    <t>SPX US 01/15/16 P2050 Index</t>
  </si>
  <si>
    <t>SPX US 01/15/16 C2075 Index</t>
  </si>
  <si>
    <t>SPX US 01/15/16 P2075 Index</t>
  </si>
  <si>
    <t>SPX US 01/15/16 C2100 Index</t>
  </si>
  <si>
    <t>SPX US 01/15/16 P2100 Index</t>
  </si>
  <si>
    <t>SPX US 01/15/16 C2125 Index</t>
  </si>
  <si>
    <t>SPX US 01/15/16 P2125 Index</t>
  </si>
  <si>
    <t>SPX US 01/15/16 C2150 Index</t>
  </si>
  <si>
    <t>SPX US 01/15/16 P2150 Index</t>
  </si>
  <si>
    <t>SPX US 01/15/16 C2175 Index</t>
  </si>
  <si>
    <t>SPX US 01/15/16 P2175 Index</t>
  </si>
  <si>
    <t>SPX US 01/15/16 C2200 Index</t>
  </si>
  <si>
    <t>SPX US 01/15/16 P2200 Index</t>
  </si>
  <si>
    <t>SPX US 01/15/16 C2225 Index</t>
  </si>
  <si>
    <t>SPX US 01/15/16 P2225 Index</t>
  </si>
  <si>
    <t>SPX US 01/15/16 C2250 Index</t>
  </si>
  <si>
    <t>SPX US 01/15/16 P2250 Index</t>
  </si>
  <si>
    <t>SPX US 01/15/16 C2275 Index</t>
  </si>
  <si>
    <t>SPX US 01/15/16 P2275 Index</t>
  </si>
  <si>
    <t>SPX US 01/15/16 C2300 Index</t>
  </si>
  <si>
    <t>SPX US 01/15/16 P2300 Index</t>
  </si>
  <si>
    <t>SPX US 01/15/16 C2325 Index</t>
  </si>
  <si>
    <t>SPX US 01/15/16 P2325 Index</t>
  </si>
  <si>
    <t>SPX US 01/15/16 C2350 Index</t>
  </si>
  <si>
    <t>SPX US 01/15/16 P2350 Index</t>
  </si>
  <si>
    <t>SPX US 01/15/16 C2375 Index</t>
  </si>
  <si>
    <t>SPX US 01/15/16 P2375 Index</t>
  </si>
  <si>
    <t>SPX US 01/15/16 C2400 Index</t>
  </si>
  <si>
    <t>SPX US 01/15/16 P2400 Index</t>
  </si>
  <si>
    <t>SPX US 01/15/16 C2500 Index</t>
  </si>
  <si>
    <t>SPX US 01/15/16 P2500 Index</t>
  </si>
  <si>
    <t>SPX US 06/17/16 C450 Index</t>
  </si>
  <si>
    <t>SPX US 06/17/16 P450 Index</t>
  </si>
  <si>
    <t>SPX US 06/17/16 C500 Index</t>
  </si>
  <si>
    <t>SPX US 06/17/16 P500 Index</t>
  </si>
  <si>
    <t>SPX US 06/17/16 C550 Index</t>
  </si>
  <si>
    <t>SPX US 06/17/16 P550 Index</t>
  </si>
  <si>
    <t>SPX US 06/17/16 C600 Index</t>
  </si>
  <si>
    <t>SPX US 06/17/16 P600 Index</t>
  </si>
  <si>
    <t>SPX US 06/17/16 C650 Index</t>
  </si>
  <si>
    <t>SPX US 06/17/16 P650 Index</t>
  </si>
  <si>
    <t>SPX US 06/17/16 C700 Index</t>
  </si>
  <si>
    <t>SPX US 06/17/16 P700 Index</t>
  </si>
  <si>
    <t>SPX US 06/17/16 C750 Index</t>
  </si>
  <si>
    <t>SPX US 06/17/16 P750 Index</t>
  </si>
  <si>
    <t>SPX US 06/17/16 C775 Index</t>
  </si>
  <si>
    <t>SPX US 06/17/16 P775 Index</t>
  </si>
  <si>
    <t>SPX US 06/17/16 C800 Index</t>
  </si>
  <si>
    <t>SPX US 06/17/16 P800 Index</t>
  </si>
  <si>
    <t>SPX US 06/17/16 C825 Index</t>
  </si>
  <si>
    <t>SPX US 06/17/16 P825 Index</t>
  </si>
  <si>
    <t>SPX US 06/17/16 C850 Index</t>
  </si>
  <si>
    <t>SPX US 06/17/16 P850 Index</t>
  </si>
  <si>
    <t>SPX US 06/17/16 C875 Index</t>
  </si>
  <si>
    <t>SPX US 06/17/16 P875 Index</t>
  </si>
  <si>
    <t>SPX US 06/17/16 C900 Index</t>
  </si>
  <si>
    <t>SPX US 06/17/16 P900 Index</t>
  </si>
  <si>
    <t>SPX US 06/17/16 C925 Index</t>
  </si>
  <si>
    <t>SPX US 06/17/16 P925 Index</t>
  </si>
  <si>
    <t>SPX US 06/17/16 C950 Index</t>
  </si>
  <si>
    <t>SPX US 06/17/16 P950 Index</t>
  </si>
  <si>
    <t>SPX US 06/17/16 C975 Index</t>
  </si>
  <si>
    <t>SPX US 06/17/16 P975 Index</t>
  </si>
  <si>
    <t>SPX US 06/17/16 C1000 Index</t>
  </si>
  <si>
    <t>SPX US 06/17/16 P1000 Index</t>
  </si>
  <si>
    <t>SPX US 06/17/16 C1025 Index</t>
  </si>
  <si>
    <t>SPX US 06/17/16 P1025 Index</t>
  </si>
  <si>
    <t>SPX US 06/17/16 C1050 Index</t>
  </si>
  <si>
    <t>SPX US 06/17/16 P1050 Index</t>
  </si>
  <si>
    <t>SPX US 06/17/16 C1075 Index</t>
  </si>
  <si>
    <t>SPX US 06/17/16 P1075 Index</t>
  </si>
  <si>
    <t>SPX US 06/17/16 C1100 Index</t>
  </si>
  <si>
    <t>SPX US 06/17/16 P1100 Index</t>
  </si>
  <si>
    <t>SPX US 06/17/16 C1125 Index</t>
  </si>
  <si>
    <t>SPX US 06/17/16 P1125 Index</t>
  </si>
  <si>
    <t>SPX US 06/17/16 C1150 Index</t>
  </si>
  <si>
    <t>SPX US 06/17/16 P1150 Index</t>
  </si>
  <si>
    <t>SPX US 06/17/16 C1175 Index</t>
  </si>
  <si>
    <t>SPX US 06/17/16 P1175 Index</t>
  </si>
  <si>
    <t>SPX US 06/17/16 C1200 Index</t>
  </si>
  <si>
    <t>SPX US 06/17/16 P1200 Index</t>
  </si>
  <si>
    <t>SPX US 06/17/16 C1225 Index</t>
  </si>
  <si>
    <t>SPX US 06/17/16 P1225 Index</t>
  </si>
  <si>
    <t>SPX US 06/17/16 C1250 Index</t>
  </si>
  <si>
    <t>SPX US 06/17/16 P1250 Index</t>
  </si>
  <si>
    <t>SPX US 06/17/16 C1275 Index</t>
  </si>
  <si>
    <t>SPX US 06/17/16 P1275 Index</t>
  </si>
  <si>
    <t>SPX US 06/17/16 C1300 Index</t>
  </si>
  <si>
    <t>SPX US 06/17/16 P1300 Index</t>
  </si>
  <si>
    <t>SPX US 06/17/16 C1325 Index</t>
  </si>
  <si>
    <t>SPX US 06/17/16 P1325 Index</t>
  </si>
  <si>
    <t>SPX US 06/17/16 C1350 Index</t>
  </si>
  <si>
    <t>SPX US 06/17/16 P1350 Index</t>
  </si>
  <si>
    <t>SPX US 06/17/16 C1375 Index</t>
  </si>
  <si>
    <t>SPX US 06/17/16 P1375 Index</t>
  </si>
  <si>
    <t>SPX US 06/17/16 C1400 Index</t>
  </si>
  <si>
    <t>SPX US 06/17/16 P1400 Index</t>
  </si>
  <si>
    <t>SPX US 06/17/16 C1425 Index</t>
  </si>
  <si>
    <t>SPX US 06/17/16 P1425 Index</t>
  </si>
  <si>
    <t>SPX US 06/17/16 C1450 Index</t>
  </si>
  <si>
    <t>SPX US 06/17/16 P1450 Index</t>
  </si>
  <si>
    <t>SPX US 06/17/16 C1475 Index</t>
  </si>
  <si>
    <t>SPX US 06/17/16 P1475 Index</t>
  </si>
  <si>
    <t>SPX US 06/17/16 C1500 Index</t>
  </si>
  <si>
    <t>SPX US 06/17/16 P1500 Index</t>
  </si>
  <si>
    <t>SPX US 06/17/16 C1525 Index</t>
  </si>
  <si>
    <t>SPX US 06/17/16 P1525 Index</t>
  </si>
  <si>
    <t>SPX US 06/17/16 C1550 Index</t>
  </si>
  <si>
    <t>SPX US 06/17/16 P1550 Index</t>
  </si>
  <si>
    <t>SPX US 06/17/16 C1575 Index</t>
  </si>
  <si>
    <t>SPX US 06/17/16 P1575 Index</t>
  </si>
  <si>
    <t>SPX US 06/17/16 C1600 Index</t>
  </si>
  <si>
    <t>SPX US 06/17/16 P1600 Index</t>
  </si>
  <si>
    <t>SPX US 06/17/16 C1625 Index</t>
  </si>
  <si>
    <t>SPX US 06/17/16 P1625 Index</t>
  </si>
  <si>
    <t>SPX US 06/17/16 C1650 Index</t>
  </si>
  <si>
    <t>SPX US 06/17/16 P1650 Index</t>
  </si>
  <si>
    <t>SPX US 06/17/16 C1675 Index</t>
  </si>
  <si>
    <t>SPX US 06/17/16 P1675 Index</t>
  </si>
  <si>
    <t>SPX US 06/17/16 C1700 Index</t>
  </si>
  <si>
    <t>SPX US 06/17/16 P1700 Index</t>
  </si>
  <si>
    <t>SPX US 06/17/16 C1725 Index</t>
  </si>
  <si>
    <t>SPX US 06/17/16 P1725 Index</t>
  </si>
  <si>
    <t>SPX US 06/17/16 C1750 Index</t>
  </si>
  <si>
    <t>SPX US 06/17/16 P1750 Index</t>
  </si>
  <si>
    <t>SPX US 06/17/16 C1775 Index</t>
  </si>
  <si>
    <t>SPX US 06/17/16 P1775 Index</t>
  </si>
  <si>
    <t>SPX US 06/17/16 C1800 Index</t>
  </si>
  <si>
    <t>SPX US 06/17/16 P1800 Index</t>
  </si>
  <si>
    <t>SPX US 06/17/16 C1825 Index</t>
  </si>
  <si>
    <t>SPX US 06/17/16 P1825 Index</t>
  </si>
  <si>
    <t>SPX US 06/17/16 C1850 Index</t>
  </si>
  <si>
    <t>SPX US 06/17/16 P1850 Index</t>
  </si>
  <si>
    <t>SPX US 06/17/16 C1875 Index</t>
  </si>
  <si>
    <t>SPX US 06/17/16 P1875 Index</t>
  </si>
  <si>
    <t>SPX US 06/17/16 C1900 Index</t>
  </si>
  <si>
    <t>SPX US 06/17/16 P1900 Index</t>
  </si>
  <si>
    <t>SPX US 06/17/16 C1925 Index</t>
  </si>
  <si>
    <t>SPX US 06/17/16 P1925 Index</t>
  </si>
  <si>
    <t>SPX US 06/17/16 C1950 Index</t>
  </si>
  <si>
    <t>SPX US 06/17/16 P1950 Index</t>
  </si>
  <si>
    <t>SPX US 06/17/16 C1975 Index</t>
  </si>
  <si>
    <t>SPX US 06/17/16 P1975 Index</t>
  </si>
  <si>
    <t>SPX US 06/17/16 C2000 Index</t>
  </si>
  <si>
    <t>SPX US 06/17/16 P2000 Index</t>
  </si>
  <si>
    <t>SPX US 06/17/16 C2025 Index</t>
  </si>
  <si>
    <t>SPX US 06/17/16 P2025 Index</t>
  </si>
  <si>
    <t>SPX US 06/17/16 C2050 Index</t>
  </si>
  <si>
    <t>SPX US 06/17/16 P2050 Index</t>
  </si>
  <si>
    <t>SPX US 06/17/16 C2075 Index</t>
  </si>
  <si>
    <t>SPX US 06/17/16 P2075 Index</t>
  </si>
  <si>
    <t>SPX US 06/17/16 C2100 Index</t>
  </si>
  <si>
    <t>SPX US 06/17/16 P2100 Index</t>
  </si>
  <si>
    <t>SPX US 06/17/16 C2125 Index</t>
  </si>
  <si>
    <t>SPX US 06/17/16 P2125 Index</t>
  </si>
  <si>
    <t>SPX US 06/17/16 C2150 Index</t>
  </si>
  <si>
    <t>SPX US 06/17/16 P2150 Index</t>
  </si>
  <si>
    <t>SPX US 06/17/16 C2175 Index</t>
  </si>
  <si>
    <t>SPX US 06/17/16 P2175 Index</t>
  </si>
  <si>
    <t>SPX US 06/17/16 C2200 Index</t>
  </si>
  <si>
    <t>SPX US 06/17/16 P2200 Index</t>
  </si>
  <si>
    <t>SPX US 06/17/16 C2225 Index</t>
  </si>
  <si>
    <t>SPX US 06/17/16 P2225 Index</t>
  </si>
  <si>
    <t>SPX US 06/17/16 C2250 Index</t>
  </si>
  <si>
    <t>SPX US 06/17/16 P2250 Index</t>
  </si>
  <si>
    <t>SPX US 06/17/16 C2275 Index</t>
  </si>
  <si>
    <t>SPX US 06/17/16 P2275 Index</t>
  </si>
  <si>
    <t>SPX US 06/17/16 C2300 Index</t>
  </si>
  <si>
    <t>SPX US 06/17/16 P2300 Index</t>
  </si>
  <si>
    <t>SPX US 06/17/16 C2325 Index</t>
  </si>
  <si>
    <t>SPX US 06/17/16 P2325 Index</t>
  </si>
  <si>
    <t>SPX US 06/17/16 C2350 Index</t>
  </si>
  <si>
    <t>SPX US 06/17/16 P2350 Index</t>
  </si>
  <si>
    <t>SPX US 06/17/16 C2375 Index</t>
  </si>
  <si>
    <t>SPX US 06/17/16 P2375 Index</t>
  </si>
  <si>
    <t>SPX US 06/17/16 C2400 Index</t>
  </si>
  <si>
    <t>SPX US 06/17/16 P2400 Index</t>
  </si>
  <si>
    <t>SPX US 06/17/16 C2425 Index</t>
  </si>
  <si>
    <t>SPX US 06/17/16 P2425 Index</t>
  </si>
  <si>
    <t>SPX US 06/17/16 C2450 Index</t>
  </si>
  <si>
    <t>SPX US 06/17/16 P2450 Index</t>
  </si>
  <si>
    <t>SPX US 06/17/16 C2500 Index</t>
  </si>
  <si>
    <t>SPX US 06/17/16 P2500 Index</t>
  </si>
  <si>
    <t>SPX US 12/16/16 C400 Index</t>
  </si>
  <si>
    <t>SPX US 12/16/16 P400 Index</t>
  </si>
  <si>
    <t>SPX US 12/16/16 C500 Index</t>
  </si>
  <si>
    <t>SPX US 12/16/16 P500 Index</t>
  </si>
  <si>
    <t>SPX US 12/16/16 C550 Index</t>
  </si>
  <si>
    <t>SPX US 12/16/16 P550 Index</t>
  </si>
  <si>
    <t>SPX US 12/16/16 C600 Index</t>
  </si>
  <si>
    <t>SPX US 12/16/16 P600 Index</t>
  </si>
  <si>
    <t>SPX US 12/16/16 C650 Index</t>
  </si>
  <si>
    <t>SPX US 12/16/16 P650 Index</t>
  </si>
  <si>
    <t>SPX US 12/16/16 C700 Index</t>
  </si>
  <si>
    <t>SPX US 12/16/16 P700 Index</t>
  </si>
  <si>
    <t>SPX US 12/16/16 C750 Index</t>
  </si>
  <si>
    <t>SPX US 12/16/16 P750 Index</t>
  </si>
  <si>
    <t>SPX US 12/16/16 C800 Index</t>
  </si>
  <si>
    <t>SPX US 12/16/16 P800 Index</t>
  </si>
  <si>
    <t>SPX US 12/16/16 C850 Index</t>
  </si>
  <si>
    <t>SPX US 12/16/16 P850 Index</t>
  </si>
  <si>
    <t>SPX US 12/16/16 C900 Index</t>
  </si>
  <si>
    <t>SPX US 12/16/16 P900 Index</t>
  </si>
  <si>
    <t>SPX US 12/16/16 C925 Index</t>
  </si>
  <si>
    <t>SPX US 12/16/16 P925 Index</t>
  </si>
  <si>
    <t>SPX US 12/16/16 C950 Index</t>
  </si>
  <si>
    <t>SPX US 12/16/16 P950 Index</t>
  </si>
  <si>
    <t>SPX US 12/16/16 C975 Index</t>
  </si>
  <si>
    <t>SPX US 12/16/16 P975 Index</t>
  </si>
  <si>
    <t>SPX US 12/16/16 C1000 Index</t>
  </si>
  <si>
    <t>SPX US 12/16/16 P1000 Index</t>
  </si>
  <si>
    <t>SPX US 12/16/16 C1025 Index</t>
  </si>
  <si>
    <t>SPX US 12/16/16 P1025 Index</t>
  </si>
  <si>
    <t>SPX US 12/16/16 C1050 Index</t>
  </si>
  <si>
    <t>SPX US 12/16/16 P1050 Index</t>
  </si>
  <si>
    <t>SPX US 12/16/16 C1075 Index</t>
  </si>
  <si>
    <t>SPX US 12/16/16 P1075 Index</t>
  </si>
  <si>
    <t>SPX US 12/16/16 C1100 Index</t>
  </si>
  <si>
    <t>SPX US 12/16/16 P1100 Index</t>
  </si>
  <si>
    <t>SPX US 12/16/16 C1125 Index</t>
  </si>
  <si>
    <t>SPX US 12/16/16 P1125 Index</t>
  </si>
  <si>
    <t>SPX US 12/16/16 C1150 Index</t>
  </si>
  <si>
    <t>SPX US 12/16/16 P1150 Index</t>
  </si>
  <si>
    <t>SPX US 12/16/16 C1175 Index</t>
  </si>
  <si>
    <t>SPX US 12/16/16 P1175 Index</t>
  </si>
  <si>
    <t>SPX US 12/16/16 C1200 Index</t>
  </si>
  <si>
    <t>SPX US 12/16/16 P1200 Index</t>
  </si>
  <si>
    <t>SPX US 12/16/16 C1225 Index</t>
  </si>
  <si>
    <t>SPX US 12/16/16 P1225 Index</t>
  </si>
  <si>
    <t>SPX US 12/16/16 C1250 Index</t>
  </si>
  <si>
    <t>SPX US 12/16/16 P1250 Index</t>
  </si>
  <si>
    <t>SPX US 12/16/16 C1275 Index</t>
  </si>
  <si>
    <t>SPX US 12/16/16 P1275 Index</t>
  </si>
  <si>
    <t>SPX US 12/16/16 C1300 Index</t>
  </si>
  <si>
    <t>SPX US 12/16/16 P1300 Index</t>
  </si>
  <si>
    <t>SPX US 12/16/16 C1325 Index</t>
  </si>
  <si>
    <t>SPX US 12/16/16 P1325 Index</t>
  </si>
  <si>
    <t>SPX US 12/16/16 C1350 Index</t>
  </si>
  <si>
    <t>SPX US 12/16/16 P1350 Index</t>
  </si>
  <si>
    <t>SPX US 12/16/16 C1375 Index</t>
  </si>
  <si>
    <t>SPX US 12/16/16 P1375 Index</t>
  </si>
  <si>
    <t>SPX US 12/16/16 C1400 Index</t>
  </si>
  <si>
    <t>SPX US 12/16/16 P1400 Index</t>
  </si>
  <si>
    <t>SPX US 12/16/16 C1425 Index</t>
  </si>
  <si>
    <t>SPX US 12/16/16 P1425 Index</t>
  </si>
  <si>
    <t>SPX US 12/16/16 C1450 Index</t>
  </si>
  <si>
    <t>SPX US 12/16/16 P1450 Index</t>
  </si>
  <si>
    <t>SPX US 12/16/16 C1475 Index</t>
  </si>
  <si>
    <t>SPX US 12/16/16 P1475 Index</t>
  </si>
  <si>
    <t>SPX US 12/16/16 C1500 Index</t>
  </si>
  <si>
    <t>SPX US 12/16/16 P1500 Index</t>
  </si>
  <si>
    <t>SPX US 12/16/16 C1525 Index</t>
  </si>
  <si>
    <t>SPX US 12/16/16 P1525 Index</t>
  </si>
  <si>
    <t>SPX US 12/16/16 C1550 Index</t>
  </si>
  <si>
    <t>SPX US 12/16/16 P1550 Index</t>
  </si>
  <si>
    <t>SPX US 12/16/16 C1575 Index</t>
  </si>
  <si>
    <t>SPX US 12/16/16 P1575 Index</t>
  </si>
  <si>
    <t>SPX US 12/16/16 C1600 Index</t>
  </si>
  <si>
    <t>SPX US 12/16/16 P1600 Index</t>
  </si>
  <si>
    <t>SPX US 12/16/16 C1625 Index</t>
  </si>
  <si>
    <t>SPX US 12/16/16 P1625 Index</t>
  </si>
  <si>
    <t>SPX US 12/16/16 C1650 Index</t>
  </si>
  <si>
    <t>SPX US 12/16/16 P1650 Index</t>
  </si>
  <si>
    <t>SPX US 12/16/16 C1675 Index</t>
  </si>
  <si>
    <t>SPX US 12/16/16 P1675 Index</t>
  </si>
  <si>
    <t>SPX US 12/16/16 C1700 Index</t>
  </si>
  <si>
    <t>SPX US 12/16/16 P1700 Index</t>
  </si>
  <si>
    <t>SPX US 12/16/16 C1725 Index</t>
  </si>
  <si>
    <t>SPX US 12/16/16 P1725 Index</t>
  </si>
  <si>
    <t>SPX US 12/16/16 C1750 Index</t>
  </si>
  <si>
    <t>SPX US 12/16/16 P1750 Index</t>
  </si>
  <si>
    <t>SPX US 12/16/16 C1775 Index</t>
  </si>
  <si>
    <t>SPX US 12/16/16 P1775 Index</t>
  </si>
  <si>
    <t>SPX US 12/16/16 C1800 Index</t>
  </si>
  <si>
    <t>SPX US 12/16/16 P1800 Index</t>
  </si>
  <si>
    <t>SPX US 12/16/16 C1825 Index</t>
  </si>
  <si>
    <t>SPX US 12/16/16 P1825 Index</t>
  </si>
  <si>
    <t>SPX US 12/16/16 C1850 Index</t>
  </si>
  <si>
    <t>SPX US 12/16/16 P1850 Index</t>
  </si>
  <si>
    <t>SPX US 12/16/16 C1875 Index</t>
  </si>
  <si>
    <t>SPX US 12/16/16 P1875 Index</t>
  </si>
  <si>
    <t>SPX US 12/16/16 C1900 Index</t>
  </si>
  <si>
    <t>SPX US 12/16/16 P1900 Index</t>
  </si>
  <si>
    <t>SPX US 12/16/16 C1925 Index</t>
  </si>
  <si>
    <t>SPX US 12/16/16 P1925 Index</t>
  </si>
  <si>
    <t>SPX US 12/16/16 C1950 Index</t>
  </si>
  <si>
    <t>SPX US 12/16/16 P1950 Index</t>
  </si>
  <si>
    <t>SPX US 12/16/16 C1975 Index</t>
  </si>
  <si>
    <t>SPX US 12/16/16 P1975 Index</t>
  </si>
  <si>
    <t>SPX US 12/16/16 C2000 Index</t>
  </si>
  <si>
    <t>SPX US 12/16/16 P2000 Index</t>
  </si>
  <si>
    <t>SPX US 12/16/16 C2025 Index</t>
  </si>
  <si>
    <t>SPX US 12/16/16 P2025 Index</t>
  </si>
  <si>
    <t>SPX US 12/16/16 C2050 Index</t>
  </si>
  <si>
    <t>SPX US 12/16/16 P2050 Index</t>
  </si>
  <si>
    <t>SPX US 12/16/16 C2075 Index</t>
  </si>
  <si>
    <t>SPX US 12/16/16 P2075 Index</t>
  </si>
  <si>
    <t>SPX US 12/16/16 C2100 Index</t>
  </si>
  <si>
    <t>SPX US 12/16/16 P2100 Index</t>
  </si>
  <si>
    <t>SPX US 12/16/16 C2125 Index</t>
  </si>
  <si>
    <t>SPX US 12/16/16 P2125 Index</t>
  </si>
  <si>
    <t>SPX US 12/16/16 C2150 Index</t>
  </si>
  <si>
    <t>SPX US 12/16/16 P2150 Index</t>
  </si>
  <si>
    <t>SPX US 12/16/16 C2175 Index</t>
  </si>
  <si>
    <t>SPX US 12/16/16 P2175 Index</t>
  </si>
  <si>
    <t>SPX US 12/16/16 C2200 Index</t>
  </si>
  <si>
    <t>SPX US 12/16/16 P2200 Index</t>
  </si>
  <si>
    <t>SPX US 12/16/16 C2225 Index</t>
  </si>
  <si>
    <t>SPX US 12/16/16 P2225 Index</t>
  </si>
  <si>
    <t>SPX US 12/16/16 C2250 Index</t>
  </si>
  <si>
    <t>SPX US 12/16/16 P2250 Index</t>
  </si>
  <si>
    <t>SPX US 12/16/16 C2275 Index</t>
  </si>
  <si>
    <t>SPX US 12/16/16 P2275 Index</t>
  </si>
  <si>
    <t>SPX US 12/16/16 C2300 Index</t>
  </si>
  <si>
    <t>SPX US 12/16/16 P2300 Index</t>
  </si>
  <si>
    <t>SPX US 12/16/16 C2325 Index</t>
  </si>
  <si>
    <t>SPX US 12/16/16 P2325 Index</t>
  </si>
  <si>
    <t>SPX US 12/16/16 C2350 Index</t>
  </si>
  <si>
    <t>SPX US 12/16/16 P2350 Index</t>
  </si>
  <si>
    <t>SPX US 12/16/16 C2375 Index</t>
  </si>
  <si>
    <t>SPX US 12/16/16 P2375 Index</t>
  </si>
  <si>
    <t>SPX US 12/16/16 C2400 Index</t>
  </si>
  <si>
    <t>SPX US 12/16/16 P2400 Index</t>
  </si>
  <si>
    <t>SPX US 12/16/16 C2425 Index</t>
  </si>
  <si>
    <t>SPX US 12/16/16 P2425 Index</t>
  </si>
  <si>
    <t>SPX US 12/16/16 C2450 Index</t>
  </si>
  <si>
    <t>SPX US 12/16/16 P2450 Index</t>
  </si>
  <si>
    <t>SPX US 12/16/16 C2475 Index</t>
  </si>
  <si>
    <t>SPX US 12/16/16 P2475 Index</t>
  </si>
  <si>
    <t>SPX US 12/16/16 C2500 Index</t>
  </si>
  <si>
    <t>SPX US 12/16/16 P2500 Index</t>
  </si>
  <si>
    <t>SPX US 12/16/16 C2525 Index</t>
  </si>
  <si>
    <t>SPX US 12/16/16 P2525 Index</t>
  </si>
  <si>
    <t>SPX US 12/16/16 C2550 Index</t>
  </si>
  <si>
    <t>SPX US 12/16/16 P2550 Index</t>
  </si>
  <si>
    <t>SPX US 12/16/16 C2575 Index</t>
  </si>
  <si>
    <t>SPX US 12/16/16 P2575 Index</t>
  </si>
  <si>
    <t>SPX US 12/16/16 C2600 Index</t>
  </si>
  <si>
    <t>SPX US 12/16/16 P2600 Index</t>
  </si>
  <si>
    <t>SPX US 12/16/16 C2800 Index</t>
  </si>
  <si>
    <t>SPX US 12/16/16 P2800 Index</t>
  </si>
  <si>
    <t>SPX US 12/16/16 C3000 Index</t>
  </si>
  <si>
    <t>SPX US 12/16/16 P3000 Index</t>
  </si>
  <si>
    <t>SPX US 12/16/16 C3500 Index</t>
  </si>
  <si>
    <t>SPX US 12/16/16 P3500 Index</t>
  </si>
  <si>
    <t>Bates Worst Calibrated Option</t>
  </si>
  <si>
    <t>Heston Worst Calibrated Option</t>
  </si>
  <si>
    <t>SPX US 12/20/14 C2250 Index</t>
  </si>
  <si>
    <t>SPX US 12/20/14 P2250 Index</t>
  </si>
  <si>
    <t>SPX US 12/19/15 C200 Index</t>
  </si>
  <si>
    <t>SPX US 12/19/15 P200 Index</t>
  </si>
  <si>
    <t>SPX US 01/17/15 C850 Index</t>
  </si>
  <si>
    <t>SPX US 01/17/15 P850 Index</t>
  </si>
  <si>
    <t>SPX US 01/17/15 C875 Index</t>
  </si>
  <si>
    <t>SPX US 01/17/15 P875 Index</t>
  </si>
  <si>
    <t>SPX US 01/17/15 C1300 Index</t>
  </si>
  <si>
    <t>SPX US 01/17/15 P1300 Index</t>
  </si>
  <si>
    <t>Calibration Ind</t>
  </si>
  <si>
    <t>Bates Out of Range</t>
  </si>
  <si>
    <t>Heston Out of Range</t>
  </si>
  <si>
    <t>I have reviewed the Bates and Heston parameters and prices.  The file is located under E:\Index_Products\MarketEnvironment\Review_x000D_
_x000D_
Below are the explanations for option prices that fall outside of the bid/ask range.  The file is located under E:\Index_Products\MarketEnvironment\Review_x000D_
_x000D_
1. Price differences normally happen for deep in the money and out of the money option. That's usually the place the model fit deteriorates.  This is a known issue which not necessarily indicate an operation error._x000D_
2. Even with the misfit of the prices for certain maturities and in the moneyness, the misfit is not significant. For deep in of the money option, if the difference is about $1, it is not significant for a $200 option.For deep out of the money option, the bid/offer spread is very tight. Even a difference of $0.5, it could still out of the range. _x000D_
_x000D_
The biggest difference for Bates  model calibration is the SPX US 12/19/15 C2150 Index  option which has the difference of 2.2 dollars._x000D_
The biggest difference for Heston model calibration is the SPX US 12/20/14 C1900 Index option which has the difference of 2.06 dollars._x000D_
_x000D_
MRM Trading Team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</si>
</sst>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3" formatCode="_(* #,##0.00_);_(* \(#,##0.00\);_(* &quot;-&quot;??_);_(@_)"/>
  </numFmts>
  <fonts count="11" x14ac:knownFonts="1">
    <font>
      <sz val="11"/>
      <color theme="1"/>
      <name val="Calibri"/>
      <family val="2"/>
      <scheme val="minor"/>
    </font>
    <font>
      <b/>
      <sz val="11"/>
      <color rgb="FF0070C0"/>
      <name val="Calibri"/>
      <family val="2"/>
      <scheme val="minor"/>
    </font>
    <font>
      <sz val="11"/>
      <color rgb="FF000000"/>
      <name val="Calibri"/>
      <family val="2"/>
    </font>
    <font>
      <sz val="10"/>
      <name val="Arial"/>
      <family val="2"/>
    </font>
    <font>
      <b/>
      <sz val="11"/>
      <color theme="1"/>
      <name val="Calibri"/>
      <family val="2"/>
      <scheme val="minor"/>
    </font>
    <font>
      <sz val="11"/>
      <color theme="0"/>
      <name val="Calibri"/>
      <family val="2"/>
      <scheme val="minor"/>
    </font>
    <font>
      <b/>
      <sz val="10"/>
      <name val="Arial"/>
      <family val="2"/>
    </font>
    <font>
      <b/>
      <sz val="11"/>
      <color indexed="8"/>
      <name val="Calibri"/>
      <family val="2"/>
    </font>
    <font>
      <b/>
      <sz val="11"/>
      <color theme="0"/>
      <name val="Calibri"/>
      <family val="2"/>
    </font>
    <font>
      <b/>
      <sz val="10"/>
      <color theme="0"/>
      <name val="Arial"/>
      <family val="2"/>
    </font>
    <font>
      <sz val="11"/>
      <color theme="3" tint="-0.249977111117893"/>
      <name val="Calibri"/>
      <family val="2"/>
      <scheme val="minor"/>
    </font>
  </fonts>
  <fills count="7">
    <fill>
      <patternFill patternType="none"/>
    </fill>
    <fill>
      <patternFill patternType="gray125"/>
    </fill>
    <fill>
      <patternFill patternType="solid">
        <fgColor indexed="51"/>
        <bgColor indexed="64"/>
      </patternFill>
    </fill>
    <fill>
      <patternFill patternType="solid">
        <fgColor indexed="43"/>
        <bgColor indexed="64"/>
      </patternFill>
    </fill>
    <fill>
      <patternFill patternType="solid">
        <fgColor theme="3" tint="-0.249977111117893"/>
        <bgColor indexed="64"/>
      </patternFill>
    </fill>
    <fill>
      <patternFill patternType="solid">
        <fgColor theme="1"/>
        <bgColor indexed="64"/>
      </patternFill>
    </fill>
    <fill>
      <patternFill patternType="solid">
        <fgColor theme="0"/>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3" fillId="0" borderId="0"/>
    <xf numFmtId="43" fontId="3" fillId="0" borderId="0" applyFont="0" applyFill="0" applyBorder="0" applyAlignment="0" applyProtection="0"/>
    <xf numFmtId="9" fontId="3" fillId="0" borderId="0" applyFont="0" applyFill="0" applyBorder="0" applyAlignment="0" applyProtection="0"/>
  </cellStyleXfs>
  <cellXfs count="37">
    <xf numFmtId="0" fontId="0" fillId="0" borderId="0" xfId="0"/>
    <xf numFmtId="0" fontId="6" fillId="0" borderId="0" xfId="1" applyFont="1"/>
    <xf numFmtId="0" fontId="7" fillId="0" borderId="0" xfId="1" applyFont="1"/>
    <xf numFmtId="0" fontId="3" fillId="0" borderId="0" xfId="1"/>
    <xf numFmtId="0" fontId="3" fillId="2" borderId="1" xfId="1" applyFill="1" applyBorder="1" applyAlignment="1">
      <alignment horizontal="center" vertical="center"/>
    </xf>
    <xf numFmtId="0" fontId="3" fillId="2" borderId="2" xfId="1" applyFill="1" applyBorder="1" applyAlignment="1">
      <alignment horizontal="center" vertical="center"/>
    </xf>
    <xf numFmtId="0" fontId="3" fillId="0" borderId="3" xfId="1" applyFont="1" applyBorder="1" applyAlignment="1">
      <alignment horizontal="center" vertical="center"/>
    </xf>
    <xf numFmtId="0" fontId="3" fillId="0" borderId="0" xfId="1" applyFont="1"/>
    <xf numFmtId="14" fontId="3" fillId="0" borderId="0" xfId="1" applyNumberFormat="1"/>
    <xf numFmtId="0" fontId="3" fillId="3" borderId="4" xfId="1" applyFill="1" applyBorder="1" applyAlignment="1">
      <alignment horizontal="center" vertical="center"/>
    </xf>
    <xf numFmtId="0" fontId="3" fillId="3" borderId="5" xfId="1" applyFill="1" applyBorder="1" applyAlignment="1">
      <alignment horizontal="center" vertical="center"/>
    </xf>
    <xf numFmtId="0" fontId="3" fillId="0" borderId="6" xfId="1" applyBorder="1" applyAlignment="1">
      <alignment horizontal="center" vertical="center"/>
    </xf>
    <xf numFmtId="0" fontId="0" fillId="0" borderId="0" xfId="2" applyNumberFormat="1" applyFont="1"/>
    <xf numFmtId="2" fontId="3" fillId="0" borderId="0" xfId="1" applyNumberFormat="1"/>
    <xf numFmtId="0" fontId="8" fillId="4" borderId="8" xfId="1" applyFont="1" applyFill="1" applyBorder="1" applyAlignment="1">
      <alignment horizontal="center"/>
    </xf>
    <xf numFmtId="0" fontId="8" fillId="4" borderId="0" xfId="1" applyFont="1" applyFill="1" applyBorder="1" applyAlignment="1">
      <alignment horizontal="center"/>
    </xf>
    <xf numFmtId="0" fontId="9" fillId="4" borderId="9" xfId="1" applyFont="1" applyFill="1" applyBorder="1" applyAlignment="1">
      <alignment horizontal="center"/>
    </xf>
    <xf numFmtId="0" fontId="0" fillId="6" borderId="0" xfId="0" applyFill="1"/>
    <xf numFmtId="0" fontId="4" fillId="6" borderId="0" xfId="0" applyFont="1" applyFill="1" applyAlignment="1">
      <alignment horizontal="right"/>
    </xf>
    <xf numFmtId="0" fontId="3" fillId="6" borderId="0" xfId="1" applyFill="1"/>
    <xf numFmtId="0" fontId="0" fillId="6" borderId="4" xfId="0" applyFill="1" applyBorder="1" applyAlignment="1">
      <alignment horizontal="center"/>
    </xf>
    <xf numFmtId="0" fontId="0" fillId="6" borderId="5" xfId="0" applyFill="1" applyBorder="1" applyAlignment="1">
      <alignment horizontal="center"/>
    </xf>
    <xf numFmtId="0" fontId="0" fillId="6" borderId="10" xfId="0" applyFill="1" applyBorder="1" applyAlignment="1">
      <alignment horizontal="center"/>
    </xf>
    <xf numFmtId="14" fontId="1" fillId="6" borderId="11" xfId="0" applyNumberFormat="1" applyFont="1" applyFill="1" applyBorder="1"/>
    <xf numFmtId="14" fontId="4" fillId="6" borderId="11" xfId="0" applyNumberFormat="1" applyFont="1" applyFill="1" applyBorder="1"/>
    <xf numFmtId="0" fontId="5" fillId="5" borderId="1" xfId="0" applyFont="1" applyFill="1" applyBorder="1" applyAlignment="1">
      <alignment horizontal="center"/>
    </xf>
    <xf numFmtId="0" fontId="5" fillId="5" borderId="2" xfId="0" applyFont="1" applyFill="1" applyBorder="1" applyAlignment="1">
      <alignment horizontal="center"/>
    </xf>
    <xf numFmtId="0" fontId="5" fillId="5" borderId="7" xfId="0" applyFont="1" applyFill="1" applyBorder="1" applyAlignment="1">
      <alignment horizontal="center"/>
    </xf>
    <xf numFmtId="0" fontId="10" fillId="6" borderId="1" xfId="0" applyFont="1" applyFill="1" applyBorder="1" applyAlignment="1">
      <alignment horizontal="left" vertical="top" wrapText="1"/>
    </xf>
    <xf numFmtId="0" fontId="10" fillId="6" borderId="2" xfId="0" applyFont="1" applyFill="1" applyBorder="1" applyAlignment="1">
      <alignment horizontal="left" vertical="top" wrapText="1"/>
    </xf>
    <xf numFmtId="0" fontId="10" fillId="6" borderId="7" xfId="0" applyFont="1" applyFill="1" applyBorder="1" applyAlignment="1">
      <alignment horizontal="left" vertical="top" wrapText="1"/>
    </xf>
    <xf numFmtId="0" fontId="10" fillId="6" borderId="8" xfId="0" applyFont="1" applyFill="1" applyBorder="1" applyAlignment="1">
      <alignment horizontal="left" vertical="top" wrapText="1"/>
    </xf>
    <xf numFmtId="0" fontId="10" fillId="6" borderId="0" xfId="0" applyFont="1" applyFill="1" applyBorder="1" applyAlignment="1">
      <alignment horizontal="left" vertical="top" wrapText="1"/>
    </xf>
    <xf numFmtId="0" fontId="10" fillId="6" borderId="9" xfId="0" applyFont="1" applyFill="1" applyBorder="1" applyAlignment="1">
      <alignment horizontal="left" vertical="top" wrapText="1"/>
    </xf>
    <xf numFmtId="0" fontId="10" fillId="6" borderId="4" xfId="0" applyFont="1" applyFill="1" applyBorder="1" applyAlignment="1">
      <alignment horizontal="left" vertical="top" wrapText="1"/>
    </xf>
    <xf numFmtId="0" fontId="10" fillId="6" borderId="5" xfId="0" applyFont="1" applyFill="1" applyBorder="1" applyAlignment="1">
      <alignment horizontal="left" vertical="top" wrapText="1"/>
    </xf>
    <xf numFmtId="0" fontId="10" fillId="6" borderId="10" xfId="0" applyFont="1" applyFill="1" applyBorder="1" applyAlignment="1">
      <alignment horizontal="left" vertical="top" wrapText="1"/>
    </xf>
  </cellXfs>
  <cellStyles count="4">
    <cellStyle name="Comma 2" xfId="2"/>
    <cellStyle name="Normal" xfId="0" builtinId="0"/>
    <cellStyle name="Normal 2" xfId="1"/>
    <cellStyle name="Percent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2.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9525</xdr:rowOff>
        </xdr:from>
        <xdr:to>
          <xdr:col>1</xdr:col>
          <xdr:colOff>1438275</xdr:colOff>
          <xdr:row>3</xdr:row>
          <xdr:rowOff>180975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1</xdr:col>
          <xdr:colOff>1457325</xdr:colOff>
          <xdr:row>15</xdr:row>
          <xdr:rowOff>171450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Email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Index_Products/MarketEnvironment/MktEnv.2014102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Index_Products/MarketEnvironment/MktEnv.2014102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tes Params"/>
      <sheetName val="Heston Params"/>
      <sheetName val="Maturity"/>
      <sheetName val="Interest Rates"/>
      <sheetName val="SPX"/>
      <sheetName val="SPX Option Data"/>
      <sheetName val="Input"/>
      <sheetName val="Int&amp;Dvd"/>
      <sheetName val="Vol_Surface"/>
    </sheetNames>
    <sheetDataSet>
      <sheetData sheetId="0" refreshError="1"/>
      <sheetData sheetId="1" refreshError="1"/>
      <sheetData sheetId="2" refreshError="1"/>
      <sheetData sheetId="3" refreshError="1"/>
      <sheetData sheetId="4" refreshError="1"/>
      <sheetData sheetId="5" refreshError="1"/>
      <sheetData sheetId="6">
        <row r="1">
          <cell r="B1">
            <v>41941</v>
          </cell>
        </row>
        <row r="2">
          <cell r="B2">
            <v>41940</v>
          </cell>
        </row>
      </sheetData>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tes Params"/>
      <sheetName val="Heston Params"/>
      <sheetName val="Maturity"/>
      <sheetName val="Interest Rates"/>
      <sheetName val="SPX"/>
      <sheetName val="SPX Option Data"/>
      <sheetName val="Input"/>
      <sheetName val="Int&amp;Dvd"/>
      <sheetName val="Vol_Surface"/>
    </sheetNames>
    <sheetDataSet>
      <sheetData sheetId="0" refreshError="1"/>
      <sheetData sheetId="1" refreshError="1"/>
      <sheetData sheetId="2" refreshError="1"/>
      <sheetData sheetId="3" refreshError="1"/>
      <sheetData sheetId="4" refreshError="1"/>
      <sheetData sheetId="5" refreshError="1"/>
      <sheetData sheetId="6">
        <row r="1">
          <cell r="B1">
            <v>41939</v>
          </cell>
        </row>
        <row r="2">
          <cell r="B2">
            <v>41936</v>
          </cell>
        </row>
      </sheetData>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3:E41"/>
  <sheetViews>
    <sheetView tabSelected="1" workbookViewId="0">
      <selection activeCell="I15" sqref="I15"/>
    </sheetView>
  </sheetViews>
  <sheetFormatPr defaultRowHeight="15" x14ac:dyDescent="0.25"/>
  <cols>
    <col min="1" max="1" width="9.140625" style="17"/>
    <col min="2" max="2" width="32.28515625" style="17" customWidth="1"/>
    <col min="3" max="3" width="32" style="17" customWidth="1"/>
    <col min="4" max="4" width="20.85546875" style="17" customWidth="1"/>
    <col min="5" max="5" width="14" style="17" bestFit="1" customWidth="1"/>
    <col min="6" max="16384" width="9.140625" style="17"/>
  </cols>
  <sheetData>
    <row r="3" spans="2:5" x14ac:dyDescent="0.25">
      <c r="C3" s="18" t="s">
        <v>1</v>
      </c>
      <c r="D3" s="23">
        <f ca="1">TODAY()</f>
        <v>41943</v>
      </c>
    </row>
    <row r="4" spans="2:5" x14ac:dyDescent="0.25">
      <c r="C4" s="18" t="s">
        <v>0</v>
      </c>
      <c r="D4" s="24">
        <f ca="1">WORKDAY(TODAY(),-1)</f>
        <v>41942</v>
      </c>
    </row>
    <row r="5" spans="2:5" ht="15.75" thickBot="1" x14ac:dyDescent="0.3"/>
    <row r="6" spans="2:5" x14ac:dyDescent="0.25">
      <c r="B6" s="25" t="s">
        <v>1234</v>
      </c>
      <c r="C6" s="26"/>
      <c r="D6" s="27"/>
    </row>
    <row r="7" spans="2:5" x14ac:dyDescent="0.25">
      <c r="B7" s="14" t="s">
        <v>3</v>
      </c>
      <c r="C7" s="15" t="s">
        <v>4</v>
      </c>
      <c r="D7" s="16" t="s">
        <v>22</v>
      </c>
      <c r="E7" s="19"/>
    </row>
    <row r="8" spans="2:5" ht="15.75" thickBot="1" x14ac:dyDescent="0.3">
      <c r="B8" s="20" t="s">
        <v>159</v>
      </c>
      <c r="C8" s="21" t="s">
        <v>160</v>
      </c>
      <c r="D8" s="22">
        <v>2.0585497823431069</v>
      </c>
    </row>
    <row r="10" spans="2:5" ht="15.75" thickBot="1" x14ac:dyDescent="0.3"/>
    <row r="11" spans="2:5" x14ac:dyDescent="0.25">
      <c r="B11" s="25" t="s">
        <v>1233</v>
      </c>
      <c r="C11" s="26"/>
      <c r="D11" s="27"/>
    </row>
    <row r="12" spans="2:5" x14ac:dyDescent="0.25">
      <c r="B12" s="14" t="s">
        <v>3</v>
      </c>
      <c r="C12" s="15" t="s">
        <v>4</v>
      </c>
      <c r="D12" s="16" t="s">
        <v>22</v>
      </c>
    </row>
    <row r="13" spans="2:5" ht="15.75" thickBot="1" x14ac:dyDescent="0.3">
      <c r="B13" s="20" t="s">
        <v>757</v>
      </c>
      <c r="C13" s="21" t="s">
        <v>758</v>
      </c>
      <c r="D13" s="22">
        <v>2.2020668781809434</v>
      </c>
    </row>
    <row r="17" spans="2:4" ht="15.75" thickBot="1" x14ac:dyDescent="0.3"/>
    <row r="18" spans="2:4" x14ac:dyDescent="0.25">
      <c r="B18" s="28" t="s">
        <v>1248</v>
      </c>
      <c r="C18" s="29"/>
      <c r="D18" s="30"/>
    </row>
    <row r="19" spans="2:4" x14ac:dyDescent="0.25">
      <c r="B19" s="31"/>
      <c r="C19" s="32"/>
      <c r="D19" s="33"/>
    </row>
    <row r="20" spans="2:4" x14ac:dyDescent="0.25">
      <c r="B20" s="31"/>
      <c r="C20" s="32"/>
      <c r="D20" s="33"/>
    </row>
    <row r="21" spans="2:4" x14ac:dyDescent="0.25">
      <c r="B21" s="31"/>
      <c r="C21" s="32"/>
      <c r="D21" s="33"/>
    </row>
    <row r="22" spans="2:4" x14ac:dyDescent="0.25">
      <c r="B22" s="31"/>
      <c r="C22" s="32"/>
      <c r="D22" s="33"/>
    </row>
    <row r="23" spans="2:4" x14ac:dyDescent="0.25">
      <c r="B23" s="31"/>
      <c r="C23" s="32"/>
      <c r="D23" s="33"/>
    </row>
    <row r="24" spans="2:4" x14ac:dyDescent="0.25">
      <c r="B24" s="31"/>
      <c r="C24" s="32"/>
      <c r="D24" s="33"/>
    </row>
    <row r="25" spans="2:4" x14ac:dyDescent="0.25">
      <c r="B25" s="31"/>
      <c r="C25" s="32"/>
      <c r="D25" s="33"/>
    </row>
    <row r="26" spans="2:4" x14ac:dyDescent="0.25">
      <c r="B26" s="31"/>
      <c r="C26" s="32"/>
      <c r="D26" s="33"/>
    </row>
    <row r="27" spans="2:4" x14ac:dyDescent="0.25">
      <c r="B27" s="31"/>
      <c r="C27" s="32"/>
      <c r="D27" s="33"/>
    </row>
    <row r="28" spans="2:4" x14ac:dyDescent="0.25">
      <c r="B28" s="31"/>
      <c r="C28" s="32"/>
      <c r="D28" s="33"/>
    </row>
    <row r="29" spans="2:4" x14ac:dyDescent="0.25">
      <c r="B29" s="31"/>
      <c r="C29" s="32"/>
      <c r="D29" s="33"/>
    </row>
    <row r="30" spans="2:4" x14ac:dyDescent="0.25">
      <c r="B30" s="31"/>
      <c r="C30" s="32"/>
      <c r="D30" s="33"/>
    </row>
    <row r="31" spans="2:4" x14ac:dyDescent="0.25">
      <c r="B31" s="31"/>
      <c r="C31" s="32"/>
      <c r="D31" s="33"/>
    </row>
    <row r="32" spans="2:4" x14ac:dyDescent="0.25">
      <c r="B32" s="31"/>
      <c r="C32" s="32"/>
      <c r="D32" s="33"/>
    </row>
    <row r="33" spans="2:4" x14ac:dyDescent="0.25">
      <c r="B33" s="31"/>
      <c r="C33" s="32"/>
      <c r="D33" s="33"/>
    </row>
    <row r="34" spans="2:4" x14ac:dyDescent="0.25">
      <c r="B34" s="31"/>
      <c r="C34" s="32"/>
      <c r="D34" s="33"/>
    </row>
    <row r="35" spans="2:4" x14ac:dyDescent="0.25">
      <c r="B35" s="31"/>
      <c r="C35" s="32"/>
      <c r="D35" s="33"/>
    </row>
    <row r="36" spans="2:4" x14ac:dyDescent="0.25">
      <c r="B36" s="31"/>
      <c r="C36" s="32"/>
      <c r="D36" s="33"/>
    </row>
    <row r="37" spans="2:4" x14ac:dyDescent="0.25">
      <c r="B37" s="31"/>
      <c r="C37" s="32"/>
      <c r="D37" s="33"/>
    </row>
    <row r="38" spans="2:4" x14ac:dyDescent="0.25">
      <c r="B38" s="31"/>
      <c r="C38" s="32"/>
      <c r="D38" s="33"/>
    </row>
    <row r="39" spans="2:4" x14ac:dyDescent="0.25">
      <c r="B39" s="31"/>
      <c r="C39" s="32"/>
      <c r="D39" s="33"/>
    </row>
    <row r="40" spans="2:4" x14ac:dyDescent="0.25">
      <c r="B40" s="31"/>
      <c r="C40" s="32"/>
      <c r="D40" s="33"/>
    </row>
    <row r="41" spans="2:4" ht="15.75" thickBot="1" x14ac:dyDescent="0.3">
      <c r="B41" s="34"/>
      <c r="C41" s="35"/>
      <c r="D41" s="36"/>
    </row>
  </sheetData>
  <mergeCells count="3">
    <mergeCell ref="B6:D6"/>
    <mergeCell ref="B11:D11"/>
    <mergeCell ref="B18:D4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Load_Click">
                <anchor moveWithCells="1" sizeWithCells="1">
                  <from>
                    <xdr:col>1</xdr:col>
                    <xdr:colOff>0</xdr:colOff>
                    <xdr:row>2</xdr:row>
                    <xdr:rowOff>9525</xdr:rowOff>
                  </from>
                  <to>
                    <xdr:col>1</xdr:col>
                    <xdr:colOff>1438275</xdr:colOff>
                    <xdr:row>3</xdr:row>
                    <xdr:rowOff>180975</xdr:rowOff>
                  </to>
                </anchor>
              </controlPr>
            </control>
          </mc:Choice>
        </mc:AlternateContent>
        <mc:AlternateContent xmlns:mc="http://schemas.openxmlformats.org/markup-compatibility/2006">
          <mc:Choice Requires="x14">
            <control shapeId="1027" r:id="rId4" name="Button 3">
              <controlPr defaultSize="0" print="0" autoFill="0" autoPict="0" macro="[0]!SendEmail">
                <anchor moveWithCells="1" sizeWithCells="1">
                  <from>
                    <xdr:col>1</xdr:col>
                    <xdr:colOff>0</xdr:colOff>
                    <xdr:row>14</xdr:row>
                    <xdr:rowOff>0</xdr:rowOff>
                  </from>
                  <to>
                    <xdr:col>1</xdr:col>
                    <xdr:colOff>1457325</xdr:colOff>
                    <xdr:row>15</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521"/>
  <sheetViews>
    <sheetView topLeftCell="Q1" workbookViewId="0">
      <selection activeCell="Y2" sqref="Y2:Y609"/>
    </sheetView>
  </sheetViews>
  <sheetFormatPr defaultRowHeight="12.75" x14ac:dyDescent="0.2"/>
  <cols>
    <col min="1" max="1" width="12.140625" style="3" bestFit="1" customWidth="1"/>
    <col min="2" max="3" width="26.85546875" style="3" bestFit="1" customWidth="1"/>
    <col min="4" max="4" width="10.140625" style="3" bestFit="1" customWidth="1"/>
    <col min="5" max="5" width="9.140625" style="3"/>
    <col min="6" max="6" width="18.28515625" style="3" customWidth="1"/>
    <col min="7" max="7" width="24.140625" style="3" customWidth="1"/>
    <col min="8" max="20" width="9.140625" style="3"/>
    <col min="21" max="21" width="12" style="3" customWidth="1"/>
    <col min="22" max="256" width="9.140625" style="3"/>
    <col min="257" max="257" width="12.140625" style="3" bestFit="1" customWidth="1"/>
    <col min="258" max="259" width="26.85546875" style="3" bestFit="1" customWidth="1"/>
    <col min="260" max="260" width="10.140625" style="3" bestFit="1" customWidth="1"/>
    <col min="261" max="261" width="9.140625" style="3"/>
    <col min="262" max="262" width="18.28515625" style="3" customWidth="1"/>
    <col min="263" max="263" width="24.140625" style="3" customWidth="1"/>
    <col min="264" max="276" width="9.140625" style="3"/>
    <col min="277" max="277" width="12" style="3" customWidth="1"/>
    <col min="278" max="512" width="9.140625" style="3"/>
    <col min="513" max="513" width="12.140625" style="3" bestFit="1" customWidth="1"/>
    <col min="514" max="515" width="26.85546875" style="3" bestFit="1" customWidth="1"/>
    <col min="516" max="516" width="10.140625" style="3" bestFit="1" customWidth="1"/>
    <col min="517" max="517" width="9.140625" style="3"/>
    <col min="518" max="518" width="18.28515625" style="3" customWidth="1"/>
    <col min="519" max="519" width="24.140625" style="3" customWidth="1"/>
    <col min="520" max="532" width="9.140625" style="3"/>
    <col min="533" max="533" width="12" style="3" customWidth="1"/>
    <col min="534" max="768" width="9.140625" style="3"/>
    <col min="769" max="769" width="12.140625" style="3" bestFit="1" customWidth="1"/>
    <col min="770" max="771" width="26.85546875" style="3" bestFit="1" customWidth="1"/>
    <col min="772" max="772" width="10.140625" style="3" bestFit="1" customWidth="1"/>
    <col min="773" max="773" width="9.140625" style="3"/>
    <col min="774" max="774" width="18.28515625" style="3" customWidth="1"/>
    <col min="775" max="775" width="24.140625" style="3" customWidth="1"/>
    <col min="776" max="788" width="9.140625" style="3"/>
    <col min="789" max="789" width="12" style="3" customWidth="1"/>
    <col min="790" max="1024" width="9.140625" style="3"/>
    <col min="1025" max="1025" width="12.140625" style="3" bestFit="1" customWidth="1"/>
    <col min="1026" max="1027" width="26.85546875" style="3" bestFit="1" customWidth="1"/>
    <col min="1028" max="1028" width="10.140625" style="3" bestFit="1" customWidth="1"/>
    <col min="1029" max="1029" width="9.140625" style="3"/>
    <col min="1030" max="1030" width="18.28515625" style="3" customWidth="1"/>
    <col min="1031" max="1031" width="24.140625" style="3" customWidth="1"/>
    <col min="1032" max="1044" width="9.140625" style="3"/>
    <col min="1045" max="1045" width="12" style="3" customWidth="1"/>
    <col min="1046" max="1280" width="9.140625" style="3"/>
    <col min="1281" max="1281" width="12.140625" style="3" bestFit="1" customWidth="1"/>
    <col min="1282" max="1283" width="26.85546875" style="3" bestFit="1" customWidth="1"/>
    <col min="1284" max="1284" width="10.140625" style="3" bestFit="1" customWidth="1"/>
    <col min="1285" max="1285" width="9.140625" style="3"/>
    <col min="1286" max="1286" width="18.28515625" style="3" customWidth="1"/>
    <col min="1287" max="1287" width="24.140625" style="3" customWidth="1"/>
    <col min="1288" max="1300" width="9.140625" style="3"/>
    <col min="1301" max="1301" width="12" style="3" customWidth="1"/>
    <col min="1302" max="1536" width="9.140625" style="3"/>
    <col min="1537" max="1537" width="12.140625" style="3" bestFit="1" customWidth="1"/>
    <col min="1538" max="1539" width="26.85546875" style="3" bestFit="1" customWidth="1"/>
    <col min="1540" max="1540" width="10.140625" style="3" bestFit="1" customWidth="1"/>
    <col min="1541" max="1541" width="9.140625" style="3"/>
    <col min="1542" max="1542" width="18.28515625" style="3" customWidth="1"/>
    <col min="1543" max="1543" width="24.140625" style="3" customWidth="1"/>
    <col min="1544" max="1556" width="9.140625" style="3"/>
    <col min="1557" max="1557" width="12" style="3" customWidth="1"/>
    <col min="1558" max="1792" width="9.140625" style="3"/>
    <col min="1793" max="1793" width="12.140625" style="3" bestFit="1" customWidth="1"/>
    <col min="1794" max="1795" width="26.85546875" style="3" bestFit="1" customWidth="1"/>
    <col min="1796" max="1796" width="10.140625" style="3" bestFit="1" customWidth="1"/>
    <col min="1797" max="1797" width="9.140625" style="3"/>
    <col min="1798" max="1798" width="18.28515625" style="3" customWidth="1"/>
    <col min="1799" max="1799" width="24.140625" style="3" customWidth="1"/>
    <col min="1800" max="1812" width="9.140625" style="3"/>
    <col min="1813" max="1813" width="12" style="3" customWidth="1"/>
    <col min="1814" max="2048" width="9.140625" style="3"/>
    <col min="2049" max="2049" width="12.140625" style="3" bestFit="1" customWidth="1"/>
    <col min="2050" max="2051" width="26.85546875" style="3" bestFit="1" customWidth="1"/>
    <col min="2052" max="2052" width="10.140625" style="3" bestFit="1" customWidth="1"/>
    <col min="2053" max="2053" width="9.140625" style="3"/>
    <col min="2054" max="2054" width="18.28515625" style="3" customWidth="1"/>
    <col min="2055" max="2055" width="24.140625" style="3" customWidth="1"/>
    <col min="2056" max="2068" width="9.140625" style="3"/>
    <col min="2069" max="2069" width="12" style="3" customWidth="1"/>
    <col min="2070" max="2304" width="9.140625" style="3"/>
    <col min="2305" max="2305" width="12.140625" style="3" bestFit="1" customWidth="1"/>
    <col min="2306" max="2307" width="26.85546875" style="3" bestFit="1" customWidth="1"/>
    <col min="2308" max="2308" width="10.140625" style="3" bestFit="1" customWidth="1"/>
    <col min="2309" max="2309" width="9.140625" style="3"/>
    <col min="2310" max="2310" width="18.28515625" style="3" customWidth="1"/>
    <col min="2311" max="2311" width="24.140625" style="3" customWidth="1"/>
    <col min="2312" max="2324" width="9.140625" style="3"/>
    <col min="2325" max="2325" width="12" style="3" customWidth="1"/>
    <col min="2326" max="2560" width="9.140625" style="3"/>
    <col min="2561" max="2561" width="12.140625" style="3" bestFit="1" customWidth="1"/>
    <col min="2562" max="2563" width="26.85546875" style="3" bestFit="1" customWidth="1"/>
    <col min="2564" max="2564" width="10.140625" style="3" bestFit="1" customWidth="1"/>
    <col min="2565" max="2565" width="9.140625" style="3"/>
    <col min="2566" max="2566" width="18.28515625" style="3" customWidth="1"/>
    <col min="2567" max="2567" width="24.140625" style="3" customWidth="1"/>
    <col min="2568" max="2580" width="9.140625" style="3"/>
    <col min="2581" max="2581" width="12" style="3" customWidth="1"/>
    <col min="2582" max="2816" width="9.140625" style="3"/>
    <col min="2817" max="2817" width="12.140625" style="3" bestFit="1" customWidth="1"/>
    <col min="2818" max="2819" width="26.85546875" style="3" bestFit="1" customWidth="1"/>
    <col min="2820" max="2820" width="10.140625" style="3" bestFit="1" customWidth="1"/>
    <col min="2821" max="2821" width="9.140625" style="3"/>
    <col min="2822" max="2822" width="18.28515625" style="3" customWidth="1"/>
    <col min="2823" max="2823" width="24.140625" style="3" customWidth="1"/>
    <col min="2824" max="2836" width="9.140625" style="3"/>
    <col min="2837" max="2837" width="12" style="3" customWidth="1"/>
    <col min="2838" max="3072" width="9.140625" style="3"/>
    <col min="3073" max="3073" width="12.140625" style="3" bestFit="1" customWidth="1"/>
    <col min="3074" max="3075" width="26.85546875" style="3" bestFit="1" customWidth="1"/>
    <col min="3076" max="3076" width="10.140625" style="3" bestFit="1" customWidth="1"/>
    <col min="3077" max="3077" width="9.140625" style="3"/>
    <col min="3078" max="3078" width="18.28515625" style="3" customWidth="1"/>
    <col min="3079" max="3079" width="24.140625" style="3" customWidth="1"/>
    <col min="3080" max="3092" width="9.140625" style="3"/>
    <col min="3093" max="3093" width="12" style="3" customWidth="1"/>
    <col min="3094" max="3328" width="9.140625" style="3"/>
    <col min="3329" max="3329" width="12.140625" style="3" bestFit="1" customWidth="1"/>
    <col min="3330" max="3331" width="26.85546875" style="3" bestFit="1" customWidth="1"/>
    <col min="3332" max="3332" width="10.140625" style="3" bestFit="1" customWidth="1"/>
    <col min="3333" max="3333" width="9.140625" style="3"/>
    <col min="3334" max="3334" width="18.28515625" style="3" customWidth="1"/>
    <col min="3335" max="3335" width="24.140625" style="3" customWidth="1"/>
    <col min="3336" max="3348" width="9.140625" style="3"/>
    <col min="3349" max="3349" width="12" style="3" customWidth="1"/>
    <col min="3350" max="3584" width="9.140625" style="3"/>
    <col min="3585" max="3585" width="12.140625" style="3" bestFit="1" customWidth="1"/>
    <col min="3586" max="3587" width="26.85546875" style="3" bestFit="1" customWidth="1"/>
    <col min="3588" max="3588" width="10.140625" style="3" bestFit="1" customWidth="1"/>
    <col min="3589" max="3589" width="9.140625" style="3"/>
    <col min="3590" max="3590" width="18.28515625" style="3" customWidth="1"/>
    <col min="3591" max="3591" width="24.140625" style="3" customWidth="1"/>
    <col min="3592" max="3604" width="9.140625" style="3"/>
    <col min="3605" max="3605" width="12" style="3" customWidth="1"/>
    <col min="3606" max="3840" width="9.140625" style="3"/>
    <col min="3841" max="3841" width="12.140625" style="3" bestFit="1" customWidth="1"/>
    <col min="3842" max="3843" width="26.85546875" style="3" bestFit="1" customWidth="1"/>
    <col min="3844" max="3844" width="10.140625" style="3" bestFit="1" customWidth="1"/>
    <col min="3845" max="3845" width="9.140625" style="3"/>
    <col min="3846" max="3846" width="18.28515625" style="3" customWidth="1"/>
    <col min="3847" max="3847" width="24.140625" style="3" customWidth="1"/>
    <col min="3848" max="3860" width="9.140625" style="3"/>
    <col min="3861" max="3861" width="12" style="3" customWidth="1"/>
    <col min="3862" max="4096" width="9.140625" style="3"/>
    <col min="4097" max="4097" width="12.140625" style="3" bestFit="1" customWidth="1"/>
    <col min="4098" max="4099" width="26.85546875" style="3" bestFit="1" customWidth="1"/>
    <col min="4100" max="4100" width="10.140625" style="3" bestFit="1" customWidth="1"/>
    <col min="4101" max="4101" width="9.140625" style="3"/>
    <col min="4102" max="4102" width="18.28515625" style="3" customWidth="1"/>
    <col min="4103" max="4103" width="24.140625" style="3" customWidth="1"/>
    <col min="4104" max="4116" width="9.140625" style="3"/>
    <col min="4117" max="4117" width="12" style="3" customWidth="1"/>
    <col min="4118" max="4352" width="9.140625" style="3"/>
    <col min="4353" max="4353" width="12.140625" style="3" bestFit="1" customWidth="1"/>
    <col min="4354" max="4355" width="26.85546875" style="3" bestFit="1" customWidth="1"/>
    <col min="4356" max="4356" width="10.140625" style="3" bestFit="1" customWidth="1"/>
    <col min="4357" max="4357" width="9.140625" style="3"/>
    <col min="4358" max="4358" width="18.28515625" style="3" customWidth="1"/>
    <col min="4359" max="4359" width="24.140625" style="3" customWidth="1"/>
    <col min="4360" max="4372" width="9.140625" style="3"/>
    <col min="4373" max="4373" width="12" style="3" customWidth="1"/>
    <col min="4374" max="4608" width="9.140625" style="3"/>
    <col min="4609" max="4609" width="12.140625" style="3" bestFit="1" customWidth="1"/>
    <col min="4610" max="4611" width="26.85546875" style="3" bestFit="1" customWidth="1"/>
    <col min="4612" max="4612" width="10.140625" style="3" bestFit="1" customWidth="1"/>
    <col min="4613" max="4613" width="9.140625" style="3"/>
    <col min="4614" max="4614" width="18.28515625" style="3" customWidth="1"/>
    <col min="4615" max="4615" width="24.140625" style="3" customWidth="1"/>
    <col min="4616" max="4628" width="9.140625" style="3"/>
    <col min="4629" max="4629" width="12" style="3" customWidth="1"/>
    <col min="4630" max="4864" width="9.140625" style="3"/>
    <col min="4865" max="4865" width="12.140625" style="3" bestFit="1" customWidth="1"/>
    <col min="4866" max="4867" width="26.85546875" style="3" bestFit="1" customWidth="1"/>
    <col min="4868" max="4868" width="10.140625" style="3" bestFit="1" customWidth="1"/>
    <col min="4869" max="4869" width="9.140625" style="3"/>
    <col min="4870" max="4870" width="18.28515625" style="3" customWidth="1"/>
    <col min="4871" max="4871" width="24.140625" style="3" customWidth="1"/>
    <col min="4872" max="4884" width="9.140625" style="3"/>
    <col min="4885" max="4885" width="12" style="3" customWidth="1"/>
    <col min="4886" max="5120" width="9.140625" style="3"/>
    <col min="5121" max="5121" width="12.140625" style="3" bestFit="1" customWidth="1"/>
    <col min="5122" max="5123" width="26.85546875" style="3" bestFit="1" customWidth="1"/>
    <col min="5124" max="5124" width="10.140625" style="3" bestFit="1" customWidth="1"/>
    <col min="5125" max="5125" width="9.140625" style="3"/>
    <col min="5126" max="5126" width="18.28515625" style="3" customWidth="1"/>
    <col min="5127" max="5127" width="24.140625" style="3" customWidth="1"/>
    <col min="5128" max="5140" width="9.140625" style="3"/>
    <col min="5141" max="5141" width="12" style="3" customWidth="1"/>
    <col min="5142" max="5376" width="9.140625" style="3"/>
    <col min="5377" max="5377" width="12.140625" style="3" bestFit="1" customWidth="1"/>
    <col min="5378" max="5379" width="26.85546875" style="3" bestFit="1" customWidth="1"/>
    <col min="5380" max="5380" width="10.140625" style="3" bestFit="1" customWidth="1"/>
    <col min="5381" max="5381" width="9.140625" style="3"/>
    <col min="5382" max="5382" width="18.28515625" style="3" customWidth="1"/>
    <col min="5383" max="5383" width="24.140625" style="3" customWidth="1"/>
    <col min="5384" max="5396" width="9.140625" style="3"/>
    <col min="5397" max="5397" width="12" style="3" customWidth="1"/>
    <col min="5398" max="5632" width="9.140625" style="3"/>
    <col min="5633" max="5633" width="12.140625" style="3" bestFit="1" customWidth="1"/>
    <col min="5634" max="5635" width="26.85546875" style="3" bestFit="1" customWidth="1"/>
    <col min="5636" max="5636" width="10.140625" style="3" bestFit="1" customWidth="1"/>
    <col min="5637" max="5637" width="9.140625" style="3"/>
    <col min="5638" max="5638" width="18.28515625" style="3" customWidth="1"/>
    <col min="5639" max="5639" width="24.140625" style="3" customWidth="1"/>
    <col min="5640" max="5652" width="9.140625" style="3"/>
    <col min="5653" max="5653" width="12" style="3" customWidth="1"/>
    <col min="5654" max="5888" width="9.140625" style="3"/>
    <col min="5889" max="5889" width="12.140625" style="3" bestFit="1" customWidth="1"/>
    <col min="5890" max="5891" width="26.85546875" style="3" bestFit="1" customWidth="1"/>
    <col min="5892" max="5892" width="10.140625" style="3" bestFit="1" customWidth="1"/>
    <col min="5893" max="5893" width="9.140625" style="3"/>
    <col min="5894" max="5894" width="18.28515625" style="3" customWidth="1"/>
    <col min="5895" max="5895" width="24.140625" style="3" customWidth="1"/>
    <col min="5896" max="5908" width="9.140625" style="3"/>
    <col min="5909" max="5909" width="12" style="3" customWidth="1"/>
    <col min="5910" max="6144" width="9.140625" style="3"/>
    <col min="6145" max="6145" width="12.140625" style="3" bestFit="1" customWidth="1"/>
    <col min="6146" max="6147" width="26.85546875" style="3" bestFit="1" customWidth="1"/>
    <col min="6148" max="6148" width="10.140625" style="3" bestFit="1" customWidth="1"/>
    <col min="6149" max="6149" width="9.140625" style="3"/>
    <col min="6150" max="6150" width="18.28515625" style="3" customWidth="1"/>
    <col min="6151" max="6151" width="24.140625" style="3" customWidth="1"/>
    <col min="6152" max="6164" width="9.140625" style="3"/>
    <col min="6165" max="6165" width="12" style="3" customWidth="1"/>
    <col min="6166" max="6400" width="9.140625" style="3"/>
    <col min="6401" max="6401" width="12.140625" style="3" bestFit="1" customWidth="1"/>
    <col min="6402" max="6403" width="26.85546875" style="3" bestFit="1" customWidth="1"/>
    <col min="6404" max="6404" width="10.140625" style="3" bestFit="1" customWidth="1"/>
    <col min="6405" max="6405" width="9.140625" style="3"/>
    <col min="6406" max="6406" width="18.28515625" style="3" customWidth="1"/>
    <col min="6407" max="6407" width="24.140625" style="3" customWidth="1"/>
    <col min="6408" max="6420" width="9.140625" style="3"/>
    <col min="6421" max="6421" width="12" style="3" customWidth="1"/>
    <col min="6422" max="6656" width="9.140625" style="3"/>
    <col min="6657" max="6657" width="12.140625" style="3" bestFit="1" customWidth="1"/>
    <col min="6658" max="6659" width="26.85546875" style="3" bestFit="1" customWidth="1"/>
    <col min="6660" max="6660" width="10.140625" style="3" bestFit="1" customWidth="1"/>
    <col min="6661" max="6661" width="9.140625" style="3"/>
    <col min="6662" max="6662" width="18.28515625" style="3" customWidth="1"/>
    <col min="6663" max="6663" width="24.140625" style="3" customWidth="1"/>
    <col min="6664" max="6676" width="9.140625" style="3"/>
    <col min="6677" max="6677" width="12" style="3" customWidth="1"/>
    <col min="6678" max="6912" width="9.140625" style="3"/>
    <col min="6913" max="6913" width="12.140625" style="3" bestFit="1" customWidth="1"/>
    <col min="6914" max="6915" width="26.85546875" style="3" bestFit="1" customWidth="1"/>
    <col min="6916" max="6916" width="10.140625" style="3" bestFit="1" customWidth="1"/>
    <col min="6917" max="6917" width="9.140625" style="3"/>
    <col min="6918" max="6918" width="18.28515625" style="3" customWidth="1"/>
    <col min="6919" max="6919" width="24.140625" style="3" customWidth="1"/>
    <col min="6920" max="6932" width="9.140625" style="3"/>
    <col min="6933" max="6933" width="12" style="3" customWidth="1"/>
    <col min="6934" max="7168" width="9.140625" style="3"/>
    <col min="7169" max="7169" width="12.140625" style="3" bestFit="1" customWidth="1"/>
    <col min="7170" max="7171" width="26.85546875" style="3" bestFit="1" customWidth="1"/>
    <col min="7172" max="7172" width="10.140625" style="3" bestFit="1" customWidth="1"/>
    <col min="7173" max="7173" width="9.140625" style="3"/>
    <col min="7174" max="7174" width="18.28515625" style="3" customWidth="1"/>
    <col min="7175" max="7175" width="24.140625" style="3" customWidth="1"/>
    <col min="7176" max="7188" width="9.140625" style="3"/>
    <col min="7189" max="7189" width="12" style="3" customWidth="1"/>
    <col min="7190" max="7424" width="9.140625" style="3"/>
    <col min="7425" max="7425" width="12.140625" style="3" bestFit="1" customWidth="1"/>
    <col min="7426" max="7427" width="26.85546875" style="3" bestFit="1" customWidth="1"/>
    <col min="7428" max="7428" width="10.140625" style="3" bestFit="1" customWidth="1"/>
    <col min="7429" max="7429" width="9.140625" style="3"/>
    <col min="7430" max="7430" width="18.28515625" style="3" customWidth="1"/>
    <col min="7431" max="7431" width="24.140625" style="3" customWidth="1"/>
    <col min="7432" max="7444" width="9.140625" style="3"/>
    <col min="7445" max="7445" width="12" style="3" customWidth="1"/>
    <col min="7446" max="7680" width="9.140625" style="3"/>
    <col min="7681" max="7681" width="12.140625" style="3" bestFit="1" customWidth="1"/>
    <col min="7682" max="7683" width="26.85546875" style="3" bestFit="1" customWidth="1"/>
    <col min="7684" max="7684" width="10.140625" style="3" bestFit="1" customWidth="1"/>
    <col min="7685" max="7685" width="9.140625" style="3"/>
    <col min="7686" max="7686" width="18.28515625" style="3" customWidth="1"/>
    <col min="7687" max="7687" width="24.140625" style="3" customWidth="1"/>
    <col min="7688" max="7700" width="9.140625" style="3"/>
    <col min="7701" max="7701" width="12" style="3" customWidth="1"/>
    <col min="7702" max="7936" width="9.140625" style="3"/>
    <col min="7937" max="7937" width="12.140625" style="3" bestFit="1" customWidth="1"/>
    <col min="7938" max="7939" width="26.85546875" style="3" bestFit="1" customWidth="1"/>
    <col min="7940" max="7940" width="10.140625" style="3" bestFit="1" customWidth="1"/>
    <col min="7941" max="7941" width="9.140625" style="3"/>
    <col min="7942" max="7942" width="18.28515625" style="3" customWidth="1"/>
    <col min="7943" max="7943" width="24.140625" style="3" customWidth="1"/>
    <col min="7944" max="7956" width="9.140625" style="3"/>
    <col min="7957" max="7957" width="12" style="3" customWidth="1"/>
    <col min="7958" max="8192" width="9.140625" style="3"/>
    <col min="8193" max="8193" width="12.140625" style="3" bestFit="1" customWidth="1"/>
    <col min="8194" max="8195" width="26.85546875" style="3" bestFit="1" customWidth="1"/>
    <col min="8196" max="8196" width="10.140625" style="3" bestFit="1" customWidth="1"/>
    <col min="8197" max="8197" width="9.140625" style="3"/>
    <col min="8198" max="8198" width="18.28515625" style="3" customWidth="1"/>
    <col min="8199" max="8199" width="24.140625" style="3" customWidth="1"/>
    <col min="8200" max="8212" width="9.140625" style="3"/>
    <col min="8213" max="8213" width="12" style="3" customWidth="1"/>
    <col min="8214" max="8448" width="9.140625" style="3"/>
    <col min="8449" max="8449" width="12.140625" style="3" bestFit="1" customWidth="1"/>
    <col min="8450" max="8451" width="26.85546875" style="3" bestFit="1" customWidth="1"/>
    <col min="8452" max="8452" width="10.140625" style="3" bestFit="1" customWidth="1"/>
    <col min="8453" max="8453" width="9.140625" style="3"/>
    <col min="8454" max="8454" width="18.28515625" style="3" customWidth="1"/>
    <col min="8455" max="8455" width="24.140625" style="3" customWidth="1"/>
    <col min="8456" max="8468" width="9.140625" style="3"/>
    <col min="8469" max="8469" width="12" style="3" customWidth="1"/>
    <col min="8470" max="8704" width="9.140625" style="3"/>
    <col min="8705" max="8705" width="12.140625" style="3" bestFit="1" customWidth="1"/>
    <col min="8706" max="8707" width="26.85546875" style="3" bestFit="1" customWidth="1"/>
    <col min="8708" max="8708" width="10.140625" style="3" bestFit="1" customWidth="1"/>
    <col min="8709" max="8709" width="9.140625" style="3"/>
    <col min="8710" max="8710" width="18.28515625" style="3" customWidth="1"/>
    <col min="8711" max="8711" width="24.140625" style="3" customWidth="1"/>
    <col min="8712" max="8724" width="9.140625" style="3"/>
    <col min="8725" max="8725" width="12" style="3" customWidth="1"/>
    <col min="8726" max="8960" width="9.140625" style="3"/>
    <col min="8961" max="8961" width="12.140625" style="3" bestFit="1" customWidth="1"/>
    <col min="8962" max="8963" width="26.85546875" style="3" bestFit="1" customWidth="1"/>
    <col min="8964" max="8964" width="10.140625" style="3" bestFit="1" customWidth="1"/>
    <col min="8965" max="8965" width="9.140625" style="3"/>
    <col min="8966" max="8966" width="18.28515625" style="3" customWidth="1"/>
    <col min="8967" max="8967" width="24.140625" style="3" customWidth="1"/>
    <col min="8968" max="8980" width="9.140625" style="3"/>
    <col min="8981" max="8981" width="12" style="3" customWidth="1"/>
    <col min="8982" max="9216" width="9.140625" style="3"/>
    <col min="9217" max="9217" width="12.140625" style="3" bestFit="1" customWidth="1"/>
    <col min="9218" max="9219" width="26.85546875" style="3" bestFit="1" customWidth="1"/>
    <col min="9220" max="9220" width="10.140625" style="3" bestFit="1" customWidth="1"/>
    <col min="9221" max="9221" width="9.140625" style="3"/>
    <col min="9222" max="9222" width="18.28515625" style="3" customWidth="1"/>
    <col min="9223" max="9223" width="24.140625" style="3" customWidth="1"/>
    <col min="9224" max="9236" width="9.140625" style="3"/>
    <col min="9237" max="9237" width="12" style="3" customWidth="1"/>
    <col min="9238" max="9472" width="9.140625" style="3"/>
    <col min="9473" max="9473" width="12.140625" style="3" bestFit="1" customWidth="1"/>
    <col min="9474" max="9475" width="26.85546875" style="3" bestFit="1" customWidth="1"/>
    <col min="9476" max="9476" width="10.140625" style="3" bestFit="1" customWidth="1"/>
    <col min="9477" max="9477" width="9.140625" style="3"/>
    <col min="9478" max="9478" width="18.28515625" style="3" customWidth="1"/>
    <col min="9479" max="9479" width="24.140625" style="3" customWidth="1"/>
    <col min="9480" max="9492" width="9.140625" style="3"/>
    <col min="9493" max="9493" width="12" style="3" customWidth="1"/>
    <col min="9494" max="9728" width="9.140625" style="3"/>
    <col min="9729" max="9729" width="12.140625" style="3" bestFit="1" customWidth="1"/>
    <col min="9730" max="9731" width="26.85546875" style="3" bestFit="1" customWidth="1"/>
    <col min="9732" max="9732" width="10.140625" style="3" bestFit="1" customWidth="1"/>
    <col min="9733" max="9733" width="9.140625" style="3"/>
    <col min="9734" max="9734" width="18.28515625" style="3" customWidth="1"/>
    <col min="9735" max="9735" width="24.140625" style="3" customWidth="1"/>
    <col min="9736" max="9748" width="9.140625" style="3"/>
    <col min="9749" max="9749" width="12" style="3" customWidth="1"/>
    <col min="9750" max="9984" width="9.140625" style="3"/>
    <col min="9985" max="9985" width="12.140625" style="3" bestFit="1" customWidth="1"/>
    <col min="9986" max="9987" width="26.85546875" style="3" bestFit="1" customWidth="1"/>
    <col min="9988" max="9988" width="10.140625" style="3" bestFit="1" customWidth="1"/>
    <col min="9989" max="9989" width="9.140625" style="3"/>
    <col min="9990" max="9990" width="18.28515625" style="3" customWidth="1"/>
    <col min="9991" max="9991" width="24.140625" style="3" customWidth="1"/>
    <col min="9992" max="10004" width="9.140625" style="3"/>
    <col min="10005" max="10005" width="12" style="3" customWidth="1"/>
    <col min="10006" max="10240" width="9.140625" style="3"/>
    <col min="10241" max="10241" width="12.140625" style="3" bestFit="1" customWidth="1"/>
    <col min="10242" max="10243" width="26.85546875" style="3" bestFit="1" customWidth="1"/>
    <col min="10244" max="10244" width="10.140625" style="3" bestFit="1" customWidth="1"/>
    <col min="10245" max="10245" width="9.140625" style="3"/>
    <col min="10246" max="10246" width="18.28515625" style="3" customWidth="1"/>
    <col min="10247" max="10247" width="24.140625" style="3" customWidth="1"/>
    <col min="10248" max="10260" width="9.140625" style="3"/>
    <col min="10261" max="10261" width="12" style="3" customWidth="1"/>
    <col min="10262" max="10496" width="9.140625" style="3"/>
    <col min="10497" max="10497" width="12.140625" style="3" bestFit="1" customWidth="1"/>
    <col min="10498" max="10499" width="26.85546875" style="3" bestFit="1" customWidth="1"/>
    <col min="10500" max="10500" width="10.140625" style="3" bestFit="1" customWidth="1"/>
    <col min="10501" max="10501" width="9.140625" style="3"/>
    <col min="10502" max="10502" width="18.28515625" style="3" customWidth="1"/>
    <col min="10503" max="10503" width="24.140625" style="3" customWidth="1"/>
    <col min="10504" max="10516" width="9.140625" style="3"/>
    <col min="10517" max="10517" width="12" style="3" customWidth="1"/>
    <col min="10518" max="10752" width="9.140625" style="3"/>
    <col min="10753" max="10753" width="12.140625" style="3" bestFit="1" customWidth="1"/>
    <col min="10754" max="10755" width="26.85546875" style="3" bestFit="1" customWidth="1"/>
    <col min="10756" max="10756" width="10.140625" style="3" bestFit="1" customWidth="1"/>
    <col min="10757" max="10757" width="9.140625" style="3"/>
    <col min="10758" max="10758" width="18.28515625" style="3" customWidth="1"/>
    <col min="10759" max="10759" width="24.140625" style="3" customWidth="1"/>
    <col min="10760" max="10772" width="9.140625" style="3"/>
    <col min="10773" max="10773" width="12" style="3" customWidth="1"/>
    <col min="10774" max="11008" width="9.140625" style="3"/>
    <col min="11009" max="11009" width="12.140625" style="3" bestFit="1" customWidth="1"/>
    <col min="11010" max="11011" width="26.85546875" style="3" bestFit="1" customWidth="1"/>
    <col min="11012" max="11012" width="10.140625" style="3" bestFit="1" customWidth="1"/>
    <col min="11013" max="11013" width="9.140625" style="3"/>
    <col min="11014" max="11014" width="18.28515625" style="3" customWidth="1"/>
    <col min="11015" max="11015" width="24.140625" style="3" customWidth="1"/>
    <col min="11016" max="11028" width="9.140625" style="3"/>
    <col min="11029" max="11029" width="12" style="3" customWidth="1"/>
    <col min="11030" max="11264" width="9.140625" style="3"/>
    <col min="11265" max="11265" width="12.140625" style="3" bestFit="1" customWidth="1"/>
    <col min="11266" max="11267" width="26.85546875" style="3" bestFit="1" customWidth="1"/>
    <col min="11268" max="11268" width="10.140625" style="3" bestFit="1" customWidth="1"/>
    <col min="11269" max="11269" width="9.140625" style="3"/>
    <col min="11270" max="11270" width="18.28515625" style="3" customWidth="1"/>
    <col min="11271" max="11271" width="24.140625" style="3" customWidth="1"/>
    <col min="11272" max="11284" width="9.140625" style="3"/>
    <col min="11285" max="11285" width="12" style="3" customWidth="1"/>
    <col min="11286" max="11520" width="9.140625" style="3"/>
    <col min="11521" max="11521" width="12.140625" style="3" bestFit="1" customWidth="1"/>
    <col min="11522" max="11523" width="26.85546875" style="3" bestFit="1" customWidth="1"/>
    <col min="11524" max="11524" width="10.140625" style="3" bestFit="1" customWidth="1"/>
    <col min="11525" max="11525" width="9.140625" style="3"/>
    <col min="11526" max="11526" width="18.28515625" style="3" customWidth="1"/>
    <col min="11527" max="11527" width="24.140625" style="3" customWidth="1"/>
    <col min="11528" max="11540" width="9.140625" style="3"/>
    <col min="11541" max="11541" width="12" style="3" customWidth="1"/>
    <col min="11542" max="11776" width="9.140625" style="3"/>
    <col min="11777" max="11777" width="12.140625" style="3" bestFit="1" customWidth="1"/>
    <col min="11778" max="11779" width="26.85546875" style="3" bestFit="1" customWidth="1"/>
    <col min="11780" max="11780" width="10.140625" style="3" bestFit="1" customWidth="1"/>
    <col min="11781" max="11781" width="9.140625" style="3"/>
    <col min="11782" max="11782" width="18.28515625" style="3" customWidth="1"/>
    <col min="11783" max="11783" width="24.140625" style="3" customWidth="1"/>
    <col min="11784" max="11796" width="9.140625" style="3"/>
    <col min="11797" max="11797" width="12" style="3" customWidth="1"/>
    <col min="11798" max="12032" width="9.140625" style="3"/>
    <col min="12033" max="12033" width="12.140625" style="3" bestFit="1" customWidth="1"/>
    <col min="12034" max="12035" width="26.85546875" style="3" bestFit="1" customWidth="1"/>
    <col min="12036" max="12036" width="10.140625" style="3" bestFit="1" customWidth="1"/>
    <col min="12037" max="12037" width="9.140625" style="3"/>
    <col min="12038" max="12038" width="18.28515625" style="3" customWidth="1"/>
    <col min="12039" max="12039" width="24.140625" style="3" customWidth="1"/>
    <col min="12040" max="12052" width="9.140625" style="3"/>
    <col min="12053" max="12053" width="12" style="3" customWidth="1"/>
    <col min="12054" max="12288" width="9.140625" style="3"/>
    <col min="12289" max="12289" width="12.140625" style="3" bestFit="1" customWidth="1"/>
    <col min="12290" max="12291" width="26.85546875" style="3" bestFit="1" customWidth="1"/>
    <col min="12292" max="12292" width="10.140625" style="3" bestFit="1" customWidth="1"/>
    <col min="12293" max="12293" width="9.140625" style="3"/>
    <col min="12294" max="12294" width="18.28515625" style="3" customWidth="1"/>
    <col min="12295" max="12295" width="24.140625" style="3" customWidth="1"/>
    <col min="12296" max="12308" width="9.140625" style="3"/>
    <col min="12309" max="12309" width="12" style="3" customWidth="1"/>
    <col min="12310" max="12544" width="9.140625" style="3"/>
    <col min="12545" max="12545" width="12.140625" style="3" bestFit="1" customWidth="1"/>
    <col min="12546" max="12547" width="26.85546875" style="3" bestFit="1" customWidth="1"/>
    <col min="12548" max="12548" width="10.140625" style="3" bestFit="1" customWidth="1"/>
    <col min="12549" max="12549" width="9.140625" style="3"/>
    <col min="12550" max="12550" width="18.28515625" style="3" customWidth="1"/>
    <col min="12551" max="12551" width="24.140625" style="3" customWidth="1"/>
    <col min="12552" max="12564" width="9.140625" style="3"/>
    <col min="12565" max="12565" width="12" style="3" customWidth="1"/>
    <col min="12566" max="12800" width="9.140625" style="3"/>
    <col min="12801" max="12801" width="12.140625" style="3" bestFit="1" customWidth="1"/>
    <col min="12802" max="12803" width="26.85546875" style="3" bestFit="1" customWidth="1"/>
    <col min="12804" max="12804" width="10.140625" style="3" bestFit="1" customWidth="1"/>
    <col min="12805" max="12805" width="9.140625" style="3"/>
    <col min="12806" max="12806" width="18.28515625" style="3" customWidth="1"/>
    <col min="12807" max="12807" width="24.140625" style="3" customWidth="1"/>
    <col min="12808" max="12820" width="9.140625" style="3"/>
    <col min="12821" max="12821" width="12" style="3" customWidth="1"/>
    <col min="12822" max="13056" width="9.140625" style="3"/>
    <col min="13057" max="13057" width="12.140625" style="3" bestFit="1" customWidth="1"/>
    <col min="13058" max="13059" width="26.85546875" style="3" bestFit="1" customWidth="1"/>
    <col min="13060" max="13060" width="10.140625" style="3" bestFit="1" customWidth="1"/>
    <col min="13061" max="13061" width="9.140625" style="3"/>
    <col min="13062" max="13062" width="18.28515625" style="3" customWidth="1"/>
    <col min="13063" max="13063" width="24.140625" style="3" customWidth="1"/>
    <col min="13064" max="13076" width="9.140625" style="3"/>
    <col min="13077" max="13077" width="12" style="3" customWidth="1"/>
    <col min="13078" max="13312" width="9.140625" style="3"/>
    <col min="13313" max="13313" width="12.140625" style="3" bestFit="1" customWidth="1"/>
    <col min="13314" max="13315" width="26.85546875" style="3" bestFit="1" customWidth="1"/>
    <col min="13316" max="13316" width="10.140625" style="3" bestFit="1" customWidth="1"/>
    <col min="13317" max="13317" width="9.140625" style="3"/>
    <col min="13318" max="13318" width="18.28515625" style="3" customWidth="1"/>
    <col min="13319" max="13319" width="24.140625" style="3" customWidth="1"/>
    <col min="13320" max="13332" width="9.140625" style="3"/>
    <col min="13333" max="13333" width="12" style="3" customWidth="1"/>
    <col min="13334" max="13568" width="9.140625" style="3"/>
    <col min="13569" max="13569" width="12.140625" style="3" bestFit="1" customWidth="1"/>
    <col min="13570" max="13571" width="26.85546875" style="3" bestFit="1" customWidth="1"/>
    <col min="13572" max="13572" width="10.140625" style="3" bestFit="1" customWidth="1"/>
    <col min="13573" max="13573" width="9.140625" style="3"/>
    <col min="13574" max="13574" width="18.28515625" style="3" customWidth="1"/>
    <col min="13575" max="13575" width="24.140625" style="3" customWidth="1"/>
    <col min="13576" max="13588" width="9.140625" style="3"/>
    <col min="13589" max="13589" width="12" style="3" customWidth="1"/>
    <col min="13590" max="13824" width="9.140625" style="3"/>
    <col min="13825" max="13825" width="12.140625" style="3" bestFit="1" customWidth="1"/>
    <col min="13826" max="13827" width="26.85546875" style="3" bestFit="1" customWidth="1"/>
    <col min="13828" max="13828" width="10.140625" style="3" bestFit="1" customWidth="1"/>
    <col min="13829" max="13829" width="9.140625" style="3"/>
    <col min="13830" max="13830" width="18.28515625" style="3" customWidth="1"/>
    <col min="13831" max="13831" width="24.140625" style="3" customWidth="1"/>
    <col min="13832" max="13844" width="9.140625" style="3"/>
    <col min="13845" max="13845" width="12" style="3" customWidth="1"/>
    <col min="13846" max="14080" width="9.140625" style="3"/>
    <col min="14081" max="14081" width="12.140625" style="3" bestFit="1" customWidth="1"/>
    <col min="14082" max="14083" width="26.85546875" style="3" bestFit="1" customWidth="1"/>
    <col min="14084" max="14084" width="10.140625" style="3" bestFit="1" customWidth="1"/>
    <col min="14085" max="14085" width="9.140625" style="3"/>
    <col min="14086" max="14086" width="18.28515625" style="3" customWidth="1"/>
    <col min="14087" max="14087" width="24.140625" style="3" customWidth="1"/>
    <col min="14088" max="14100" width="9.140625" style="3"/>
    <col min="14101" max="14101" width="12" style="3" customWidth="1"/>
    <col min="14102" max="14336" width="9.140625" style="3"/>
    <col min="14337" max="14337" width="12.140625" style="3" bestFit="1" customWidth="1"/>
    <col min="14338" max="14339" width="26.85546875" style="3" bestFit="1" customWidth="1"/>
    <col min="14340" max="14340" width="10.140625" style="3" bestFit="1" customWidth="1"/>
    <col min="14341" max="14341" width="9.140625" style="3"/>
    <col min="14342" max="14342" width="18.28515625" style="3" customWidth="1"/>
    <col min="14343" max="14343" width="24.140625" style="3" customWidth="1"/>
    <col min="14344" max="14356" width="9.140625" style="3"/>
    <col min="14357" max="14357" width="12" style="3" customWidth="1"/>
    <col min="14358" max="14592" width="9.140625" style="3"/>
    <col min="14593" max="14593" width="12.140625" style="3" bestFit="1" customWidth="1"/>
    <col min="14594" max="14595" width="26.85546875" style="3" bestFit="1" customWidth="1"/>
    <col min="14596" max="14596" width="10.140625" style="3" bestFit="1" customWidth="1"/>
    <col min="14597" max="14597" width="9.140625" style="3"/>
    <col min="14598" max="14598" width="18.28515625" style="3" customWidth="1"/>
    <col min="14599" max="14599" width="24.140625" style="3" customWidth="1"/>
    <col min="14600" max="14612" width="9.140625" style="3"/>
    <col min="14613" max="14613" width="12" style="3" customWidth="1"/>
    <col min="14614" max="14848" width="9.140625" style="3"/>
    <col min="14849" max="14849" width="12.140625" style="3" bestFit="1" customWidth="1"/>
    <col min="14850" max="14851" width="26.85546875" style="3" bestFit="1" customWidth="1"/>
    <col min="14852" max="14852" width="10.140625" style="3" bestFit="1" customWidth="1"/>
    <col min="14853" max="14853" width="9.140625" style="3"/>
    <col min="14854" max="14854" width="18.28515625" style="3" customWidth="1"/>
    <col min="14855" max="14855" width="24.140625" style="3" customWidth="1"/>
    <col min="14856" max="14868" width="9.140625" style="3"/>
    <col min="14869" max="14869" width="12" style="3" customWidth="1"/>
    <col min="14870" max="15104" width="9.140625" style="3"/>
    <col min="15105" max="15105" width="12.140625" style="3" bestFit="1" customWidth="1"/>
    <col min="15106" max="15107" width="26.85546875" style="3" bestFit="1" customWidth="1"/>
    <col min="15108" max="15108" width="10.140625" style="3" bestFit="1" customWidth="1"/>
    <col min="15109" max="15109" width="9.140625" style="3"/>
    <col min="15110" max="15110" width="18.28515625" style="3" customWidth="1"/>
    <col min="15111" max="15111" width="24.140625" style="3" customWidth="1"/>
    <col min="15112" max="15124" width="9.140625" style="3"/>
    <col min="15125" max="15125" width="12" style="3" customWidth="1"/>
    <col min="15126" max="15360" width="9.140625" style="3"/>
    <col min="15361" max="15361" width="12.140625" style="3" bestFit="1" customWidth="1"/>
    <col min="15362" max="15363" width="26.85546875" style="3" bestFit="1" customWidth="1"/>
    <col min="15364" max="15364" width="10.140625" style="3" bestFit="1" customWidth="1"/>
    <col min="15365" max="15365" width="9.140625" style="3"/>
    <col min="15366" max="15366" width="18.28515625" style="3" customWidth="1"/>
    <col min="15367" max="15367" width="24.140625" style="3" customWidth="1"/>
    <col min="15368" max="15380" width="9.140625" style="3"/>
    <col min="15381" max="15381" width="12" style="3" customWidth="1"/>
    <col min="15382" max="15616" width="9.140625" style="3"/>
    <col min="15617" max="15617" width="12.140625" style="3" bestFit="1" customWidth="1"/>
    <col min="15618" max="15619" width="26.85546875" style="3" bestFit="1" customWidth="1"/>
    <col min="15620" max="15620" width="10.140625" style="3" bestFit="1" customWidth="1"/>
    <col min="15621" max="15621" width="9.140625" style="3"/>
    <col min="15622" max="15622" width="18.28515625" style="3" customWidth="1"/>
    <col min="15623" max="15623" width="24.140625" style="3" customWidth="1"/>
    <col min="15624" max="15636" width="9.140625" style="3"/>
    <col min="15637" max="15637" width="12" style="3" customWidth="1"/>
    <col min="15638" max="15872" width="9.140625" style="3"/>
    <col min="15873" max="15873" width="12.140625" style="3" bestFit="1" customWidth="1"/>
    <col min="15874" max="15875" width="26.85546875" style="3" bestFit="1" customWidth="1"/>
    <col min="15876" max="15876" width="10.140625" style="3" bestFit="1" customWidth="1"/>
    <col min="15877" max="15877" width="9.140625" style="3"/>
    <col min="15878" max="15878" width="18.28515625" style="3" customWidth="1"/>
    <col min="15879" max="15879" width="24.140625" style="3" customWidth="1"/>
    <col min="15880" max="15892" width="9.140625" style="3"/>
    <col min="15893" max="15893" width="12" style="3" customWidth="1"/>
    <col min="15894" max="16128" width="9.140625" style="3"/>
    <col min="16129" max="16129" width="12.140625" style="3" bestFit="1" customWidth="1"/>
    <col min="16130" max="16131" width="26.85546875" style="3" bestFit="1" customWidth="1"/>
    <col min="16132" max="16132" width="10.140625" style="3" bestFit="1" customWidth="1"/>
    <col min="16133" max="16133" width="9.140625" style="3"/>
    <col min="16134" max="16134" width="18.28515625" style="3" customWidth="1"/>
    <col min="16135" max="16135" width="24.140625" style="3" customWidth="1"/>
    <col min="16136" max="16148" width="9.140625" style="3"/>
    <col min="16149" max="16149" width="12" style="3" customWidth="1"/>
    <col min="16150" max="16384" width="9.140625" style="3"/>
  </cols>
  <sheetData>
    <row r="1" spans="1:29" ht="15" x14ac:dyDescent="0.25">
      <c r="A1" s="1" t="s">
        <v>2</v>
      </c>
      <c r="B1" s="2" t="s">
        <v>3</v>
      </c>
      <c r="C1" s="2" t="s">
        <v>4</v>
      </c>
      <c r="D1" s="2" t="s">
        <v>5</v>
      </c>
      <c r="E1" s="2" t="s">
        <v>6</v>
      </c>
      <c r="F1" s="2" t="s">
        <v>7</v>
      </c>
      <c r="G1" s="2" t="s">
        <v>8</v>
      </c>
      <c r="H1" s="2" t="s">
        <v>9</v>
      </c>
      <c r="I1" s="2" t="s">
        <v>10</v>
      </c>
      <c r="J1" s="2" t="s">
        <v>11</v>
      </c>
      <c r="K1" s="2" t="s">
        <v>12</v>
      </c>
      <c r="L1" s="2" t="s">
        <v>13</v>
      </c>
      <c r="M1" s="2" t="s">
        <v>14</v>
      </c>
      <c r="N1" s="3" t="s">
        <v>15</v>
      </c>
      <c r="O1" s="4" t="s">
        <v>16</v>
      </c>
      <c r="P1" s="5" t="s">
        <v>17</v>
      </c>
      <c r="Q1" s="5" t="s">
        <v>18</v>
      </c>
      <c r="R1" s="5" t="s">
        <v>19</v>
      </c>
      <c r="S1" s="5" t="s">
        <v>20</v>
      </c>
      <c r="T1" s="5" t="s">
        <v>14</v>
      </c>
      <c r="U1" s="6" t="s">
        <v>21</v>
      </c>
      <c r="V1" s="3" t="s">
        <v>22</v>
      </c>
      <c r="X1" s="3" t="s">
        <v>23</v>
      </c>
      <c r="Y1" s="3" t="s">
        <v>24</v>
      </c>
      <c r="AA1" s="3" t="s">
        <v>1245</v>
      </c>
      <c r="AB1" s="3" t="s">
        <v>1246</v>
      </c>
      <c r="AC1" s="3" t="s">
        <v>1247</v>
      </c>
    </row>
    <row r="2" spans="1:29" ht="13.5" thickBot="1" x14ac:dyDescent="0.25">
      <c r="A2" s="7"/>
      <c r="B2" s="3" t="s">
        <v>27</v>
      </c>
      <c r="C2" s="3" t="s">
        <v>28</v>
      </c>
      <c r="D2" s="8">
        <v>41965</v>
      </c>
      <c r="E2" s="3">
        <v>1325</v>
      </c>
      <c r="F2" s="3" t="s">
        <v>25</v>
      </c>
      <c r="G2" s="3" t="s">
        <v>26</v>
      </c>
      <c r="H2" s="3">
        <v>648.6</v>
      </c>
      <c r="I2" s="3">
        <v>649.65</v>
      </c>
      <c r="J2" s="3">
        <v>650.70000000000005</v>
      </c>
      <c r="K2" s="3">
        <v>0.05</v>
      </c>
      <c r="L2" s="3">
        <v>0.08</v>
      </c>
      <c r="M2" s="3">
        <v>0.1</v>
      </c>
      <c r="N2" s="3">
        <v>0</v>
      </c>
      <c r="O2" s="9">
        <v>3.5225126437330835E-3</v>
      </c>
      <c r="P2" s="10">
        <v>3.8329363626700003E-2</v>
      </c>
      <c r="Q2" s="10">
        <v>0.29224301651601792</v>
      </c>
      <c r="R2" s="10">
        <v>652.21360052915747</v>
      </c>
      <c r="S2" s="10">
        <v>3.4124013890111677E-6</v>
      </c>
      <c r="T2" s="10"/>
      <c r="U2" s="11">
        <v>7.9851418266230212E-2</v>
      </c>
      <c r="V2" s="3">
        <v>7.9848005864841198E-2</v>
      </c>
      <c r="X2" s="3">
        <v>0</v>
      </c>
      <c r="Y2" s="3">
        <v>0</v>
      </c>
      <c r="AA2" s="3">
        <v>0</v>
      </c>
      <c r="AB2" s="3">
        <v>0</v>
      </c>
      <c r="AC2" s="3">
        <v>0</v>
      </c>
    </row>
    <row r="3" spans="1:29" x14ac:dyDescent="0.2">
      <c r="B3" s="3" t="s">
        <v>29</v>
      </c>
      <c r="C3" s="3" t="s">
        <v>30</v>
      </c>
      <c r="D3" s="8">
        <v>41965</v>
      </c>
      <c r="E3" s="3">
        <v>1350</v>
      </c>
      <c r="F3" s="3" t="s">
        <v>25</v>
      </c>
      <c r="G3" s="3" t="s">
        <v>26</v>
      </c>
      <c r="H3" s="3">
        <v>623.6</v>
      </c>
      <c r="I3" s="3">
        <v>624.54999999999995</v>
      </c>
      <c r="J3" s="3">
        <v>625.5</v>
      </c>
      <c r="K3" s="3">
        <v>0.05</v>
      </c>
      <c r="L3" s="3">
        <v>0.08</v>
      </c>
      <c r="M3" s="3">
        <v>0.1</v>
      </c>
      <c r="N3" s="3">
        <v>0</v>
      </c>
      <c r="O3" s="3">
        <v>3.5225126437330835E-3</v>
      </c>
      <c r="P3" s="3">
        <v>3.8329363626700003E-2</v>
      </c>
      <c r="Q3" s="3">
        <v>0.29224301651601792</v>
      </c>
      <c r="R3" s="3">
        <v>627.21989897225149</v>
      </c>
      <c r="S3" s="3">
        <v>1.2445611827342296E-5</v>
      </c>
      <c r="U3" s="3">
        <v>-2.4245107636033936E-4</v>
      </c>
      <c r="V3" s="3">
        <v>-2.5489668818768165E-4</v>
      </c>
      <c r="X3" s="3">
        <v>0</v>
      </c>
      <c r="Y3" s="3">
        <v>0</v>
      </c>
      <c r="AA3" s="3">
        <v>0</v>
      </c>
      <c r="AB3" s="3">
        <v>0</v>
      </c>
      <c r="AC3" s="3">
        <v>0</v>
      </c>
    </row>
    <row r="4" spans="1:29" x14ac:dyDescent="0.2">
      <c r="B4" s="3" t="s">
        <v>31</v>
      </c>
      <c r="C4" s="3" t="s">
        <v>32</v>
      </c>
      <c r="D4" s="8">
        <v>41965</v>
      </c>
      <c r="E4" s="3">
        <v>1375</v>
      </c>
      <c r="F4" s="3" t="s">
        <v>25</v>
      </c>
      <c r="G4" s="3" t="s">
        <v>26</v>
      </c>
      <c r="H4" s="3">
        <v>598.6</v>
      </c>
      <c r="I4" s="3">
        <v>599.54999999999995</v>
      </c>
      <c r="J4" s="3">
        <v>600.5</v>
      </c>
      <c r="K4" s="3">
        <v>0.05</v>
      </c>
      <c r="L4" s="3">
        <v>0.08</v>
      </c>
      <c r="M4" s="3">
        <v>0.1</v>
      </c>
      <c r="N4" s="3">
        <v>0</v>
      </c>
      <c r="O4" s="3">
        <v>3.5225126437330835E-3</v>
      </c>
      <c r="P4" s="3">
        <v>3.8329363626700003E-2</v>
      </c>
      <c r="Q4" s="3">
        <v>0.29224301651601792</v>
      </c>
      <c r="R4" s="3">
        <v>602.22621800639376</v>
      </c>
      <c r="S4" s="3">
        <v>4.2069871023608756E-5</v>
      </c>
      <c r="U4" s="3">
        <v>-0.31178155415295805</v>
      </c>
      <c r="V4" s="3">
        <v>-0.31182362402398167</v>
      </c>
      <c r="X4" s="3">
        <v>0</v>
      </c>
      <c r="Y4" s="3">
        <v>0</v>
      </c>
      <c r="AA4" s="3">
        <v>0</v>
      </c>
      <c r="AB4" s="3">
        <v>0</v>
      </c>
      <c r="AC4" s="3">
        <v>0</v>
      </c>
    </row>
    <row r="5" spans="1:29" x14ac:dyDescent="0.2">
      <c r="B5" s="3" t="s">
        <v>33</v>
      </c>
      <c r="C5" s="3" t="s">
        <v>34</v>
      </c>
      <c r="D5" s="8">
        <v>41965</v>
      </c>
      <c r="E5" s="3">
        <v>1400</v>
      </c>
      <c r="F5" s="3" t="s">
        <v>25</v>
      </c>
      <c r="G5" s="3" t="s">
        <v>26</v>
      </c>
      <c r="H5" s="3">
        <v>573.6</v>
      </c>
      <c r="I5" s="3">
        <v>574.6</v>
      </c>
      <c r="J5" s="3">
        <v>575.6</v>
      </c>
      <c r="K5" s="3">
        <v>0.05</v>
      </c>
      <c r="L5" s="3">
        <v>0.1</v>
      </c>
      <c r="M5" s="3">
        <v>0.15</v>
      </c>
      <c r="N5" s="3">
        <v>0</v>
      </c>
      <c r="O5" s="3">
        <v>3.5225126437330835E-3</v>
      </c>
      <c r="P5" s="3">
        <v>3.8329363626700003E-2</v>
      </c>
      <c r="Q5" s="3">
        <v>0.29224301651601792</v>
      </c>
      <c r="R5" s="3">
        <v>577.23259766794149</v>
      </c>
      <c r="S5" s="3">
        <v>1.3232153538518532E-4</v>
      </c>
      <c r="U5" s="3">
        <v>-0.19274650566580931</v>
      </c>
      <c r="V5" s="3">
        <v>-0.19287882720119448</v>
      </c>
      <c r="X5" s="3">
        <v>0</v>
      </c>
      <c r="Y5" s="3">
        <v>0</v>
      </c>
      <c r="AA5" s="3">
        <v>0</v>
      </c>
      <c r="AB5" s="3">
        <v>0</v>
      </c>
      <c r="AC5" s="3">
        <v>0</v>
      </c>
    </row>
    <row r="6" spans="1:29" x14ac:dyDescent="0.2">
      <c r="B6" s="3" t="s">
        <v>35</v>
      </c>
      <c r="C6" s="3" t="s">
        <v>36</v>
      </c>
      <c r="D6" s="8">
        <v>41965</v>
      </c>
      <c r="E6" s="3">
        <v>1425</v>
      </c>
      <c r="F6" s="3" t="s">
        <v>25</v>
      </c>
      <c r="G6" s="3" t="s">
        <v>26</v>
      </c>
      <c r="H6" s="3">
        <v>548.6</v>
      </c>
      <c r="I6" s="3">
        <v>549.6</v>
      </c>
      <c r="J6" s="3">
        <v>550.6</v>
      </c>
      <c r="K6" s="3">
        <v>0.05</v>
      </c>
      <c r="L6" s="3">
        <v>0.1</v>
      </c>
      <c r="M6" s="3">
        <v>0.15</v>
      </c>
      <c r="N6" s="3">
        <v>0</v>
      </c>
      <c r="O6" s="3">
        <v>3.5225126437330835E-3</v>
      </c>
      <c r="P6" s="3">
        <v>3.8329363626700003E-2</v>
      </c>
      <c r="Q6" s="3">
        <v>0.29224301651601792</v>
      </c>
      <c r="R6" s="3">
        <v>552.23914344380296</v>
      </c>
      <c r="S6" s="3">
        <v>3.8868751365411791E-4</v>
      </c>
      <c r="U6" s="3">
        <v>-0.28381318558786006</v>
      </c>
      <c r="V6" s="3">
        <v>-0.28420187310151418</v>
      </c>
      <c r="X6" s="3">
        <v>0</v>
      </c>
      <c r="Y6" s="3">
        <v>0</v>
      </c>
      <c r="AA6" s="3">
        <v>0</v>
      </c>
      <c r="AB6" s="3">
        <v>0</v>
      </c>
      <c r="AC6" s="3">
        <v>0</v>
      </c>
    </row>
    <row r="7" spans="1:29" x14ac:dyDescent="0.2">
      <c r="B7" s="3" t="s">
        <v>37</v>
      </c>
      <c r="C7" s="3" t="s">
        <v>38</v>
      </c>
      <c r="D7" s="8">
        <v>41965</v>
      </c>
      <c r="E7" s="3">
        <v>1450</v>
      </c>
      <c r="F7" s="3" t="s">
        <v>25</v>
      </c>
      <c r="G7" s="3" t="s">
        <v>26</v>
      </c>
      <c r="H7" s="3">
        <v>523.70000000000005</v>
      </c>
      <c r="I7" s="3">
        <v>524.65</v>
      </c>
      <c r="J7" s="3">
        <v>525.6</v>
      </c>
      <c r="K7" s="3">
        <v>0.1</v>
      </c>
      <c r="L7" s="3">
        <v>0.13</v>
      </c>
      <c r="M7" s="3">
        <v>0.15</v>
      </c>
      <c r="N7" s="3">
        <v>0</v>
      </c>
      <c r="O7" s="3">
        <v>3.5225126437330835E-3</v>
      </c>
      <c r="P7" s="3">
        <v>3.8329363626700003E-2</v>
      </c>
      <c r="Q7" s="3">
        <v>0.29224301651601792</v>
      </c>
      <c r="R7" s="3">
        <v>527.24611419755752</v>
      </c>
      <c r="S7" s="3">
        <v>1.0700313848122506E-3</v>
      </c>
      <c r="U7" s="3">
        <v>0.19879565040253055</v>
      </c>
      <c r="V7" s="3">
        <v>0.19772561901771829</v>
      </c>
      <c r="X7" s="3">
        <v>0</v>
      </c>
      <c r="Y7" s="3">
        <v>0</v>
      </c>
      <c r="AA7" s="3">
        <v>0</v>
      </c>
      <c r="AB7" s="3">
        <v>0</v>
      </c>
      <c r="AC7" s="3">
        <v>0</v>
      </c>
    </row>
    <row r="8" spans="1:29" x14ac:dyDescent="0.2">
      <c r="B8" s="3" t="s">
        <v>39</v>
      </c>
      <c r="C8" s="3" t="s">
        <v>40</v>
      </c>
      <c r="D8" s="8">
        <v>41965</v>
      </c>
      <c r="E8" s="3">
        <v>1475</v>
      </c>
      <c r="F8" s="3" t="s">
        <v>25</v>
      </c>
      <c r="G8" s="3" t="s">
        <v>26</v>
      </c>
      <c r="H8" s="3">
        <v>498.7</v>
      </c>
      <c r="I8" s="3">
        <v>499.7</v>
      </c>
      <c r="J8" s="3">
        <v>500.7</v>
      </c>
      <c r="K8" s="3">
        <v>0.1</v>
      </c>
      <c r="L8" s="3">
        <v>0.13</v>
      </c>
      <c r="M8" s="3">
        <v>0.15</v>
      </c>
      <c r="N8" s="3">
        <v>0</v>
      </c>
      <c r="O8" s="3">
        <v>3.5225126437330835E-3</v>
      </c>
      <c r="P8" s="3">
        <v>3.8329363626700003E-2</v>
      </c>
      <c r="Q8" s="3">
        <v>0.29224301651601792</v>
      </c>
      <c r="R8" s="3">
        <v>502.25410338528582</v>
      </c>
      <c r="S8" s="3">
        <v>2.7698092299763555E-3</v>
      </c>
      <c r="U8" s="3">
        <v>-0.38520710104393174</v>
      </c>
      <c r="V8" s="3">
        <v>-0.38797691027390813</v>
      </c>
      <c r="X8" s="3">
        <v>0</v>
      </c>
      <c r="Y8" s="3">
        <v>0</v>
      </c>
      <c r="AA8" s="3">
        <v>0</v>
      </c>
      <c r="AB8" s="3">
        <v>0</v>
      </c>
      <c r="AC8" s="3">
        <v>0</v>
      </c>
    </row>
    <row r="9" spans="1:29" x14ac:dyDescent="0.2">
      <c r="B9" s="3" t="s">
        <v>41</v>
      </c>
      <c r="C9" s="3" t="s">
        <v>42</v>
      </c>
      <c r="D9" s="8">
        <v>41965</v>
      </c>
      <c r="E9" s="3">
        <v>1500</v>
      </c>
      <c r="F9" s="3" t="s">
        <v>25</v>
      </c>
      <c r="G9" s="3" t="s">
        <v>26</v>
      </c>
      <c r="H9" s="3">
        <v>473.7</v>
      </c>
      <c r="I9" s="3">
        <v>474.7</v>
      </c>
      <c r="J9" s="3">
        <v>475.7</v>
      </c>
      <c r="K9" s="3">
        <v>0.15</v>
      </c>
      <c r="L9" s="3">
        <v>0.18</v>
      </c>
      <c r="M9" s="3">
        <v>0.2</v>
      </c>
      <c r="N9" s="3">
        <v>0</v>
      </c>
      <c r="O9" s="3">
        <v>3.5225126437330835E-3</v>
      </c>
      <c r="P9" s="3">
        <v>3.8329363626700003E-2</v>
      </c>
      <c r="Q9" s="3">
        <v>0.29224301651601792</v>
      </c>
      <c r="R9" s="3">
        <v>477.2643856126324</v>
      </c>
      <c r="S9" s="3">
        <v>6.762626693231466E-3</v>
      </c>
      <c r="U9" s="3">
        <v>-0.36103647817748197</v>
      </c>
      <c r="V9" s="3">
        <v>-0.36779910487071343</v>
      </c>
      <c r="X9" s="3">
        <v>0</v>
      </c>
      <c r="Y9" s="3">
        <v>0</v>
      </c>
      <c r="AA9" s="3">
        <v>0</v>
      </c>
      <c r="AB9" s="3">
        <v>0</v>
      </c>
      <c r="AC9" s="3">
        <v>0</v>
      </c>
    </row>
    <row r="10" spans="1:29" x14ac:dyDescent="0.2">
      <c r="B10" s="3" t="s">
        <v>43</v>
      </c>
      <c r="C10" s="3" t="s">
        <v>44</v>
      </c>
      <c r="D10" s="8">
        <v>41965</v>
      </c>
      <c r="E10" s="3">
        <v>1525</v>
      </c>
      <c r="F10" s="3" t="s">
        <v>25</v>
      </c>
      <c r="G10" s="3" t="s">
        <v>26</v>
      </c>
      <c r="H10" s="3">
        <v>448.8</v>
      </c>
      <c r="I10" s="3">
        <v>449.75</v>
      </c>
      <c r="J10" s="3">
        <v>450.7</v>
      </c>
      <c r="K10" s="3">
        <v>0.2</v>
      </c>
      <c r="L10" s="3">
        <v>0.23</v>
      </c>
      <c r="M10" s="3">
        <v>0.25</v>
      </c>
      <c r="N10" s="3">
        <v>0</v>
      </c>
      <c r="O10" s="3">
        <v>3.5225126437330835E-3</v>
      </c>
      <c r="P10" s="3">
        <v>3.8329363626700003E-2</v>
      </c>
      <c r="Q10" s="3">
        <v>0.29224301651601792</v>
      </c>
      <c r="R10" s="3">
        <v>452.27953226990144</v>
      </c>
      <c r="S10" s="3">
        <v>1.5619874079022877E-2</v>
      </c>
      <c r="U10" s="3">
        <v>0.40862987258839212</v>
      </c>
      <c r="V10" s="3">
        <v>0.39300999850936924</v>
      </c>
      <c r="X10" s="3">
        <v>0</v>
      </c>
      <c r="Y10" s="3">
        <v>0</v>
      </c>
      <c r="AA10" s="3">
        <v>0</v>
      </c>
      <c r="AB10" s="3">
        <v>0</v>
      </c>
      <c r="AC10" s="3">
        <v>0</v>
      </c>
    </row>
    <row r="11" spans="1:29" x14ac:dyDescent="0.2">
      <c r="B11" s="3" t="s">
        <v>45</v>
      </c>
      <c r="C11" s="3" t="s">
        <v>46</v>
      </c>
      <c r="D11" s="8">
        <v>41965</v>
      </c>
      <c r="E11" s="3">
        <v>1550</v>
      </c>
      <c r="F11" s="3" t="s">
        <v>25</v>
      </c>
      <c r="G11" s="3" t="s">
        <v>26</v>
      </c>
      <c r="H11" s="3">
        <v>423.8</v>
      </c>
      <c r="I11" s="3">
        <v>424.8</v>
      </c>
      <c r="J11" s="3">
        <v>425.8</v>
      </c>
      <c r="K11" s="3">
        <v>0.2</v>
      </c>
      <c r="L11" s="3">
        <v>0.23</v>
      </c>
      <c r="M11" s="3">
        <v>0.25</v>
      </c>
      <c r="N11" s="3">
        <v>0</v>
      </c>
      <c r="O11" s="3">
        <v>3.5225126437330835E-3</v>
      </c>
      <c r="P11" s="3">
        <v>3.8329363626700003E-2</v>
      </c>
      <c r="Q11" s="3">
        <v>0.28831730634041258</v>
      </c>
      <c r="R11" s="3">
        <v>427.29911529153924</v>
      </c>
      <c r="S11" s="3">
        <v>2.8913485833648167E-2</v>
      </c>
      <c r="U11" s="3">
        <v>-6.1587200039411982E-2</v>
      </c>
      <c r="V11" s="3">
        <v>-9.0500685873060149E-2</v>
      </c>
      <c r="X11" s="3">
        <v>0</v>
      </c>
      <c r="Y11" s="3">
        <v>0</v>
      </c>
      <c r="AA11" s="3">
        <v>0</v>
      </c>
      <c r="AB11" s="3">
        <v>0</v>
      </c>
      <c r="AC11" s="3">
        <v>0</v>
      </c>
    </row>
    <row r="12" spans="1:29" x14ac:dyDescent="0.2">
      <c r="B12" s="3" t="s">
        <v>47</v>
      </c>
      <c r="C12" s="3" t="s">
        <v>48</v>
      </c>
      <c r="D12" s="8">
        <v>41965</v>
      </c>
      <c r="E12" s="3">
        <v>1575</v>
      </c>
      <c r="F12" s="3" t="s">
        <v>25</v>
      </c>
      <c r="G12" s="3" t="s">
        <v>26</v>
      </c>
      <c r="H12" s="3">
        <v>398.9</v>
      </c>
      <c r="I12" s="3">
        <v>399.85</v>
      </c>
      <c r="J12" s="3">
        <v>400.8</v>
      </c>
      <c r="K12" s="3">
        <v>0.25</v>
      </c>
      <c r="L12" s="3">
        <v>0.28000000000000003</v>
      </c>
      <c r="M12" s="3">
        <v>0.3</v>
      </c>
      <c r="N12" s="3">
        <v>0</v>
      </c>
      <c r="O12" s="3">
        <v>3.5225126437330835E-3</v>
      </c>
      <c r="P12" s="3">
        <v>3.8329363626700003E-2</v>
      </c>
      <c r="Q12" s="3">
        <v>0.28439159616480725</v>
      </c>
      <c r="R12" s="3">
        <v>402.32891940692093</v>
      </c>
      <c r="S12" s="3">
        <v>5.2428191331730378E-2</v>
      </c>
      <c r="U12" s="3">
        <v>0.26032137777292519</v>
      </c>
      <c r="V12" s="3">
        <v>0.20789318644119481</v>
      </c>
      <c r="X12" s="3">
        <v>0</v>
      </c>
      <c r="Y12" s="3">
        <v>0</v>
      </c>
      <c r="AA12" s="3">
        <v>0</v>
      </c>
      <c r="AB12" s="3">
        <v>0</v>
      </c>
      <c r="AC12" s="3">
        <v>0</v>
      </c>
    </row>
    <row r="13" spans="1:29" x14ac:dyDescent="0.2">
      <c r="B13" s="3" t="s">
        <v>49</v>
      </c>
      <c r="C13" s="3" t="s">
        <v>50</v>
      </c>
      <c r="D13" s="8">
        <v>41965</v>
      </c>
      <c r="E13" s="3">
        <v>1600</v>
      </c>
      <c r="F13" s="3" t="s">
        <v>25</v>
      </c>
      <c r="G13" s="3" t="s">
        <v>26</v>
      </c>
      <c r="H13" s="3">
        <v>373.9</v>
      </c>
      <c r="I13" s="3">
        <v>374.9</v>
      </c>
      <c r="J13" s="3">
        <v>375.9</v>
      </c>
      <c r="K13" s="3">
        <v>0.3</v>
      </c>
      <c r="L13" s="3">
        <v>0.33</v>
      </c>
      <c r="M13" s="3">
        <v>0.35</v>
      </c>
      <c r="N13" s="3">
        <v>0</v>
      </c>
      <c r="O13" s="3">
        <v>3.5225126437330835E-3</v>
      </c>
      <c r="P13" s="3">
        <v>3.8329363626700003E-2</v>
      </c>
      <c r="Q13" s="3">
        <v>0.27395723204581635</v>
      </c>
      <c r="R13" s="3">
        <v>377.35516218910902</v>
      </c>
      <c r="S13" s="3">
        <v>7.2381563636596979E-2</v>
      </c>
      <c r="U13" s="3">
        <v>0.33934551474038699</v>
      </c>
      <c r="V13" s="3">
        <v>0.26696395110379001</v>
      </c>
      <c r="X13" s="3">
        <v>0</v>
      </c>
      <c r="Y13" s="3">
        <v>0</v>
      </c>
      <c r="AA13" s="3">
        <v>0</v>
      </c>
      <c r="AB13" s="3">
        <v>0</v>
      </c>
      <c r="AC13" s="3">
        <v>0</v>
      </c>
    </row>
    <row r="14" spans="1:29" x14ac:dyDescent="0.2">
      <c r="B14" s="3" t="s">
        <v>51</v>
      </c>
      <c r="C14" s="3" t="s">
        <v>52</v>
      </c>
      <c r="D14" s="8">
        <v>41965</v>
      </c>
      <c r="E14" s="3">
        <v>1625</v>
      </c>
      <c r="F14" s="3" t="s">
        <v>25</v>
      </c>
      <c r="G14" s="3" t="s">
        <v>26</v>
      </c>
      <c r="H14" s="3">
        <v>349</v>
      </c>
      <c r="I14" s="3">
        <v>350</v>
      </c>
      <c r="J14" s="3">
        <v>351</v>
      </c>
      <c r="K14" s="3">
        <v>0.05</v>
      </c>
      <c r="L14" s="3">
        <v>0.28000000000000003</v>
      </c>
      <c r="M14" s="3">
        <v>0.5</v>
      </c>
      <c r="N14" s="3">
        <v>0</v>
      </c>
      <c r="O14" s="3">
        <v>3.5225126437330835E-3</v>
      </c>
      <c r="P14" s="3">
        <v>3.8329363626700003E-2</v>
      </c>
      <c r="Q14" s="3">
        <v>0.26401968756284944</v>
      </c>
      <c r="R14" s="3">
        <v>352.39143499264856</v>
      </c>
      <c r="S14" s="3">
        <v>0.10236495729289441</v>
      </c>
      <c r="U14" s="3">
        <v>0.14765930352655232</v>
      </c>
      <c r="V14" s="3">
        <v>4.5294346233657912E-2</v>
      </c>
      <c r="X14" s="3">
        <v>0</v>
      </c>
      <c r="Y14" s="3">
        <v>0</v>
      </c>
      <c r="AA14" s="3">
        <v>0</v>
      </c>
      <c r="AB14" s="3">
        <v>0</v>
      </c>
      <c r="AC14" s="3">
        <v>0</v>
      </c>
    </row>
    <row r="15" spans="1:29" x14ac:dyDescent="0.2">
      <c r="B15" s="3" t="s">
        <v>53</v>
      </c>
      <c r="C15" s="3" t="s">
        <v>54</v>
      </c>
      <c r="D15" s="8">
        <v>41965</v>
      </c>
      <c r="E15" s="3">
        <v>1650</v>
      </c>
      <c r="F15" s="3" t="s">
        <v>25</v>
      </c>
      <c r="G15" s="3" t="s">
        <v>26</v>
      </c>
      <c r="H15" s="3">
        <v>324.10000000000002</v>
      </c>
      <c r="I15" s="3">
        <v>325.14999999999998</v>
      </c>
      <c r="J15" s="3">
        <v>326.2</v>
      </c>
      <c r="K15" s="3">
        <v>0.05</v>
      </c>
      <c r="L15" s="3">
        <v>0.33</v>
      </c>
      <c r="M15" s="3">
        <v>0.6</v>
      </c>
      <c r="N15" s="3">
        <v>0</v>
      </c>
      <c r="O15" s="3">
        <v>3.5225126437330835E-3</v>
      </c>
      <c r="P15" s="3">
        <v>3.8329363626700003E-2</v>
      </c>
      <c r="Q15" s="3">
        <v>0.25442005829768427</v>
      </c>
      <c r="R15" s="3">
        <v>327.44266682295415</v>
      </c>
      <c r="S15" s="3">
        <v>0.14730737771518765</v>
      </c>
      <c r="U15" s="3">
        <v>-0.33894786894211393</v>
      </c>
      <c r="V15" s="3">
        <v>-0.48625524665730158</v>
      </c>
      <c r="X15" s="3">
        <v>0</v>
      </c>
      <c r="Y15" s="3">
        <v>0</v>
      </c>
      <c r="AA15" s="3">
        <v>0</v>
      </c>
      <c r="AB15" s="3">
        <v>0</v>
      </c>
      <c r="AC15" s="3">
        <v>0</v>
      </c>
    </row>
    <row r="16" spans="1:29" x14ac:dyDescent="0.2">
      <c r="B16" s="3" t="s">
        <v>55</v>
      </c>
      <c r="C16" s="3" t="s">
        <v>56</v>
      </c>
      <c r="D16" s="8">
        <v>41965</v>
      </c>
      <c r="E16" s="3">
        <v>1675</v>
      </c>
      <c r="F16" s="3" t="s">
        <v>25</v>
      </c>
      <c r="G16" s="3" t="s">
        <v>26</v>
      </c>
      <c r="H16" s="3">
        <v>299.3</v>
      </c>
      <c r="I16" s="3">
        <v>300.25</v>
      </c>
      <c r="J16" s="3">
        <v>301.2</v>
      </c>
      <c r="K16" s="3">
        <v>0.5</v>
      </c>
      <c r="L16" s="3">
        <v>0.68</v>
      </c>
      <c r="M16" s="3">
        <v>0.85</v>
      </c>
      <c r="N16" s="3">
        <v>0</v>
      </c>
      <c r="O16" s="3">
        <v>3.5225126437330835E-3</v>
      </c>
      <c r="P16" s="3">
        <v>3.8329363626700003E-2</v>
      </c>
      <c r="Q16" s="3">
        <v>0.24488760558161848</v>
      </c>
      <c r="R16" s="3">
        <v>302.51510783974072</v>
      </c>
      <c r="S16" s="3">
        <v>0.21345898461847668</v>
      </c>
      <c r="U16" s="3">
        <v>0.21367443864357938</v>
      </c>
      <c r="V16" s="3">
        <v>2.1545402510270151E-4</v>
      </c>
      <c r="X16" s="3">
        <v>0</v>
      </c>
      <c r="Y16" s="3">
        <v>0</v>
      </c>
      <c r="AA16" s="3">
        <v>0</v>
      </c>
      <c r="AB16" s="3">
        <v>0</v>
      </c>
      <c r="AC16" s="3">
        <v>0</v>
      </c>
    </row>
    <row r="17" spans="2:29" x14ac:dyDescent="0.2">
      <c r="B17" s="3" t="s">
        <v>57</v>
      </c>
      <c r="C17" s="3" t="s">
        <v>58</v>
      </c>
      <c r="D17" s="8">
        <v>41965</v>
      </c>
      <c r="E17" s="3">
        <v>1700</v>
      </c>
      <c r="F17" s="3" t="s">
        <v>25</v>
      </c>
      <c r="G17" s="3" t="s">
        <v>26</v>
      </c>
      <c r="H17" s="3">
        <v>274.39999999999998</v>
      </c>
      <c r="I17" s="3">
        <v>275.39999999999998</v>
      </c>
      <c r="J17" s="3">
        <v>276.39999999999998</v>
      </c>
      <c r="K17" s="3">
        <v>0.65</v>
      </c>
      <c r="L17" s="3">
        <v>0.85</v>
      </c>
      <c r="M17" s="3">
        <v>1.05</v>
      </c>
      <c r="N17" s="3">
        <v>0</v>
      </c>
      <c r="O17" s="3">
        <v>3.5225126437330835E-3</v>
      </c>
      <c r="P17" s="3">
        <v>3.8329363626700003E-2</v>
      </c>
      <c r="Q17" s="3">
        <v>0.23630325807393587</v>
      </c>
      <c r="R17" s="3">
        <v>277.62922042599666</v>
      </c>
      <c r="S17" s="3">
        <v>0.32128216099103746</v>
      </c>
      <c r="U17" s="3">
        <v>0.55489254673432242</v>
      </c>
      <c r="V17" s="3">
        <v>0.23361038574328497</v>
      </c>
      <c r="X17" s="3">
        <v>0</v>
      </c>
      <c r="Y17" s="3">
        <v>0</v>
      </c>
      <c r="AA17" s="3">
        <v>0</v>
      </c>
      <c r="AB17" s="3">
        <v>0</v>
      </c>
      <c r="AC17" s="3">
        <v>0</v>
      </c>
    </row>
    <row r="18" spans="2:29" x14ac:dyDescent="0.2">
      <c r="B18" s="3" t="s">
        <v>59</v>
      </c>
      <c r="C18" s="3" t="s">
        <v>60</v>
      </c>
      <c r="D18" s="8">
        <v>41965</v>
      </c>
      <c r="E18" s="3">
        <v>1725</v>
      </c>
      <c r="F18" s="3" t="s">
        <v>25</v>
      </c>
      <c r="G18" s="3" t="s">
        <v>26</v>
      </c>
      <c r="H18" s="3">
        <v>249.7</v>
      </c>
      <c r="I18" s="3">
        <v>250.65</v>
      </c>
      <c r="J18" s="3">
        <v>251.6</v>
      </c>
      <c r="K18" s="3">
        <v>0.85</v>
      </c>
      <c r="L18" s="3">
        <v>1.05</v>
      </c>
      <c r="M18" s="3">
        <v>1.25</v>
      </c>
      <c r="N18" s="3">
        <v>0</v>
      </c>
      <c r="O18" s="3">
        <v>3.5225126437330835E-3</v>
      </c>
      <c r="P18" s="3">
        <v>3.8329363626700003E-2</v>
      </c>
      <c r="Q18" s="3">
        <v>0.2264574364448228</v>
      </c>
      <c r="R18" s="3">
        <v>252.77905434215654</v>
      </c>
      <c r="S18" s="3">
        <v>0.46482666726786803</v>
      </c>
      <c r="U18" s="3">
        <v>0.683131561186201</v>
      </c>
      <c r="V18" s="3">
        <v>0.21830489391833297</v>
      </c>
      <c r="X18" s="3">
        <v>0</v>
      </c>
      <c r="Y18" s="3">
        <v>0</v>
      </c>
      <c r="AA18" s="3">
        <v>0</v>
      </c>
      <c r="AB18" s="3">
        <v>0</v>
      </c>
      <c r="AC18" s="3">
        <v>0</v>
      </c>
    </row>
    <row r="19" spans="2:29" x14ac:dyDescent="0.2">
      <c r="B19" s="3" t="s">
        <v>61</v>
      </c>
      <c r="C19" s="3" t="s">
        <v>62</v>
      </c>
      <c r="D19" s="8">
        <v>41965</v>
      </c>
      <c r="E19" s="3">
        <v>1750</v>
      </c>
      <c r="F19" s="3" t="s">
        <v>25</v>
      </c>
      <c r="G19" s="3" t="s">
        <v>26</v>
      </c>
      <c r="H19" s="3">
        <v>224.9</v>
      </c>
      <c r="I19" s="3">
        <v>225.85</v>
      </c>
      <c r="J19" s="3">
        <v>226.8</v>
      </c>
      <c r="K19" s="3">
        <v>1.1000000000000001</v>
      </c>
      <c r="L19" s="3">
        <v>1.23</v>
      </c>
      <c r="M19" s="3">
        <v>1.35</v>
      </c>
      <c r="N19" s="3">
        <v>0</v>
      </c>
      <c r="O19" s="3">
        <v>3.5225126437330835E-3</v>
      </c>
      <c r="P19" s="3">
        <v>3.8329363626700003E-2</v>
      </c>
      <c r="Q19" s="3">
        <v>0.21802304186607946</v>
      </c>
      <c r="R19" s="3">
        <v>228.02820851914385</v>
      </c>
      <c r="S19" s="3">
        <v>0.70769143437184567</v>
      </c>
      <c r="U19" s="3">
        <v>0.61093226376289067</v>
      </c>
      <c r="V19" s="3">
        <v>-9.6759170608955003E-2</v>
      </c>
      <c r="X19" s="3">
        <v>0</v>
      </c>
      <c r="Y19" s="3">
        <v>0</v>
      </c>
      <c r="AA19" s="3">
        <v>0</v>
      </c>
      <c r="AB19" s="3">
        <v>0</v>
      </c>
      <c r="AC19" s="3">
        <v>0</v>
      </c>
    </row>
    <row r="20" spans="2:29" x14ac:dyDescent="0.2">
      <c r="B20" s="3" t="s">
        <v>63</v>
      </c>
      <c r="C20" s="3" t="s">
        <v>64</v>
      </c>
      <c r="D20" s="8">
        <v>41965</v>
      </c>
      <c r="E20" s="3">
        <v>1775</v>
      </c>
      <c r="F20" s="3" t="s">
        <v>25</v>
      </c>
      <c r="G20" s="3" t="s">
        <v>26</v>
      </c>
      <c r="H20" s="3">
        <v>200.3</v>
      </c>
      <c r="I20" s="3">
        <v>201.25</v>
      </c>
      <c r="J20" s="3">
        <v>202.2</v>
      </c>
      <c r="K20" s="3">
        <v>1.25</v>
      </c>
      <c r="L20" s="3">
        <v>1.5</v>
      </c>
      <c r="M20" s="3">
        <v>1.75</v>
      </c>
      <c r="N20" s="3">
        <v>0</v>
      </c>
      <c r="O20" s="3">
        <v>3.5225126437330835E-3</v>
      </c>
      <c r="P20" s="3">
        <v>3.8329363626700003E-2</v>
      </c>
      <c r="Q20" s="3">
        <v>0.20907993520585522</v>
      </c>
      <c r="R20" s="3">
        <v>203.39005810947788</v>
      </c>
      <c r="S20" s="3">
        <v>1.0632516148227253</v>
      </c>
      <c r="U20" s="3">
        <v>1.9213476776949392</v>
      </c>
      <c r="V20" s="3">
        <v>0.85809606287221385</v>
      </c>
      <c r="X20" s="3">
        <v>0</v>
      </c>
      <c r="Y20" s="3">
        <v>0</v>
      </c>
      <c r="AA20" s="3">
        <v>0</v>
      </c>
      <c r="AB20" s="3">
        <v>0</v>
      </c>
      <c r="AC20" s="3">
        <v>0</v>
      </c>
    </row>
    <row r="21" spans="2:29" x14ac:dyDescent="0.2">
      <c r="B21" s="3" t="s">
        <v>65</v>
      </c>
      <c r="C21" s="3" t="s">
        <v>66</v>
      </c>
      <c r="D21" s="8">
        <v>41965</v>
      </c>
      <c r="E21" s="3">
        <v>1800</v>
      </c>
      <c r="F21" s="3" t="s">
        <v>25</v>
      </c>
      <c r="G21" s="3" t="s">
        <v>26</v>
      </c>
      <c r="H21" s="3">
        <v>175.8</v>
      </c>
      <c r="I21" s="3">
        <v>176.75</v>
      </c>
      <c r="J21" s="3">
        <v>177.7</v>
      </c>
      <c r="K21" s="3">
        <v>1.95</v>
      </c>
      <c r="L21" s="3">
        <v>2.1</v>
      </c>
      <c r="M21" s="3">
        <v>2.25</v>
      </c>
      <c r="N21" s="3">
        <v>0</v>
      </c>
      <c r="O21" s="3">
        <v>3.5225126437330835E-3</v>
      </c>
      <c r="P21" s="3">
        <v>3.8329363626700003E-2</v>
      </c>
      <c r="Q21" s="3">
        <v>0.20016318447399845</v>
      </c>
      <c r="R21" s="3">
        <v>178.93706245504063</v>
      </c>
      <c r="S21" s="3">
        <v>1.6039665505020224</v>
      </c>
      <c r="U21" s="3">
        <v>1.6188336739988074</v>
      </c>
      <c r="V21" s="3">
        <v>1.4867123496784984E-2</v>
      </c>
      <c r="X21" s="3">
        <v>0</v>
      </c>
      <c r="Y21" s="3">
        <v>0</v>
      </c>
      <c r="AA21" s="3">
        <v>0</v>
      </c>
      <c r="AB21" s="3">
        <v>0</v>
      </c>
      <c r="AC21" s="3">
        <v>0</v>
      </c>
    </row>
    <row r="22" spans="2:29" x14ac:dyDescent="0.2">
      <c r="B22" s="3" t="s">
        <v>67</v>
      </c>
      <c r="C22" s="3" t="s">
        <v>68</v>
      </c>
      <c r="D22" s="8">
        <v>41965</v>
      </c>
      <c r="E22" s="3">
        <v>1825</v>
      </c>
      <c r="F22" s="3" t="s">
        <v>25</v>
      </c>
      <c r="G22" s="3" t="s">
        <v>26</v>
      </c>
      <c r="H22" s="3">
        <v>151.69999999999999</v>
      </c>
      <c r="I22" s="3">
        <v>152.6</v>
      </c>
      <c r="J22" s="3">
        <v>153.5</v>
      </c>
      <c r="K22" s="3">
        <v>2.65</v>
      </c>
      <c r="L22" s="3">
        <v>2.88</v>
      </c>
      <c r="M22" s="3">
        <v>3.1</v>
      </c>
      <c r="N22" s="3">
        <v>0</v>
      </c>
      <c r="O22" s="3">
        <v>3.5225126437330835E-3</v>
      </c>
      <c r="P22" s="3">
        <v>3.8329363626700003E-2</v>
      </c>
      <c r="Q22" s="3">
        <v>0.1914013580561752</v>
      </c>
      <c r="R22" s="3">
        <v>154.77477320012008</v>
      </c>
      <c r="S22" s="3">
        <v>2.4353878856984323</v>
      </c>
      <c r="U22" s="3">
        <v>2.9264719466533222</v>
      </c>
      <c r="V22" s="3">
        <v>0.49108406095488988</v>
      </c>
      <c r="X22" s="3">
        <v>0</v>
      </c>
      <c r="Y22" s="3">
        <v>0</v>
      </c>
      <c r="AA22" s="3">
        <v>0</v>
      </c>
      <c r="AB22" s="3">
        <v>0</v>
      </c>
      <c r="AC22" s="3">
        <v>0</v>
      </c>
    </row>
    <row r="23" spans="2:29" x14ac:dyDescent="0.2">
      <c r="B23" s="3" t="s">
        <v>69</v>
      </c>
      <c r="C23" s="3" t="s">
        <v>70</v>
      </c>
      <c r="D23" s="8">
        <v>41965</v>
      </c>
      <c r="E23" s="3">
        <v>1850</v>
      </c>
      <c r="F23" s="3" t="s">
        <v>25</v>
      </c>
      <c r="G23" s="3" t="s">
        <v>26</v>
      </c>
      <c r="H23" s="3">
        <v>127.8</v>
      </c>
      <c r="I23" s="3">
        <v>128.75</v>
      </c>
      <c r="J23" s="3">
        <v>129.69999999999999</v>
      </c>
      <c r="K23" s="3">
        <v>3.8</v>
      </c>
      <c r="L23" s="3">
        <v>4.05</v>
      </c>
      <c r="M23" s="3">
        <v>4.3</v>
      </c>
      <c r="N23" s="3">
        <v>0</v>
      </c>
      <c r="O23" s="3">
        <v>3.5225126437330835E-3</v>
      </c>
      <c r="P23" s="3">
        <v>3.8329363626700003E-2</v>
      </c>
      <c r="Q23" s="3">
        <v>0.18295253029809258</v>
      </c>
      <c r="R23" s="3">
        <v>131.0721965143257</v>
      </c>
      <c r="S23" s="3">
        <v>3.7265217900203709</v>
      </c>
      <c r="U23" s="3">
        <v>4.4246227206366484</v>
      </c>
      <c r="V23" s="3">
        <v>0.69810093061627754</v>
      </c>
      <c r="X23" s="3">
        <v>0</v>
      </c>
      <c r="Y23" s="3">
        <v>0</v>
      </c>
      <c r="AA23" s="3">
        <v>0</v>
      </c>
      <c r="AB23" s="3">
        <v>0</v>
      </c>
      <c r="AC23" s="3">
        <v>0</v>
      </c>
    </row>
    <row r="24" spans="2:29" x14ac:dyDescent="0.2">
      <c r="B24" s="3" t="s">
        <v>71</v>
      </c>
      <c r="C24" s="3" t="s">
        <v>72</v>
      </c>
      <c r="D24" s="8">
        <v>41965</v>
      </c>
      <c r="E24" s="3">
        <v>1875</v>
      </c>
      <c r="F24" s="3" t="s">
        <v>25</v>
      </c>
      <c r="G24" s="3" t="s">
        <v>26</v>
      </c>
      <c r="H24" s="3">
        <v>104.6</v>
      </c>
      <c r="I24" s="3">
        <v>105.45</v>
      </c>
      <c r="J24" s="3">
        <v>106.3</v>
      </c>
      <c r="K24" s="3">
        <v>5.4</v>
      </c>
      <c r="L24" s="3">
        <v>5.7</v>
      </c>
      <c r="M24" s="3">
        <v>6</v>
      </c>
      <c r="N24" s="3">
        <v>0</v>
      </c>
      <c r="O24" s="3">
        <v>3.5225126437330835E-3</v>
      </c>
      <c r="P24" s="3">
        <v>3.8329363626700003E-2</v>
      </c>
      <c r="Q24" s="3">
        <v>0.17357211922439811</v>
      </c>
      <c r="R24" s="3">
        <v>107.94139817889732</v>
      </c>
      <c r="S24" s="3">
        <v>5.5894340447087814</v>
      </c>
      <c r="U24" s="3">
        <v>6.3082299798418831</v>
      </c>
      <c r="V24" s="3">
        <v>0.71879593513310169</v>
      </c>
      <c r="X24" s="3">
        <v>0</v>
      </c>
      <c r="Y24" s="3">
        <v>0</v>
      </c>
      <c r="AA24" s="3">
        <v>0</v>
      </c>
      <c r="AB24" s="3">
        <v>0</v>
      </c>
      <c r="AC24" s="3">
        <v>0</v>
      </c>
    </row>
    <row r="25" spans="2:29" x14ac:dyDescent="0.2">
      <c r="B25" s="3" t="s">
        <v>73</v>
      </c>
      <c r="C25" s="3" t="s">
        <v>74</v>
      </c>
      <c r="D25" s="8">
        <v>41965</v>
      </c>
      <c r="E25" s="3">
        <v>1900</v>
      </c>
      <c r="F25" s="3" t="s">
        <v>25</v>
      </c>
      <c r="G25" s="3" t="s">
        <v>26</v>
      </c>
      <c r="H25" s="3">
        <v>82.2</v>
      </c>
      <c r="I25" s="3">
        <v>83</v>
      </c>
      <c r="J25" s="3">
        <v>83.8</v>
      </c>
      <c r="K25" s="3">
        <v>7.8</v>
      </c>
      <c r="L25" s="3">
        <v>8.15</v>
      </c>
      <c r="M25" s="3">
        <v>8.5</v>
      </c>
      <c r="N25" s="3">
        <v>0</v>
      </c>
      <c r="O25" s="3">
        <v>3.5225126437330835E-3</v>
      </c>
      <c r="P25" s="3">
        <v>3.8329363626700003E-2</v>
      </c>
      <c r="Q25" s="3">
        <v>0.16430081667957741</v>
      </c>
      <c r="R25" s="3">
        <v>85.761999049992937</v>
      </c>
      <c r="S25" s="3">
        <v>8.403745505921222</v>
      </c>
      <c r="U25" s="3">
        <v>10.444340326312883</v>
      </c>
      <c r="V25" s="3">
        <v>2.0405948203916608</v>
      </c>
      <c r="X25" s="3">
        <v>0</v>
      </c>
      <c r="Y25" s="3">
        <v>0</v>
      </c>
      <c r="AA25" s="3">
        <v>0</v>
      </c>
      <c r="AB25" s="3">
        <v>0</v>
      </c>
      <c r="AC25" s="3">
        <v>0</v>
      </c>
    </row>
    <row r="26" spans="2:29" x14ac:dyDescent="0.2">
      <c r="B26" s="3" t="s">
        <v>75</v>
      </c>
      <c r="C26" s="3" t="s">
        <v>76</v>
      </c>
      <c r="D26" s="8">
        <v>41965</v>
      </c>
      <c r="E26" s="3">
        <v>1925</v>
      </c>
      <c r="F26" s="3" t="s">
        <v>25</v>
      </c>
      <c r="G26" s="3" t="s">
        <v>26</v>
      </c>
      <c r="H26" s="3">
        <v>61</v>
      </c>
      <c r="I26" s="3">
        <v>61.65</v>
      </c>
      <c r="J26" s="3">
        <v>62.3</v>
      </c>
      <c r="K26" s="3">
        <v>11.6</v>
      </c>
      <c r="L26" s="3">
        <v>11.9</v>
      </c>
      <c r="M26" s="3">
        <v>12.2</v>
      </c>
      <c r="N26" s="3">
        <v>0</v>
      </c>
      <c r="O26" s="3">
        <v>3.5225126437330835E-3</v>
      </c>
      <c r="P26" s="3">
        <v>3.8329363626700003E-2</v>
      </c>
      <c r="Q26" s="3">
        <v>0.15491567711127813</v>
      </c>
      <c r="R26" s="3">
        <v>64.943905350841078</v>
      </c>
      <c r="S26" s="3">
        <v>12.579362396885983</v>
      </c>
      <c r="U26" s="3">
        <v>14.000393387242525</v>
      </c>
      <c r="V26" s="3">
        <v>1.4210309903565417</v>
      </c>
      <c r="X26" s="3">
        <v>0</v>
      </c>
      <c r="Y26" s="3">
        <v>0</v>
      </c>
      <c r="AA26" s="3">
        <v>0</v>
      </c>
      <c r="AB26" s="3">
        <v>0</v>
      </c>
      <c r="AC26" s="3">
        <v>0</v>
      </c>
    </row>
    <row r="27" spans="2:29" x14ac:dyDescent="0.2">
      <c r="B27" s="3" t="s">
        <v>77</v>
      </c>
      <c r="C27" s="3" t="s">
        <v>78</v>
      </c>
      <c r="D27" s="8">
        <v>41965</v>
      </c>
      <c r="E27" s="3">
        <v>1950</v>
      </c>
      <c r="F27" s="3" t="s">
        <v>25</v>
      </c>
      <c r="G27" s="3" t="s">
        <v>26</v>
      </c>
      <c r="H27" s="3">
        <v>41.7</v>
      </c>
      <c r="I27" s="3">
        <v>42.2</v>
      </c>
      <c r="J27" s="3">
        <v>42.7</v>
      </c>
      <c r="K27" s="3">
        <v>17.100000000000001</v>
      </c>
      <c r="L27" s="3">
        <v>17.45</v>
      </c>
      <c r="M27" s="3">
        <v>17.8</v>
      </c>
      <c r="N27" s="3">
        <v>0</v>
      </c>
      <c r="O27" s="3">
        <v>3.5225126437330835E-3</v>
      </c>
      <c r="P27" s="3">
        <v>3.8329363626700003E-2</v>
      </c>
      <c r="Q27" s="3">
        <v>0.14546461550973544</v>
      </c>
      <c r="R27" s="3">
        <v>46.068942680484042</v>
      </c>
      <c r="S27" s="3">
        <v>18.698110316645852</v>
      </c>
      <c r="U27" s="3">
        <v>20.542988153799783</v>
      </c>
      <c r="V27" s="3">
        <v>1.8448778371539305</v>
      </c>
      <c r="X27" s="3">
        <v>0</v>
      </c>
      <c r="Y27" s="3">
        <v>0</v>
      </c>
      <c r="AA27" s="3">
        <v>0</v>
      </c>
      <c r="AB27" s="3">
        <v>0</v>
      </c>
      <c r="AC27" s="3">
        <v>0</v>
      </c>
    </row>
    <row r="28" spans="2:29" x14ac:dyDescent="0.2">
      <c r="B28" s="3" t="s">
        <v>79</v>
      </c>
      <c r="C28" s="3" t="s">
        <v>80</v>
      </c>
      <c r="D28" s="8">
        <v>41965</v>
      </c>
      <c r="E28" s="3">
        <v>1975</v>
      </c>
      <c r="F28" s="3" t="s">
        <v>25</v>
      </c>
      <c r="G28" s="3" t="s">
        <v>26</v>
      </c>
      <c r="H28" s="3">
        <v>25</v>
      </c>
      <c r="I28" s="3">
        <v>25.45</v>
      </c>
      <c r="J28" s="3">
        <v>25.9</v>
      </c>
      <c r="K28" s="3">
        <v>25.3</v>
      </c>
      <c r="L28" s="3">
        <v>25.75</v>
      </c>
      <c r="M28" s="3">
        <v>26.2</v>
      </c>
      <c r="N28" s="3">
        <v>0</v>
      </c>
      <c r="O28" s="3">
        <v>3.5225126437330835E-3</v>
      </c>
      <c r="P28" s="3">
        <v>3.8329363626700003E-2</v>
      </c>
      <c r="Q28" s="3">
        <v>0.13568481718600839</v>
      </c>
      <c r="R28" s="3">
        <v>29.784977443731691</v>
      </c>
      <c r="S28" s="3">
        <v>27.407855670010463</v>
      </c>
      <c r="U28" s="3">
        <v>29.085224394625044</v>
      </c>
      <c r="V28" s="3">
        <v>1.6773687246145812</v>
      </c>
      <c r="X28" s="3">
        <v>0</v>
      </c>
      <c r="Y28" s="3">
        <v>0</v>
      </c>
      <c r="AA28" s="3">
        <v>0</v>
      </c>
      <c r="AB28" s="3">
        <v>0</v>
      </c>
      <c r="AC28" s="3">
        <v>0</v>
      </c>
    </row>
    <row r="29" spans="2:29" x14ac:dyDescent="0.2">
      <c r="B29" s="3" t="s">
        <v>81</v>
      </c>
      <c r="C29" s="3" t="s">
        <v>82</v>
      </c>
      <c r="D29" s="8">
        <v>41965</v>
      </c>
      <c r="E29" s="3">
        <v>2000</v>
      </c>
      <c r="F29" s="3" t="s">
        <v>25</v>
      </c>
      <c r="G29" s="3" t="s">
        <v>26</v>
      </c>
      <c r="H29" s="3">
        <v>12.3</v>
      </c>
      <c r="I29" s="3">
        <v>12.6</v>
      </c>
      <c r="J29" s="3">
        <v>12.9</v>
      </c>
      <c r="K29" s="3">
        <v>37.299999999999997</v>
      </c>
      <c r="L29" s="3">
        <v>37.85</v>
      </c>
      <c r="M29" s="3">
        <v>38.4</v>
      </c>
      <c r="N29" s="3">
        <v>0</v>
      </c>
      <c r="O29" s="3">
        <v>3.5225126437330835E-3</v>
      </c>
      <c r="P29" s="3">
        <v>3.8329363626700003E-2</v>
      </c>
      <c r="Q29" s="3">
        <v>0.12590813435244325</v>
      </c>
      <c r="R29" s="3">
        <v>16.891488266542638</v>
      </c>
      <c r="S29" s="3">
        <v>39.508077082937916</v>
      </c>
      <c r="U29" s="3">
        <v>40.4514312044479</v>
      </c>
      <c r="V29" s="3">
        <v>0.94335412150998366</v>
      </c>
      <c r="X29" s="3">
        <v>0</v>
      </c>
      <c r="Y29" s="3">
        <v>0</v>
      </c>
      <c r="AA29" s="3">
        <v>0</v>
      </c>
      <c r="AB29" s="3">
        <v>0</v>
      </c>
      <c r="AC29" s="3">
        <v>0</v>
      </c>
    </row>
    <row r="30" spans="2:29" x14ac:dyDescent="0.2">
      <c r="B30" s="3" t="s">
        <v>83</v>
      </c>
      <c r="C30" s="3" t="s">
        <v>84</v>
      </c>
      <c r="D30" s="8">
        <v>41965</v>
      </c>
      <c r="E30" s="3">
        <v>2025</v>
      </c>
      <c r="F30" s="3" t="s">
        <v>25</v>
      </c>
      <c r="G30" s="3" t="s">
        <v>26</v>
      </c>
      <c r="H30" s="3">
        <v>4.3</v>
      </c>
      <c r="I30" s="3">
        <v>4.6500000000000004</v>
      </c>
      <c r="J30" s="3">
        <v>5</v>
      </c>
      <c r="K30" s="3">
        <v>54.1</v>
      </c>
      <c r="L30" s="3">
        <v>55</v>
      </c>
      <c r="M30" s="3">
        <v>55.9</v>
      </c>
      <c r="N30" s="3">
        <v>0</v>
      </c>
      <c r="O30" s="3">
        <v>3.5225126437330835E-3</v>
      </c>
      <c r="P30" s="3">
        <v>3.8329363626700003E-2</v>
      </c>
      <c r="Q30" s="3">
        <v>0.11756984386016922</v>
      </c>
      <c r="R30" s="3">
        <v>8.1401333639839777</v>
      </c>
      <c r="S30" s="3">
        <v>55.750432770495991</v>
      </c>
      <c r="U30" s="3">
        <v>55.695743611024071</v>
      </c>
      <c r="V30" s="3">
        <v>-5.4689159471919879E-2</v>
      </c>
      <c r="X30" s="3">
        <v>0</v>
      </c>
      <c r="Y30" s="3">
        <v>0</v>
      </c>
      <c r="AA30" s="3">
        <v>0</v>
      </c>
      <c r="AB30" s="3">
        <v>0</v>
      </c>
      <c r="AC30" s="3">
        <v>0</v>
      </c>
    </row>
    <row r="31" spans="2:29" x14ac:dyDescent="0.2">
      <c r="B31" s="3" t="s">
        <v>85</v>
      </c>
      <c r="C31" s="3" t="s">
        <v>86</v>
      </c>
      <c r="D31" s="8">
        <v>41965</v>
      </c>
      <c r="E31" s="3">
        <v>2050</v>
      </c>
      <c r="F31" s="3" t="s">
        <v>25</v>
      </c>
      <c r="G31" s="3" t="s">
        <v>26</v>
      </c>
      <c r="H31" s="3">
        <v>1.4</v>
      </c>
      <c r="I31" s="3">
        <v>1.5</v>
      </c>
      <c r="J31" s="3">
        <v>1.6</v>
      </c>
      <c r="K31" s="3">
        <v>75.8</v>
      </c>
      <c r="L31" s="3">
        <v>76.75</v>
      </c>
      <c r="M31" s="3">
        <v>77.7</v>
      </c>
      <c r="N31" s="3">
        <v>0</v>
      </c>
      <c r="O31" s="3">
        <v>3.5225126437330835E-3</v>
      </c>
      <c r="P31" s="3">
        <v>3.8329363626700003E-2</v>
      </c>
      <c r="Q31" s="3">
        <v>0.11018997344834029</v>
      </c>
      <c r="R31" s="3">
        <v>3.1600723334614145</v>
      </c>
      <c r="S31" s="3">
        <v>75.764082330090105</v>
      </c>
      <c r="U31" s="3">
        <v>75.406142706452144</v>
      </c>
      <c r="V31" s="3">
        <v>-0.35793962363796084</v>
      </c>
      <c r="X31" s="3">
        <v>0</v>
      </c>
      <c r="Y31" s="3">
        <v>0</v>
      </c>
      <c r="AA31" s="3">
        <v>0</v>
      </c>
      <c r="AB31" s="3">
        <v>0</v>
      </c>
      <c r="AC31" s="3">
        <v>0</v>
      </c>
    </row>
    <row r="32" spans="2:29" x14ac:dyDescent="0.2">
      <c r="B32" s="3" t="s">
        <v>87</v>
      </c>
      <c r="C32" s="3" t="s">
        <v>88</v>
      </c>
      <c r="D32" s="8">
        <v>41965</v>
      </c>
      <c r="E32" s="3">
        <v>2075</v>
      </c>
      <c r="F32" s="3" t="s">
        <v>25</v>
      </c>
      <c r="G32" s="3" t="s">
        <v>26</v>
      </c>
      <c r="H32" s="3">
        <v>0.35</v>
      </c>
      <c r="I32" s="3">
        <v>0.48</v>
      </c>
      <c r="J32" s="3">
        <v>0.6</v>
      </c>
      <c r="K32" s="3">
        <v>99.8</v>
      </c>
      <c r="L32" s="3">
        <v>100.8</v>
      </c>
      <c r="M32" s="3">
        <v>101.8</v>
      </c>
      <c r="N32" s="3">
        <v>0</v>
      </c>
      <c r="O32" s="3">
        <v>3.5225126437330835E-3</v>
      </c>
      <c r="P32" s="3">
        <v>3.8329363626700003E-2</v>
      </c>
      <c r="Q32" s="3">
        <v>0.10496308645918673</v>
      </c>
      <c r="R32" s="3">
        <v>0.9945347655282859</v>
      </c>
      <c r="S32" s="3">
        <v>98.592255352273924</v>
      </c>
      <c r="U32" s="3">
        <v>98.484022702314135</v>
      </c>
      <c r="V32" s="3">
        <v>-0.10823264995978832</v>
      </c>
      <c r="X32" s="3">
        <v>0</v>
      </c>
      <c r="Y32" s="3">
        <v>0</v>
      </c>
      <c r="AA32" s="3">
        <v>0</v>
      </c>
      <c r="AB32" s="3">
        <v>0</v>
      </c>
      <c r="AC32" s="3">
        <v>0</v>
      </c>
    </row>
    <row r="33" spans="2:29" x14ac:dyDescent="0.2">
      <c r="B33" s="3" t="s">
        <v>89</v>
      </c>
      <c r="C33" s="3" t="s">
        <v>90</v>
      </c>
      <c r="D33" s="8">
        <v>41965</v>
      </c>
      <c r="E33" s="3">
        <v>2100</v>
      </c>
      <c r="F33" s="3" t="s">
        <v>25</v>
      </c>
      <c r="G33" s="3" t="s">
        <v>26</v>
      </c>
      <c r="H33" s="3">
        <v>0.25</v>
      </c>
      <c r="I33" s="3">
        <v>0.3</v>
      </c>
      <c r="J33" s="3">
        <v>0.35</v>
      </c>
      <c r="K33" s="3">
        <v>124.5</v>
      </c>
      <c r="L33" s="3">
        <v>125.5</v>
      </c>
      <c r="M33" s="3">
        <v>126.5</v>
      </c>
      <c r="N33" s="3">
        <v>0</v>
      </c>
      <c r="O33" s="3">
        <v>3.5225126437330835E-3</v>
      </c>
      <c r="P33" s="3">
        <v>3.8329363626700003E-2</v>
      </c>
      <c r="Q33" s="3">
        <v>0.10242338956598473</v>
      </c>
      <c r="R33" s="3">
        <v>0.27412251918189057</v>
      </c>
      <c r="S33" s="3">
        <v>122.86555369604412</v>
      </c>
      <c r="U33" s="3">
        <v>122.81856309445408</v>
      </c>
      <c r="V33" s="3">
        <v>-4.6990601590039205E-2</v>
      </c>
      <c r="X33" s="3">
        <v>0</v>
      </c>
      <c r="Y33" s="3">
        <v>0</v>
      </c>
      <c r="AA33" s="3">
        <v>0</v>
      </c>
      <c r="AB33" s="3">
        <v>0</v>
      </c>
      <c r="AC33" s="3">
        <v>0</v>
      </c>
    </row>
    <row r="34" spans="2:29" x14ac:dyDescent="0.2">
      <c r="B34" s="3" t="s">
        <v>91</v>
      </c>
      <c r="C34" s="3" t="s">
        <v>92</v>
      </c>
      <c r="D34" s="8">
        <v>41965</v>
      </c>
      <c r="E34" s="3">
        <v>2125</v>
      </c>
      <c r="F34" s="3" t="s">
        <v>25</v>
      </c>
      <c r="G34" s="3" t="s">
        <v>26</v>
      </c>
      <c r="H34" s="3">
        <v>0.1</v>
      </c>
      <c r="I34" s="3">
        <v>0.43</v>
      </c>
      <c r="J34" s="3">
        <v>0.75</v>
      </c>
      <c r="K34" s="3">
        <v>149.4</v>
      </c>
      <c r="L34" s="3">
        <v>150.4</v>
      </c>
      <c r="M34" s="3">
        <v>151.4</v>
      </c>
      <c r="N34" s="3">
        <v>0</v>
      </c>
      <c r="O34" s="3">
        <v>3.5225126437330835E-3</v>
      </c>
      <c r="P34" s="3">
        <v>3.8329363626700003E-2</v>
      </c>
      <c r="Q34" s="3">
        <v>0.10242338956598473</v>
      </c>
      <c r="R34" s="3">
        <v>7.4542715784748026E-2</v>
      </c>
      <c r="S34" s="3">
        <v>147.65968448276385</v>
      </c>
      <c r="U34" s="3">
        <v>147.64646321694076</v>
      </c>
      <c r="V34" s="3">
        <v>-1.3221265823091244E-2</v>
      </c>
      <c r="X34" s="3">
        <v>0</v>
      </c>
      <c r="Y34" s="3">
        <v>0</v>
      </c>
      <c r="AA34" s="3">
        <v>0</v>
      </c>
      <c r="AB34" s="3">
        <v>0</v>
      </c>
      <c r="AC34" s="3">
        <v>0</v>
      </c>
    </row>
    <row r="35" spans="2:29" x14ac:dyDescent="0.2">
      <c r="B35" s="3" t="s">
        <v>93</v>
      </c>
      <c r="C35" s="3" t="s">
        <v>94</v>
      </c>
      <c r="D35" s="8">
        <v>41965</v>
      </c>
      <c r="E35" s="3">
        <v>2150</v>
      </c>
      <c r="F35" s="3" t="s">
        <v>25</v>
      </c>
      <c r="G35" s="3" t="s">
        <v>26</v>
      </c>
      <c r="H35" s="3">
        <v>0.05</v>
      </c>
      <c r="I35" s="3">
        <v>0.37</v>
      </c>
      <c r="J35" s="3">
        <v>0.7</v>
      </c>
      <c r="K35" s="3">
        <v>174.4</v>
      </c>
      <c r="L35" s="3">
        <v>175.4</v>
      </c>
      <c r="M35" s="3">
        <v>176.4</v>
      </c>
      <c r="N35" s="3">
        <v>0</v>
      </c>
      <c r="O35" s="3">
        <v>3.5225126437330835E-3</v>
      </c>
      <c r="P35" s="3">
        <v>3.8329363626700003E-2</v>
      </c>
      <c r="Q35" s="3">
        <v>0.10242338956598473</v>
      </c>
      <c r="R35" s="3">
        <v>1.7571244429924526E-2</v>
      </c>
      <c r="S35" s="3">
        <v>172.59642360152543</v>
      </c>
      <c r="U35" s="3">
        <v>172.59474234813248</v>
      </c>
      <c r="V35" s="3">
        <v>-1.6812533929453366E-3</v>
      </c>
      <c r="X35" s="3">
        <v>0</v>
      </c>
      <c r="Y35" s="3">
        <v>0</v>
      </c>
      <c r="AA35" s="3">
        <v>0</v>
      </c>
      <c r="AB35" s="3">
        <v>0</v>
      </c>
      <c r="AC35" s="3">
        <v>0</v>
      </c>
    </row>
    <row r="36" spans="2:29" x14ac:dyDescent="0.2">
      <c r="B36" s="3" t="s">
        <v>95</v>
      </c>
      <c r="C36" s="3" t="s">
        <v>96</v>
      </c>
      <c r="D36" s="8">
        <v>41993</v>
      </c>
      <c r="E36" s="3">
        <v>1000</v>
      </c>
      <c r="F36" s="3" t="s">
        <v>25</v>
      </c>
      <c r="G36" s="3" t="s">
        <v>26</v>
      </c>
      <c r="H36" s="3">
        <v>970.7</v>
      </c>
      <c r="I36" s="3">
        <v>971.65</v>
      </c>
      <c r="J36" s="3">
        <v>972.6</v>
      </c>
      <c r="K36" s="3">
        <v>0.05</v>
      </c>
      <c r="L36" s="3">
        <v>0.08</v>
      </c>
      <c r="M36" s="3">
        <v>0.1</v>
      </c>
      <c r="N36" s="3">
        <v>0</v>
      </c>
      <c r="O36" s="3">
        <v>3.5225126437330835E-3</v>
      </c>
      <c r="P36" s="3">
        <v>3.8329363626700003E-2</v>
      </c>
      <c r="Q36" s="3">
        <v>0.29224301651601792</v>
      </c>
      <c r="R36" s="3">
        <v>971.69255546024544</v>
      </c>
      <c r="S36" s="3">
        <v>1.6267206586791182E-8</v>
      </c>
      <c r="U36" s="3">
        <v>-9.4591548716607576E-2</v>
      </c>
      <c r="V36" s="3">
        <v>-9.4591564983814158E-2</v>
      </c>
      <c r="X36" s="3">
        <v>0</v>
      </c>
      <c r="Y36" s="3">
        <v>0</v>
      </c>
      <c r="AA36" s="3">
        <v>0</v>
      </c>
      <c r="AB36" s="3">
        <v>0</v>
      </c>
      <c r="AC36" s="3">
        <v>0</v>
      </c>
    </row>
    <row r="37" spans="2:29" x14ac:dyDescent="0.2">
      <c r="B37" s="3" t="s">
        <v>97</v>
      </c>
      <c r="C37" s="3" t="s">
        <v>98</v>
      </c>
      <c r="D37" s="8">
        <v>41993</v>
      </c>
      <c r="E37" s="3">
        <v>1050</v>
      </c>
      <c r="F37" s="3" t="s">
        <v>25</v>
      </c>
      <c r="G37" s="3" t="s">
        <v>26</v>
      </c>
      <c r="H37" s="3">
        <v>920.7</v>
      </c>
      <c r="I37" s="3">
        <v>921.7</v>
      </c>
      <c r="J37" s="3">
        <v>922.7</v>
      </c>
      <c r="K37" s="3">
        <v>0.05</v>
      </c>
      <c r="L37" s="3">
        <v>0.08</v>
      </c>
      <c r="M37" s="3">
        <v>0.1</v>
      </c>
      <c r="N37" s="3">
        <v>0</v>
      </c>
      <c r="O37" s="3">
        <v>3.5225126437330835E-3</v>
      </c>
      <c r="P37" s="3">
        <v>3.8329363626700003E-2</v>
      </c>
      <c r="Q37" s="3">
        <v>0.29224301651601792</v>
      </c>
      <c r="R37" s="3">
        <v>921.71840871821291</v>
      </c>
      <c r="S37" s="3">
        <v>2.4449428098716899E-7</v>
      </c>
      <c r="U37" s="3">
        <v>-5.8262296192879148E-4</v>
      </c>
      <c r="V37" s="3">
        <v>-5.8286745620977866E-4</v>
      </c>
      <c r="X37" s="3">
        <v>0</v>
      </c>
      <c r="Y37" s="3">
        <v>0</v>
      </c>
      <c r="AA37" s="3">
        <v>0</v>
      </c>
      <c r="AB37" s="3">
        <v>0</v>
      </c>
      <c r="AC37" s="3">
        <v>0</v>
      </c>
    </row>
    <row r="38" spans="2:29" x14ac:dyDescent="0.2">
      <c r="B38" s="3" t="s">
        <v>99</v>
      </c>
      <c r="C38" s="3" t="s">
        <v>100</v>
      </c>
      <c r="D38" s="8">
        <v>41993</v>
      </c>
      <c r="E38" s="3">
        <v>1075</v>
      </c>
      <c r="F38" s="3" t="s">
        <v>25</v>
      </c>
      <c r="G38" s="3" t="s">
        <v>26</v>
      </c>
      <c r="H38" s="3">
        <v>895.8</v>
      </c>
      <c r="I38" s="3">
        <v>896.75</v>
      </c>
      <c r="J38" s="3">
        <v>897.7</v>
      </c>
      <c r="K38" s="3">
        <v>0.05</v>
      </c>
      <c r="L38" s="3">
        <v>0.1</v>
      </c>
      <c r="M38" s="3">
        <v>0.15</v>
      </c>
      <c r="N38" s="3">
        <v>0</v>
      </c>
      <c r="O38" s="3">
        <v>3.5225126437330835E-3</v>
      </c>
      <c r="P38" s="3">
        <v>3.8329363626700003E-2</v>
      </c>
      <c r="Q38" s="3">
        <v>0.29224301651601792</v>
      </c>
      <c r="R38" s="3">
        <v>896.73133583554613</v>
      </c>
      <c r="S38" s="3">
        <v>8.4695724761437092E-7</v>
      </c>
      <c r="U38" s="3">
        <v>-2.275851480055735E-2</v>
      </c>
      <c r="V38" s="3">
        <v>-2.2759361757804963E-2</v>
      </c>
      <c r="X38" s="3">
        <v>0</v>
      </c>
      <c r="Y38" s="3">
        <v>0</v>
      </c>
      <c r="AA38" s="3">
        <v>0</v>
      </c>
      <c r="AB38" s="3">
        <v>0</v>
      </c>
      <c r="AC38" s="3">
        <v>0</v>
      </c>
    </row>
    <row r="39" spans="2:29" x14ac:dyDescent="0.2">
      <c r="B39" s="3" t="s">
        <v>101</v>
      </c>
      <c r="C39" s="3" t="s">
        <v>102</v>
      </c>
      <c r="D39" s="8">
        <v>41993</v>
      </c>
      <c r="E39" s="3">
        <v>1100</v>
      </c>
      <c r="F39" s="3" t="s">
        <v>25</v>
      </c>
      <c r="G39" s="3" t="s">
        <v>26</v>
      </c>
      <c r="H39" s="3">
        <v>870.8</v>
      </c>
      <c r="I39" s="3">
        <v>871.75</v>
      </c>
      <c r="J39" s="3">
        <v>872.7</v>
      </c>
      <c r="K39" s="3">
        <v>0.1</v>
      </c>
      <c r="L39" s="3">
        <v>0.13</v>
      </c>
      <c r="M39" s="3">
        <v>0.15</v>
      </c>
      <c r="N39" s="3">
        <v>0</v>
      </c>
      <c r="O39" s="3">
        <v>3.5225126437330835E-3</v>
      </c>
      <c r="P39" s="3">
        <v>3.8329363626700003E-2</v>
      </c>
      <c r="Q39" s="3">
        <v>0.29224301651601792</v>
      </c>
      <c r="R39" s="3">
        <v>871.74426424194098</v>
      </c>
      <c r="S39" s="3">
        <v>2.7384817527735918E-6</v>
      </c>
      <c r="U39" s="3">
        <v>5.6359706555895173E-3</v>
      </c>
      <c r="V39" s="3">
        <v>5.6332321738367438E-3</v>
      </c>
      <c r="X39" s="3">
        <v>0</v>
      </c>
      <c r="Y39" s="3">
        <v>0</v>
      </c>
      <c r="AA39" s="3">
        <v>0</v>
      </c>
      <c r="AB39" s="3">
        <v>0</v>
      </c>
      <c r="AC39" s="3">
        <v>0</v>
      </c>
    </row>
    <row r="40" spans="2:29" ht="15" x14ac:dyDescent="0.25">
      <c r="B40" s="3" t="s">
        <v>103</v>
      </c>
      <c r="C40" s="3" t="s">
        <v>104</v>
      </c>
      <c r="D40" s="8">
        <v>41993</v>
      </c>
      <c r="E40" s="3">
        <v>1125</v>
      </c>
      <c r="F40" s="3" t="s">
        <v>25</v>
      </c>
      <c r="G40" s="3" t="s">
        <v>26</v>
      </c>
      <c r="H40" s="3">
        <v>845.8</v>
      </c>
      <c r="I40" s="3">
        <v>846.8</v>
      </c>
      <c r="J40" s="3">
        <v>847.8</v>
      </c>
      <c r="K40" s="3">
        <v>0.05</v>
      </c>
      <c r="L40" s="3">
        <v>0.13</v>
      </c>
      <c r="M40" s="3">
        <v>0.2</v>
      </c>
      <c r="N40" s="3">
        <v>0</v>
      </c>
      <c r="O40" s="3">
        <v>3.5225126437330835E-3</v>
      </c>
      <c r="P40" s="12">
        <v>3.8329363626700003E-2</v>
      </c>
      <c r="Q40" s="3">
        <v>0.29224301651601792</v>
      </c>
      <c r="R40" s="3">
        <v>846.75719631699053</v>
      </c>
      <c r="S40" s="3">
        <v>8.2986608861571141E-6</v>
      </c>
      <c r="U40" s="3">
        <v>-5.0940635675260637E-3</v>
      </c>
      <c r="V40" s="3">
        <v>-5.1023622284122206E-3</v>
      </c>
      <c r="X40" s="3">
        <v>0</v>
      </c>
      <c r="Y40" s="3">
        <v>0</v>
      </c>
      <c r="AA40" s="3">
        <v>0</v>
      </c>
      <c r="AB40" s="3">
        <v>0</v>
      </c>
      <c r="AC40" s="3">
        <v>0</v>
      </c>
    </row>
    <row r="41" spans="2:29" x14ac:dyDescent="0.2">
      <c r="B41" s="3" t="s">
        <v>105</v>
      </c>
      <c r="C41" s="3" t="s">
        <v>106</v>
      </c>
      <c r="D41" s="8">
        <v>41993</v>
      </c>
      <c r="E41" s="3">
        <v>1150</v>
      </c>
      <c r="F41" s="3" t="s">
        <v>25</v>
      </c>
      <c r="G41" s="3" t="s">
        <v>26</v>
      </c>
      <c r="H41" s="3">
        <v>820.8</v>
      </c>
      <c r="I41" s="3">
        <v>821.8</v>
      </c>
      <c r="J41" s="3">
        <v>822.8</v>
      </c>
      <c r="K41" s="3">
        <v>0.1</v>
      </c>
      <c r="L41" s="3">
        <v>0.15</v>
      </c>
      <c r="M41" s="3">
        <v>0.2</v>
      </c>
      <c r="N41" s="3">
        <v>0</v>
      </c>
      <c r="O41" s="3">
        <v>3.5225126437330835E-3</v>
      </c>
      <c r="P41" s="3">
        <v>3.8329363626700003E-2</v>
      </c>
      <c r="Q41" s="3">
        <v>0.29224301651601792</v>
      </c>
      <c r="R41" s="3">
        <v>821.77013819326567</v>
      </c>
      <c r="S41" s="3">
        <v>2.3660065744522674E-5</v>
      </c>
      <c r="U41" s="3">
        <v>-1.173599163257677E-2</v>
      </c>
      <c r="V41" s="3">
        <v>-1.1759651698321293E-2</v>
      </c>
      <c r="X41" s="3">
        <v>0</v>
      </c>
      <c r="Y41" s="3">
        <v>0</v>
      </c>
      <c r="AA41" s="3">
        <v>0</v>
      </c>
      <c r="AB41" s="3">
        <v>0</v>
      </c>
      <c r="AC41" s="3">
        <v>0</v>
      </c>
    </row>
    <row r="42" spans="2:29" x14ac:dyDescent="0.2">
      <c r="B42" s="3" t="s">
        <v>107</v>
      </c>
      <c r="C42" s="3" t="s">
        <v>108</v>
      </c>
      <c r="D42" s="8">
        <v>41993</v>
      </c>
      <c r="E42" s="3">
        <v>1175</v>
      </c>
      <c r="F42" s="3" t="s">
        <v>25</v>
      </c>
      <c r="G42" s="3" t="s">
        <v>26</v>
      </c>
      <c r="H42" s="3">
        <v>795.9</v>
      </c>
      <c r="I42" s="3">
        <v>796.85</v>
      </c>
      <c r="J42" s="3">
        <v>797.8</v>
      </c>
      <c r="K42" s="3">
        <v>0.15</v>
      </c>
      <c r="L42" s="3">
        <v>0.18</v>
      </c>
      <c r="M42" s="3">
        <v>0.2</v>
      </c>
      <c r="N42" s="3">
        <v>0</v>
      </c>
      <c r="O42" s="3">
        <v>3.5225126437330835E-3</v>
      </c>
      <c r="P42" s="3">
        <v>3.8329363626700003E-2</v>
      </c>
      <c r="Q42" s="3">
        <v>0.29224301651601792</v>
      </c>
      <c r="R42" s="3">
        <v>796.78310473819943</v>
      </c>
      <c r="S42" s="3">
        <v>6.3690128948423481E-5</v>
      </c>
      <c r="U42" s="3">
        <v>8.2910506167422682E-2</v>
      </c>
      <c r="V42" s="3">
        <v>8.2846816038474255E-2</v>
      </c>
      <c r="X42" s="3">
        <v>0</v>
      </c>
      <c r="Y42" s="3">
        <v>0</v>
      </c>
      <c r="AA42" s="3">
        <v>0</v>
      </c>
      <c r="AB42" s="3">
        <v>0</v>
      </c>
      <c r="AC42" s="3">
        <v>0</v>
      </c>
    </row>
    <row r="43" spans="2:29" x14ac:dyDescent="0.2">
      <c r="B43" s="3" t="s">
        <v>109</v>
      </c>
      <c r="C43" s="3" t="s">
        <v>110</v>
      </c>
      <c r="D43" s="8">
        <v>41993</v>
      </c>
      <c r="E43" s="3">
        <v>1200</v>
      </c>
      <c r="F43" s="3" t="s">
        <v>25</v>
      </c>
      <c r="G43" s="3" t="s">
        <v>26</v>
      </c>
      <c r="H43" s="3">
        <v>770.9</v>
      </c>
      <c r="I43" s="3">
        <v>771.9</v>
      </c>
      <c r="J43" s="3">
        <v>772.9</v>
      </c>
      <c r="K43" s="3">
        <v>0.2</v>
      </c>
      <c r="L43" s="3">
        <v>0.23</v>
      </c>
      <c r="M43" s="3">
        <v>0.25</v>
      </c>
      <c r="N43" s="3">
        <v>0</v>
      </c>
      <c r="O43" s="3">
        <v>3.5225126437330835E-3</v>
      </c>
      <c r="P43" s="3">
        <v>3.8329363626700003E-2</v>
      </c>
      <c r="Q43" s="3">
        <v>0.29224301651601792</v>
      </c>
      <c r="R43" s="3">
        <v>771.79612997001482</v>
      </c>
      <c r="S43" s="3">
        <v>1.6240707408412842E-4</v>
      </c>
      <c r="U43" s="3">
        <v>-0.1101949939932183</v>
      </c>
      <c r="V43" s="3">
        <v>-0.11035740106730244</v>
      </c>
      <c r="X43" s="3">
        <v>0</v>
      </c>
      <c r="Y43" s="3">
        <v>0</v>
      </c>
      <c r="AA43" s="3">
        <v>0</v>
      </c>
      <c r="AB43" s="3">
        <v>0</v>
      </c>
      <c r="AC43" s="3">
        <v>0</v>
      </c>
    </row>
    <row r="44" spans="2:29" x14ac:dyDescent="0.2">
      <c r="B44" s="3" t="s">
        <v>111</v>
      </c>
      <c r="C44" s="3" t="s">
        <v>112</v>
      </c>
      <c r="D44" s="8">
        <v>41993</v>
      </c>
      <c r="E44" s="3">
        <v>1225</v>
      </c>
      <c r="F44" s="3" t="s">
        <v>25</v>
      </c>
      <c r="G44" s="3" t="s">
        <v>26</v>
      </c>
      <c r="H44" s="3">
        <v>746</v>
      </c>
      <c r="I44" s="3">
        <v>746.95</v>
      </c>
      <c r="J44" s="3">
        <v>747.9</v>
      </c>
      <c r="K44" s="3">
        <v>0.2</v>
      </c>
      <c r="L44" s="3">
        <v>0.23</v>
      </c>
      <c r="M44" s="3">
        <v>0.25</v>
      </c>
      <c r="N44" s="3">
        <v>0</v>
      </c>
      <c r="O44" s="3">
        <v>3.5225126437330835E-3</v>
      </c>
      <c r="P44" s="3">
        <v>3.8329363626700003E-2</v>
      </c>
      <c r="Q44" s="3">
        <v>0.29224301651601792</v>
      </c>
      <c r="R44" s="3">
        <v>746.80928757602965</v>
      </c>
      <c r="S44" s="3">
        <v>3.9349821857459152E-4</v>
      </c>
      <c r="U44" s="3">
        <v>7.5251467836551456E-2</v>
      </c>
      <c r="V44" s="3">
        <v>7.4857969617976861E-2</v>
      </c>
      <c r="X44" s="3">
        <v>0</v>
      </c>
      <c r="Y44" s="3">
        <v>0</v>
      </c>
      <c r="AA44" s="3">
        <v>0</v>
      </c>
      <c r="AB44" s="3">
        <v>0</v>
      </c>
      <c r="AC44" s="3">
        <v>0</v>
      </c>
    </row>
    <row r="45" spans="2:29" x14ac:dyDescent="0.2">
      <c r="B45" s="3" t="s">
        <v>113</v>
      </c>
      <c r="C45" s="3" t="s">
        <v>114</v>
      </c>
      <c r="D45" s="8">
        <v>41993</v>
      </c>
      <c r="E45" s="3">
        <v>1250</v>
      </c>
      <c r="F45" s="3" t="s">
        <v>25</v>
      </c>
      <c r="G45" s="3" t="s">
        <v>26</v>
      </c>
      <c r="H45" s="3">
        <v>721</v>
      </c>
      <c r="I45" s="3">
        <v>721.95</v>
      </c>
      <c r="J45" s="3">
        <v>722.9</v>
      </c>
      <c r="K45" s="3">
        <v>0.25</v>
      </c>
      <c r="L45" s="3">
        <v>0.28000000000000003</v>
      </c>
      <c r="M45" s="3">
        <v>0.3</v>
      </c>
      <c r="N45" s="3">
        <v>0</v>
      </c>
      <c r="O45" s="3">
        <v>3.5225126437330835E-3</v>
      </c>
      <c r="P45" s="3">
        <v>3.8329363626700003E-2</v>
      </c>
      <c r="Q45" s="3">
        <v>0.29224301651601792</v>
      </c>
      <c r="R45" s="3">
        <v>721.82272908867003</v>
      </c>
      <c r="S45" s="3">
        <v>9.0849598883706306E-4</v>
      </c>
      <c r="U45" s="3">
        <v>-0.16517190358024436</v>
      </c>
      <c r="V45" s="3">
        <v>-0.16608039956908144</v>
      </c>
      <c r="X45" s="3">
        <v>0</v>
      </c>
      <c r="Y45" s="3">
        <v>0</v>
      </c>
      <c r="AA45" s="3">
        <v>0</v>
      </c>
      <c r="AB45" s="3">
        <v>0</v>
      </c>
      <c r="AC45" s="3">
        <v>0</v>
      </c>
    </row>
    <row r="46" spans="2:29" x14ac:dyDescent="0.2">
      <c r="B46" s="3" t="s">
        <v>115</v>
      </c>
      <c r="C46" s="3" t="s">
        <v>116</v>
      </c>
      <c r="D46" s="8">
        <v>41993</v>
      </c>
      <c r="E46" s="3">
        <v>1300</v>
      </c>
      <c r="F46" s="3" t="s">
        <v>25</v>
      </c>
      <c r="G46" s="3" t="s">
        <v>26</v>
      </c>
      <c r="H46" s="3">
        <v>671.1</v>
      </c>
      <c r="I46" s="3">
        <v>672.05</v>
      </c>
      <c r="J46" s="3">
        <v>673</v>
      </c>
      <c r="K46" s="3">
        <v>0.3</v>
      </c>
      <c r="L46" s="3">
        <v>0.33</v>
      </c>
      <c r="M46" s="3">
        <v>0.35</v>
      </c>
      <c r="N46" s="3">
        <v>0</v>
      </c>
      <c r="O46" s="3">
        <v>3.5225126437330835E-3</v>
      </c>
      <c r="P46" s="3">
        <v>3.8329363626700003E-2</v>
      </c>
      <c r="Q46" s="3">
        <v>0.29224301651601792</v>
      </c>
      <c r="R46" s="3">
        <v>671.85190764333947</v>
      </c>
      <c r="S46" s="3">
        <v>4.2340209176067456E-3</v>
      </c>
      <c r="U46" s="3">
        <v>9.7442005934453846E-3</v>
      </c>
      <c r="V46" s="3">
        <v>5.510179675838639E-3</v>
      </c>
      <c r="X46" s="3">
        <v>0</v>
      </c>
      <c r="Y46" s="3">
        <v>0</v>
      </c>
      <c r="AA46" s="3">
        <v>0</v>
      </c>
      <c r="AB46" s="3">
        <v>0</v>
      </c>
      <c r="AC46" s="3">
        <v>0</v>
      </c>
    </row>
    <row r="47" spans="2:29" x14ac:dyDescent="0.2">
      <c r="B47" s="3" t="s">
        <v>117</v>
      </c>
      <c r="C47" s="3" t="s">
        <v>118</v>
      </c>
      <c r="D47" s="8">
        <v>41993</v>
      </c>
      <c r="E47" s="3">
        <v>1350</v>
      </c>
      <c r="F47" s="3" t="s">
        <v>25</v>
      </c>
      <c r="G47" s="3" t="s">
        <v>26</v>
      </c>
      <c r="H47" s="3">
        <v>621.20000000000005</v>
      </c>
      <c r="I47" s="3">
        <v>622.20000000000005</v>
      </c>
      <c r="J47" s="3">
        <v>623.20000000000005</v>
      </c>
      <c r="K47" s="3">
        <v>0.3</v>
      </c>
      <c r="L47" s="3">
        <v>0.53</v>
      </c>
      <c r="M47" s="3">
        <v>0.75</v>
      </c>
      <c r="N47" s="3">
        <v>0</v>
      </c>
      <c r="O47" s="3">
        <v>3.5225126437330835E-3</v>
      </c>
      <c r="P47" s="3">
        <v>3.8329363626700003E-2</v>
      </c>
      <c r="Q47" s="3">
        <v>0.29224301651601792</v>
      </c>
      <c r="R47" s="3">
        <v>621.8902861430322</v>
      </c>
      <c r="S47" s="3">
        <v>1.6759490870009719E-2</v>
      </c>
      <c r="U47" s="3">
        <v>5.6593558836993907E-2</v>
      </c>
      <c r="V47" s="3">
        <v>3.9834067966984188E-2</v>
      </c>
      <c r="X47" s="3">
        <v>0</v>
      </c>
      <c r="Y47" s="3">
        <v>0</v>
      </c>
      <c r="AA47" s="3">
        <v>0</v>
      </c>
      <c r="AB47" s="3">
        <v>0</v>
      </c>
      <c r="AC47" s="3">
        <v>0</v>
      </c>
    </row>
    <row r="48" spans="2:29" x14ac:dyDescent="0.2">
      <c r="B48" s="3" t="s">
        <v>119</v>
      </c>
      <c r="C48" s="3" t="s">
        <v>120</v>
      </c>
      <c r="D48" s="8">
        <v>41993</v>
      </c>
      <c r="E48" s="3">
        <v>1400</v>
      </c>
      <c r="F48" s="3" t="s">
        <v>25</v>
      </c>
      <c r="G48" s="3" t="s">
        <v>26</v>
      </c>
      <c r="H48" s="3">
        <v>571.29999999999995</v>
      </c>
      <c r="I48" s="3">
        <v>572.29999999999995</v>
      </c>
      <c r="J48" s="3">
        <v>573.29999999999995</v>
      </c>
      <c r="K48" s="3">
        <v>0.45</v>
      </c>
      <c r="L48" s="3">
        <v>0.53</v>
      </c>
      <c r="M48" s="3">
        <v>0.6</v>
      </c>
      <c r="N48" s="3">
        <v>0</v>
      </c>
      <c r="O48" s="3">
        <v>3.5225126437330835E-3</v>
      </c>
      <c r="P48" s="3">
        <v>3.8329363626700003E-2</v>
      </c>
      <c r="Q48" s="3">
        <v>0.29224301651601792</v>
      </c>
      <c r="R48" s="3">
        <v>571.95668489335458</v>
      </c>
      <c r="S48" s="3">
        <v>5.730521145139722E-2</v>
      </c>
      <c r="U48" s="3">
        <v>-8.5553201460811579E-2</v>
      </c>
      <c r="V48" s="3">
        <v>-0.1428584129122088</v>
      </c>
      <c r="X48" s="3">
        <v>0</v>
      </c>
      <c r="Y48" s="3">
        <v>0</v>
      </c>
      <c r="AA48" s="3">
        <v>0</v>
      </c>
      <c r="AB48" s="3">
        <v>0</v>
      </c>
      <c r="AC48" s="3">
        <v>0</v>
      </c>
    </row>
    <row r="49" spans="2:29" x14ac:dyDescent="0.2">
      <c r="B49" s="3" t="s">
        <v>121</v>
      </c>
      <c r="C49" s="3" t="s">
        <v>122</v>
      </c>
      <c r="D49" s="8">
        <v>41993</v>
      </c>
      <c r="E49" s="3">
        <v>1425</v>
      </c>
      <c r="F49" s="3" t="s">
        <v>25</v>
      </c>
      <c r="G49" s="3" t="s">
        <v>26</v>
      </c>
      <c r="H49" s="3">
        <v>546.4</v>
      </c>
      <c r="I49" s="3">
        <v>547.4</v>
      </c>
      <c r="J49" s="3">
        <v>548.4</v>
      </c>
      <c r="K49" s="3">
        <v>0.45</v>
      </c>
      <c r="L49" s="3">
        <v>0.56999999999999995</v>
      </c>
      <c r="M49" s="3">
        <v>0.7</v>
      </c>
      <c r="N49" s="3">
        <v>0</v>
      </c>
      <c r="O49" s="3">
        <v>3.5225126437330835E-3</v>
      </c>
      <c r="P49" s="3">
        <v>3.8329363626700003E-2</v>
      </c>
      <c r="Q49" s="3">
        <v>0.29224301651601792</v>
      </c>
      <c r="R49" s="3">
        <v>547.01308712704736</v>
      </c>
      <c r="S49" s="3">
        <v>0.1007809302739644</v>
      </c>
      <c r="U49" s="3">
        <v>-0.13699183116136737</v>
      </c>
      <c r="V49" s="3">
        <v>-0.23777276143533177</v>
      </c>
      <c r="X49" s="3">
        <v>0</v>
      </c>
      <c r="Y49" s="3">
        <v>0</v>
      </c>
      <c r="AA49" s="3">
        <v>0</v>
      </c>
      <c r="AB49" s="3">
        <v>0</v>
      </c>
      <c r="AC49" s="3">
        <v>0</v>
      </c>
    </row>
    <row r="50" spans="2:29" x14ac:dyDescent="0.2">
      <c r="B50" s="3" t="s">
        <v>123</v>
      </c>
      <c r="C50" s="3" t="s">
        <v>124</v>
      </c>
      <c r="D50" s="8">
        <v>41993</v>
      </c>
      <c r="E50" s="3">
        <v>1450</v>
      </c>
      <c r="F50" s="3" t="s">
        <v>25</v>
      </c>
      <c r="G50" s="3" t="s">
        <v>26</v>
      </c>
      <c r="H50" s="3">
        <v>521.5</v>
      </c>
      <c r="I50" s="3">
        <v>522.5</v>
      </c>
      <c r="J50" s="3">
        <v>523.5</v>
      </c>
      <c r="K50" s="3">
        <v>0.4</v>
      </c>
      <c r="L50" s="3">
        <v>0.57999999999999996</v>
      </c>
      <c r="M50" s="3">
        <v>0.75</v>
      </c>
      <c r="N50" s="3">
        <v>0</v>
      </c>
      <c r="O50" s="3">
        <v>3.5225126437330835E-3</v>
      </c>
      <c r="P50" s="3">
        <v>3.8329363626700003E-2</v>
      </c>
      <c r="Q50" s="3">
        <v>0.29224301651601792</v>
      </c>
      <c r="R50" s="3">
        <v>522.09704080134907</v>
      </c>
      <c r="S50" s="3">
        <v>0.17180808970527739</v>
      </c>
      <c r="U50" s="3">
        <v>0.4005865079348041</v>
      </c>
      <c r="V50" s="3">
        <v>0.22877841822952671</v>
      </c>
      <c r="X50" s="3">
        <v>0</v>
      </c>
      <c r="Y50" s="3">
        <v>0</v>
      </c>
      <c r="AA50" s="3">
        <v>0</v>
      </c>
      <c r="AB50" s="3">
        <v>0</v>
      </c>
      <c r="AC50" s="3">
        <v>0</v>
      </c>
    </row>
    <row r="51" spans="2:29" x14ac:dyDescent="0.2">
      <c r="B51" s="3" t="s">
        <v>125</v>
      </c>
      <c r="C51" s="3" t="s">
        <v>126</v>
      </c>
      <c r="D51" s="8">
        <v>41993</v>
      </c>
      <c r="E51" s="3">
        <v>1475</v>
      </c>
      <c r="F51" s="3" t="s">
        <v>25</v>
      </c>
      <c r="G51" s="3" t="s">
        <v>26</v>
      </c>
      <c r="H51" s="3">
        <v>496.6</v>
      </c>
      <c r="I51" s="3">
        <v>497.6</v>
      </c>
      <c r="J51" s="3">
        <v>498.6</v>
      </c>
      <c r="K51" s="3">
        <v>0.15</v>
      </c>
      <c r="L51" s="3">
        <v>0.48</v>
      </c>
      <c r="M51" s="3">
        <v>0.8</v>
      </c>
      <c r="N51" s="3">
        <v>0</v>
      </c>
      <c r="O51" s="3">
        <v>3.5225126437330835E-3</v>
      </c>
      <c r="P51" s="3">
        <v>3.8329363626700003E-2</v>
      </c>
      <c r="Q51" s="3">
        <v>0.29224301651601792</v>
      </c>
      <c r="R51" s="3">
        <v>497.22253260654816</v>
      </c>
      <c r="S51" s="3">
        <v>0.28437338003413437</v>
      </c>
      <c r="U51" s="3">
        <v>-0.1144155569803047</v>
      </c>
      <c r="V51" s="3">
        <v>-0.39878893701443907</v>
      </c>
      <c r="X51" s="3">
        <v>0</v>
      </c>
      <c r="Y51" s="3">
        <v>0</v>
      </c>
      <c r="AA51" s="3">
        <v>0</v>
      </c>
      <c r="AB51" s="3">
        <v>0</v>
      </c>
      <c r="AC51" s="3">
        <v>0</v>
      </c>
    </row>
    <row r="52" spans="2:29" x14ac:dyDescent="0.2">
      <c r="B52" s="3" t="s">
        <v>127</v>
      </c>
      <c r="C52" s="3" t="s">
        <v>128</v>
      </c>
      <c r="D52" s="8">
        <v>41993</v>
      </c>
      <c r="E52" s="3">
        <v>1500</v>
      </c>
      <c r="F52" s="3" t="s">
        <v>25</v>
      </c>
      <c r="G52" s="3" t="s">
        <v>26</v>
      </c>
      <c r="H52" s="3">
        <v>471.7</v>
      </c>
      <c r="I52" s="3">
        <v>472.75</v>
      </c>
      <c r="J52" s="3">
        <v>473.8</v>
      </c>
      <c r="K52" s="3">
        <v>0.6</v>
      </c>
      <c r="L52" s="3">
        <v>0.75</v>
      </c>
      <c r="M52" s="3">
        <v>0.9</v>
      </c>
      <c r="N52" s="3">
        <v>0</v>
      </c>
      <c r="O52" s="3">
        <v>3.5225126437330835E-3</v>
      </c>
      <c r="P52" s="3">
        <v>3.8329363626700003E-2</v>
      </c>
      <c r="Q52" s="3">
        <v>0.29224301651601792</v>
      </c>
      <c r="R52" s="3">
        <v>472.40877957264706</v>
      </c>
      <c r="S52" s="3">
        <v>0.45769383126262575</v>
      </c>
      <c r="U52" s="3">
        <v>2.7070176952861402E-3</v>
      </c>
      <c r="V52" s="3">
        <v>-0.45498681356733961</v>
      </c>
      <c r="X52" s="3">
        <v>0</v>
      </c>
      <c r="Y52" s="3">
        <v>0</v>
      </c>
      <c r="AA52" s="3">
        <v>0</v>
      </c>
      <c r="AB52" s="3">
        <v>0</v>
      </c>
      <c r="AC52" s="3">
        <v>0</v>
      </c>
    </row>
    <row r="53" spans="2:29" x14ac:dyDescent="0.2">
      <c r="B53" s="3" t="s">
        <v>129</v>
      </c>
      <c r="C53" s="3" t="s">
        <v>130</v>
      </c>
      <c r="D53" s="8">
        <v>41993</v>
      </c>
      <c r="E53" s="3">
        <v>1525</v>
      </c>
      <c r="F53" s="3" t="s">
        <v>25</v>
      </c>
      <c r="G53" s="3" t="s">
        <v>26</v>
      </c>
      <c r="H53" s="3">
        <v>446.9</v>
      </c>
      <c r="I53" s="3">
        <v>447.9</v>
      </c>
      <c r="J53" s="3">
        <v>448.9</v>
      </c>
      <c r="K53" s="3">
        <v>0.85</v>
      </c>
      <c r="L53" s="3">
        <v>0.9</v>
      </c>
      <c r="M53" s="3">
        <v>0.95</v>
      </c>
      <c r="N53" s="3">
        <v>0</v>
      </c>
      <c r="O53" s="3">
        <v>3.5225126437330835E-3</v>
      </c>
      <c r="P53" s="3">
        <v>3.8329363626700003E-2</v>
      </c>
      <c r="Q53" s="3">
        <v>0.29224301651601792</v>
      </c>
      <c r="R53" s="3">
        <v>447.68135582737727</v>
      </c>
      <c r="S53" s="3">
        <v>0.7173435711224414</v>
      </c>
      <c r="U53" s="3">
        <v>0.89133657238920705</v>
      </c>
      <c r="V53" s="3">
        <v>0.17399300126676565</v>
      </c>
      <c r="X53" s="3">
        <v>0</v>
      </c>
      <c r="Y53" s="3">
        <v>0</v>
      </c>
      <c r="AA53" s="3">
        <v>0</v>
      </c>
      <c r="AB53" s="3">
        <v>0</v>
      </c>
      <c r="AC53" s="3">
        <v>0</v>
      </c>
    </row>
    <row r="54" spans="2:29" x14ac:dyDescent="0.2">
      <c r="B54" s="3" t="s">
        <v>131</v>
      </c>
      <c r="C54" s="3" t="s">
        <v>132</v>
      </c>
      <c r="D54" s="8">
        <v>41993</v>
      </c>
      <c r="E54" s="3">
        <v>1550</v>
      </c>
      <c r="F54" s="3" t="s">
        <v>25</v>
      </c>
      <c r="G54" s="3" t="s">
        <v>26</v>
      </c>
      <c r="H54" s="3">
        <v>422.1</v>
      </c>
      <c r="I54" s="3">
        <v>423.1</v>
      </c>
      <c r="J54" s="3">
        <v>424.1</v>
      </c>
      <c r="K54" s="3">
        <v>1</v>
      </c>
      <c r="L54" s="3">
        <v>1.07</v>
      </c>
      <c r="M54" s="3">
        <v>1.1499999999999999</v>
      </c>
      <c r="N54" s="3">
        <v>1</v>
      </c>
      <c r="O54" s="3">
        <v>3.5225126437330835E-3</v>
      </c>
      <c r="P54" s="3">
        <v>3.8329363626700003E-2</v>
      </c>
      <c r="Q54" s="3">
        <v>0.28831730634041258</v>
      </c>
      <c r="R54" s="3">
        <v>422.97291593591899</v>
      </c>
      <c r="S54" s="3">
        <v>0.99597716479399523</v>
      </c>
      <c r="U54" s="3">
        <v>0.57849266450233472</v>
      </c>
      <c r="V54" s="3">
        <v>-0.41748450029166051</v>
      </c>
      <c r="X54" s="3">
        <v>0.62434905143228459</v>
      </c>
      <c r="Y54" s="3">
        <v>-0.37162811336171064</v>
      </c>
      <c r="AA54" s="3">
        <v>1</v>
      </c>
      <c r="AB54" s="3">
        <v>1</v>
      </c>
      <c r="AC54" s="3">
        <v>1</v>
      </c>
    </row>
    <row r="55" spans="2:29" x14ac:dyDescent="0.2">
      <c r="B55" s="3" t="s">
        <v>133</v>
      </c>
      <c r="C55" s="3" t="s">
        <v>134</v>
      </c>
      <c r="D55" s="8">
        <v>41993</v>
      </c>
      <c r="E55" s="3">
        <v>1575</v>
      </c>
      <c r="F55" s="3" t="s">
        <v>25</v>
      </c>
      <c r="G55" s="3" t="s">
        <v>26</v>
      </c>
      <c r="H55" s="3">
        <v>397.3</v>
      </c>
      <c r="I55" s="3">
        <v>398.35</v>
      </c>
      <c r="J55" s="3">
        <v>399.4</v>
      </c>
      <c r="K55" s="3">
        <v>1.25</v>
      </c>
      <c r="L55" s="3">
        <v>1.38</v>
      </c>
      <c r="M55" s="3">
        <v>1.5</v>
      </c>
      <c r="N55" s="3">
        <v>1</v>
      </c>
      <c r="O55" s="3">
        <v>3.5225126437330835E-3</v>
      </c>
      <c r="P55" s="3">
        <v>3.8329363626700003E-2</v>
      </c>
      <c r="Q55" s="3">
        <v>0.28439159616480725</v>
      </c>
      <c r="R55" s="3">
        <v>398.35990921934172</v>
      </c>
      <c r="S55" s="3">
        <v>1.3700439333465653</v>
      </c>
      <c r="U55" s="3">
        <v>1.0982802026544505</v>
      </c>
      <c r="V55" s="3">
        <v>-0.27176373069211479</v>
      </c>
      <c r="X55" s="3">
        <v>0.82552043925483043</v>
      </c>
      <c r="Y55" s="3">
        <v>-0.54452349409173484</v>
      </c>
      <c r="AA55" s="3">
        <v>1</v>
      </c>
      <c r="AB55" s="3">
        <v>1</v>
      </c>
      <c r="AC55" s="3">
        <v>1</v>
      </c>
    </row>
    <row r="56" spans="2:29" x14ac:dyDescent="0.2">
      <c r="B56" s="3" t="s">
        <v>135</v>
      </c>
      <c r="C56" s="3" t="s">
        <v>136</v>
      </c>
      <c r="D56" s="8">
        <v>41993</v>
      </c>
      <c r="E56" s="3">
        <v>1600</v>
      </c>
      <c r="F56" s="3" t="s">
        <v>25</v>
      </c>
      <c r="G56" s="3" t="s">
        <v>26</v>
      </c>
      <c r="H56" s="3">
        <v>372.6</v>
      </c>
      <c r="I56" s="3">
        <v>373.6</v>
      </c>
      <c r="J56" s="3">
        <v>374.6</v>
      </c>
      <c r="K56" s="3">
        <v>1.5</v>
      </c>
      <c r="L56" s="3">
        <v>1.63</v>
      </c>
      <c r="M56" s="3">
        <v>1.75</v>
      </c>
      <c r="N56" s="3">
        <v>1</v>
      </c>
      <c r="O56" s="3">
        <v>3.5225126437330835E-3</v>
      </c>
      <c r="P56" s="3">
        <v>3.8329363626700003E-2</v>
      </c>
      <c r="Q56" s="3">
        <v>0.27395723204581635</v>
      </c>
      <c r="R56" s="3">
        <v>373.61634099945172</v>
      </c>
      <c r="S56" s="3">
        <v>1.6135491985863482</v>
      </c>
      <c r="U56" s="3">
        <v>1.4310666245874017</v>
      </c>
      <c r="V56" s="3">
        <v>-0.18248257399894641</v>
      </c>
      <c r="X56" s="3">
        <v>1.0849467932012393</v>
      </c>
      <c r="Y56" s="3">
        <v>-0.52860240538510883</v>
      </c>
      <c r="AA56" s="3">
        <v>1</v>
      </c>
      <c r="AB56" s="3">
        <v>1</v>
      </c>
      <c r="AC56" s="3">
        <v>1</v>
      </c>
    </row>
    <row r="57" spans="2:29" x14ac:dyDescent="0.2">
      <c r="B57" s="3" t="s">
        <v>137</v>
      </c>
      <c r="C57" s="3" t="s">
        <v>138</v>
      </c>
      <c r="D57" s="8">
        <v>41993</v>
      </c>
      <c r="E57" s="3">
        <v>1625</v>
      </c>
      <c r="F57" s="3" t="s">
        <v>25</v>
      </c>
      <c r="G57" s="3" t="s">
        <v>26</v>
      </c>
      <c r="H57" s="3">
        <v>347.9</v>
      </c>
      <c r="I57" s="3">
        <v>348.95</v>
      </c>
      <c r="J57" s="3">
        <v>350</v>
      </c>
      <c r="K57" s="3">
        <v>1.8</v>
      </c>
      <c r="L57" s="3">
        <v>1.92</v>
      </c>
      <c r="M57" s="3">
        <v>2.0499999999999998</v>
      </c>
      <c r="N57" s="3">
        <v>1</v>
      </c>
      <c r="O57" s="3">
        <v>3.5225126437330835E-3</v>
      </c>
      <c r="P57" s="3">
        <v>3.8329363626700003E-2</v>
      </c>
      <c r="Q57" s="3">
        <v>0.26401968756284944</v>
      </c>
      <c r="R57" s="3">
        <v>348.94285020862503</v>
      </c>
      <c r="S57" s="3">
        <v>1.9271318928892214</v>
      </c>
      <c r="U57" s="3">
        <v>1.5643910490311441</v>
      </c>
      <c r="V57" s="3">
        <v>-0.36274084385807726</v>
      </c>
      <c r="X57" s="3">
        <v>1.4184735244167535</v>
      </c>
      <c r="Y57" s="3">
        <v>-0.50865836847246793</v>
      </c>
      <c r="AA57" s="3">
        <v>1</v>
      </c>
      <c r="AB57" s="3">
        <v>1</v>
      </c>
      <c r="AC57" s="3">
        <v>1</v>
      </c>
    </row>
    <row r="58" spans="2:29" x14ac:dyDescent="0.2">
      <c r="B58" s="3" t="s">
        <v>139</v>
      </c>
      <c r="C58" s="3" t="s">
        <v>140</v>
      </c>
      <c r="D58" s="8">
        <v>41993</v>
      </c>
      <c r="E58" s="3">
        <v>1650</v>
      </c>
      <c r="F58" s="3" t="s">
        <v>25</v>
      </c>
      <c r="G58" s="3" t="s">
        <v>26</v>
      </c>
      <c r="H58" s="3">
        <v>323.3</v>
      </c>
      <c r="I58" s="3">
        <v>324.35000000000002</v>
      </c>
      <c r="J58" s="3">
        <v>325.39999999999998</v>
      </c>
      <c r="K58" s="3">
        <v>2.15</v>
      </c>
      <c r="L58" s="3">
        <v>2.33</v>
      </c>
      <c r="M58" s="3">
        <v>2.5</v>
      </c>
      <c r="N58" s="3">
        <v>1</v>
      </c>
      <c r="O58" s="3">
        <v>3.5225126437330835E-3</v>
      </c>
      <c r="P58" s="3">
        <v>3.8329363626700003E-2</v>
      </c>
      <c r="Q58" s="3">
        <v>0.25442005829768427</v>
      </c>
      <c r="R58" s="3">
        <v>324.35431424530088</v>
      </c>
      <c r="S58" s="3">
        <v>2.3256694146945307</v>
      </c>
      <c r="U58" s="3">
        <v>1.4925621508220956</v>
      </c>
      <c r="V58" s="3">
        <v>-0.83310726387243506</v>
      </c>
      <c r="X58" s="3">
        <v>1.8616379697818899</v>
      </c>
      <c r="Y58" s="3">
        <v>-0.46403144491264081</v>
      </c>
      <c r="AA58" s="3">
        <v>1</v>
      </c>
      <c r="AB58" s="3">
        <v>1</v>
      </c>
      <c r="AC58" s="3">
        <v>1</v>
      </c>
    </row>
    <row r="59" spans="2:29" x14ac:dyDescent="0.2">
      <c r="B59" s="3" t="s">
        <v>141</v>
      </c>
      <c r="C59" s="3" t="s">
        <v>142</v>
      </c>
      <c r="D59" s="8">
        <v>41993</v>
      </c>
      <c r="E59" s="3">
        <v>1675</v>
      </c>
      <c r="F59" s="3" t="s">
        <v>25</v>
      </c>
      <c r="G59" s="3" t="s">
        <v>26</v>
      </c>
      <c r="H59" s="3">
        <v>298.8</v>
      </c>
      <c r="I59" s="3">
        <v>299.85000000000002</v>
      </c>
      <c r="J59" s="3">
        <v>300.89999999999998</v>
      </c>
      <c r="K59" s="3">
        <v>2.65</v>
      </c>
      <c r="L59" s="3">
        <v>2.83</v>
      </c>
      <c r="M59" s="3">
        <v>3</v>
      </c>
      <c r="N59" s="3">
        <v>1</v>
      </c>
      <c r="O59" s="3">
        <v>3.5225126437330835E-3</v>
      </c>
      <c r="P59" s="3">
        <v>3.8329363626700003E-2</v>
      </c>
      <c r="Q59" s="3">
        <v>0.24488760558161848</v>
      </c>
      <c r="R59" s="3">
        <v>299.86077528087731</v>
      </c>
      <c r="S59" s="3">
        <v>2.8192039354006226</v>
      </c>
      <c r="U59" s="3">
        <v>2.5356520112421777</v>
      </c>
      <c r="V59" s="3">
        <v>-0.28355192415844499</v>
      </c>
      <c r="X59" s="3">
        <v>2.4422068891702016</v>
      </c>
      <c r="Y59" s="3">
        <v>-0.37699704623042107</v>
      </c>
      <c r="AA59" s="3">
        <v>1</v>
      </c>
      <c r="AB59" s="3">
        <v>1</v>
      </c>
      <c r="AC59" s="3">
        <v>1</v>
      </c>
    </row>
    <row r="60" spans="2:29" x14ac:dyDescent="0.2">
      <c r="B60" s="3" t="s">
        <v>143</v>
      </c>
      <c r="C60" s="3" t="s">
        <v>144</v>
      </c>
      <c r="D60" s="8">
        <v>41993</v>
      </c>
      <c r="E60" s="3">
        <v>1700</v>
      </c>
      <c r="F60" s="3" t="s">
        <v>25</v>
      </c>
      <c r="G60" s="3" t="s">
        <v>26</v>
      </c>
      <c r="H60" s="3">
        <v>274.5</v>
      </c>
      <c r="I60" s="3">
        <v>275.55</v>
      </c>
      <c r="J60" s="3">
        <v>276.60000000000002</v>
      </c>
      <c r="K60" s="3">
        <v>3.3</v>
      </c>
      <c r="L60" s="3">
        <v>3.5</v>
      </c>
      <c r="M60" s="3">
        <v>3.7</v>
      </c>
      <c r="N60" s="3">
        <v>1</v>
      </c>
      <c r="O60" s="3">
        <v>3.5225126437330835E-3</v>
      </c>
      <c r="P60" s="3">
        <v>3.8329363626700003E-2</v>
      </c>
      <c r="Q60" s="3">
        <v>0.23630325807393587</v>
      </c>
      <c r="R60" s="3">
        <v>275.55224831510645</v>
      </c>
      <c r="S60" s="3">
        <v>3.4977504547598386</v>
      </c>
      <c r="U60" s="3">
        <v>3.4827693840533698</v>
      </c>
      <c r="V60" s="3">
        <v>-1.4981070706468813E-2</v>
      </c>
      <c r="X60" s="3">
        <v>3.1727764818864483</v>
      </c>
      <c r="Y60" s="3">
        <v>-0.32497397287339025</v>
      </c>
      <c r="AA60" s="3">
        <v>1</v>
      </c>
      <c r="AB60" s="3">
        <v>1</v>
      </c>
      <c r="AC60" s="3">
        <v>0</v>
      </c>
    </row>
    <row r="61" spans="2:29" x14ac:dyDescent="0.2">
      <c r="B61" s="3" t="s">
        <v>145</v>
      </c>
      <c r="C61" s="3" t="s">
        <v>146</v>
      </c>
      <c r="D61" s="8">
        <v>41993</v>
      </c>
      <c r="E61" s="3">
        <v>1725</v>
      </c>
      <c r="F61" s="3" t="s">
        <v>25</v>
      </c>
      <c r="G61" s="3" t="s">
        <v>26</v>
      </c>
      <c r="H61" s="3">
        <v>250.3</v>
      </c>
      <c r="I61" s="3">
        <v>251.35</v>
      </c>
      <c r="J61" s="3">
        <v>252.4</v>
      </c>
      <c r="K61" s="3">
        <v>4</v>
      </c>
      <c r="L61" s="3">
        <v>4.2</v>
      </c>
      <c r="M61" s="3">
        <v>4.4000000000000004</v>
      </c>
      <c r="N61" s="3">
        <v>1</v>
      </c>
      <c r="O61" s="3">
        <v>3.5225126437330835E-3</v>
      </c>
      <c r="P61" s="3">
        <v>3.8329363626700003E-2</v>
      </c>
      <c r="Q61" s="3">
        <v>0.2264574364448228</v>
      </c>
      <c r="R61" s="3">
        <v>251.30860948679469</v>
      </c>
      <c r="S61" s="3">
        <v>4.2411851115773231</v>
      </c>
      <c r="U61" s="3">
        <v>4.3531783071292409</v>
      </c>
      <c r="V61" s="3">
        <v>0.11199319555191778</v>
      </c>
      <c r="X61" s="3">
        <v>4.1047639847597663</v>
      </c>
      <c r="Y61" s="3">
        <v>-0.1364211268175568</v>
      </c>
      <c r="AA61" s="3">
        <v>1</v>
      </c>
      <c r="AB61" s="3">
        <v>0</v>
      </c>
      <c r="AC61" s="3">
        <v>0</v>
      </c>
    </row>
    <row r="62" spans="2:29" x14ac:dyDescent="0.2">
      <c r="B62" s="3" t="s">
        <v>147</v>
      </c>
      <c r="C62" s="3" t="s">
        <v>148</v>
      </c>
      <c r="D62" s="8">
        <v>41993</v>
      </c>
      <c r="E62" s="3">
        <v>1750</v>
      </c>
      <c r="F62" s="3" t="s">
        <v>25</v>
      </c>
      <c r="G62" s="3" t="s">
        <v>26</v>
      </c>
      <c r="H62" s="3">
        <v>226.4</v>
      </c>
      <c r="I62" s="3">
        <v>227.4</v>
      </c>
      <c r="J62" s="3">
        <v>228.4</v>
      </c>
      <c r="K62" s="3">
        <v>5</v>
      </c>
      <c r="L62" s="3">
        <v>5.3</v>
      </c>
      <c r="M62" s="3">
        <v>5.6</v>
      </c>
      <c r="N62" s="3">
        <v>1</v>
      </c>
      <c r="O62" s="3">
        <v>3.5225126437330835E-3</v>
      </c>
      <c r="P62" s="3">
        <v>3.8329363626700003E-2</v>
      </c>
      <c r="Q62" s="3">
        <v>0.21802304186607946</v>
      </c>
      <c r="R62" s="3">
        <v>227.39008190892037</v>
      </c>
      <c r="S62" s="3">
        <v>5.3097310188330482</v>
      </c>
      <c r="U62" s="3">
        <v>5.1798437356415263</v>
      </c>
      <c r="V62" s="3">
        <v>-0.12988728319152187</v>
      </c>
      <c r="X62" s="3">
        <v>5.2880076761749697</v>
      </c>
      <c r="Y62" s="3">
        <v>-2.1723342658078515E-2</v>
      </c>
      <c r="AA62" s="3">
        <v>1</v>
      </c>
      <c r="AB62" s="3">
        <v>0</v>
      </c>
      <c r="AC62" s="3">
        <v>0</v>
      </c>
    </row>
    <row r="63" spans="2:29" x14ac:dyDescent="0.2">
      <c r="B63" s="3" t="s">
        <v>149</v>
      </c>
      <c r="C63" s="3" t="s">
        <v>150</v>
      </c>
      <c r="D63" s="8">
        <v>41993</v>
      </c>
      <c r="E63" s="3">
        <v>1775</v>
      </c>
      <c r="F63" s="3" t="s">
        <v>25</v>
      </c>
      <c r="G63" s="3" t="s">
        <v>26</v>
      </c>
      <c r="H63" s="3">
        <v>202.7</v>
      </c>
      <c r="I63" s="3">
        <v>203.7</v>
      </c>
      <c r="J63" s="3">
        <v>204.7</v>
      </c>
      <c r="K63" s="3">
        <v>6.3</v>
      </c>
      <c r="L63" s="3">
        <v>6.6</v>
      </c>
      <c r="M63" s="3">
        <v>6.9</v>
      </c>
      <c r="N63" s="3">
        <v>1</v>
      </c>
      <c r="O63" s="3">
        <v>3.5225126437330835E-3</v>
      </c>
      <c r="P63" s="3">
        <v>3.8329363626700003E-2</v>
      </c>
      <c r="Q63" s="3">
        <v>0.20907993520585522</v>
      </c>
      <c r="R63" s="3">
        <v>203.69655420204504</v>
      </c>
      <c r="S63" s="3">
        <v>6.6032767970871475</v>
      </c>
      <c r="U63" s="3">
        <v>7.4793370567731472</v>
      </c>
      <c r="V63" s="3">
        <v>0.87606025968599965</v>
      </c>
      <c r="X63" s="3">
        <v>6.771848992146257</v>
      </c>
      <c r="Y63" s="3">
        <v>0.16857219505910948</v>
      </c>
      <c r="AA63" s="3">
        <v>1</v>
      </c>
      <c r="AB63" s="3">
        <v>0</v>
      </c>
      <c r="AC63" s="3">
        <v>1</v>
      </c>
    </row>
    <row r="64" spans="2:29" x14ac:dyDescent="0.2">
      <c r="B64" s="3" t="s">
        <v>151</v>
      </c>
      <c r="C64" s="3" t="s">
        <v>152</v>
      </c>
      <c r="D64" s="8">
        <v>41993</v>
      </c>
      <c r="E64" s="3">
        <v>1800</v>
      </c>
      <c r="F64" s="3" t="s">
        <v>25</v>
      </c>
      <c r="G64" s="3" t="s">
        <v>26</v>
      </c>
      <c r="H64" s="3">
        <v>179.4</v>
      </c>
      <c r="I64" s="3">
        <v>180.35</v>
      </c>
      <c r="J64" s="3">
        <v>181.3</v>
      </c>
      <c r="K64" s="3">
        <v>7.9</v>
      </c>
      <c r="L64" s="3">
        <v>8.25</v>
      </c>
      <c r="M64" s="3">
        <v>8.6</v>
      </c>
      <c r="N64" s="3">
        <v>1</v>
      </c>
      <c r="O64" s="3">
        <v>3.5225126437330835E-3</v>
      </c>
      <c r="P64" s="3">
        <v>3.8329363626700003E-2</v>
      </c>
      <c r="Q64" s="3">
        <v>0.20016318447399845</v>
      </c>
      <c r="R64" s="3">
        <v>180.35310006553323</v>
      </c>
      <c r="S64" s="3">
        <v>8.246896145705108</v>
      </c>
      <c r="U64" s="3">
        <v>8.4173278055043568</v>
      </c>
      <c r="V64" s="3">
        <v>0.17043165979924879</v>
      </c>
      <c r="X64" s="3">
        <v>8.6295876172706834</v>
      </c>
      <c r="Y64" s="3">
        <v>0.38269147156557537</v>
      </c>
      <c r="AA64" s="3">
        <v>1</v>
      </c>
      <c r="AB64" s="3">
        <v>1</v>
      </c>
      <c r="AC64" s="3">
        <v>0</v>
      </c>
    </row>
    <row r="65" spans="2:29" x14ac:dyDescent="0.2">
      <c r="B65" s="3" t="s">
        <v>153</v>
      </c>
      <c r="C65" s="3" t="s">
        <v>154</v>
      </c>
      <c r="D65" s="8">
        <v>41993</v>
      </c>
      <c r="E65" s="3">
        <v>1825</v>
      </c>
      <c r="F65" s="3" t="s">
        <v>25</v>
      </c>
      <c r="G65" s="3" t="s">
        <v>26</v>
      </c>
      <c r="H65" s="3">
        <v>156.6</v>
      </c>
      <c r="I65" s="3">
        <v>157.5</v>
      </c>
      <c r="J65" s="3">
        <v>158.4</v>
      </c>
      <c r="K65" s="3">
        <v>10</v>
      </c>
      <c r="L65" s="3">
        <v>10.35</v>
      </c>
      <c r="M65" s="3">
        <v>10.7</v>
      </c>
      <c r="N65" s="3">
        <v>1</v>
      </c>
      <c r="O65" s="3">
        <v>3.5225126437330835E-3</v>
      </c>
      <c r="P65" s="3">
        <v>3.8329363626700003E-2</v>
      </c>
      <c r="Q65" s="3">
        <v>0.1914013580561752</v>
      </c>
      <c r="R65" s="3">
        <v>157.48445212804995</v>
      </c>
      <c r="S65" s="3">
        <v>10.365321693351575</v>
      </c>
      <c r="U65" s="3">
        <v>11.031486422161208</v>
      </c>
      <c r="V65" s="3">
        <v>0.66616472880963329</v>
      </c>
      <c r="X65" s="3">
        <v>10.962610538471573</v>
      </c>
      <c r="Y65" s="3">
        <v>0.5972888451199978</v>
      </c>
      <c r="AA65" s="3">
        <v>1</v>
      </c>
      <c r="AB65" s="3">
        <v>1</v>
      </c>
      <c r="AC65" s="3">
        <v>1</v>
      </c>
    </row>
    <row r="66" spans="2:29" x14ac:dyDescent="0.2">
      <c r="B66" s="3" t="s">
        <v>155</v>
      </c>
      <c r="C66" s="3" t="s">
        <v>156</v>
      </c>
      <c r="D66" s="8">
        <v>41993</v>
      </c>
      <c r="E66" s="3">
        <v>1850</v>
      </c>
      <c r="F66" s="3" t="s">
        <v>25</v>
      </c>
      <c r="G66" s="3" t="s">
        <v>26</v>
      </c>
      <c r="H66" s="3">
        <v>134.30000000000001</v>
      </c>
      <c r="I66" s="3">
        <v>135.19999999999999</v>
      </c>
      <c r="J66" s="3">
        <v>136.1</v>
      </c>
      <c r="K66" s="3">
        <v>12.9</v>
      </c>
      <c r="L66" s="3">
        <v>13.2</v>
      </c>
      <c r="M66" s="3">
        <v>13.5</v>
      </c>
      <c r="N66" s="3">
        <v>1</v>
      </c>
      <c r="O66" s="3">
        <v>3.5225126437330835E-3</v>
      </c>
      <c r="P66" s="3">
        <v>3.8329363626700003E-2</v>
      </c>
      <c r="Q66" s="3">
        <v>0.18295253029809258</v>
      </c>
      <c r="R66" s="3">
        <v>135.26597113714865</v>
      </c>
      <c r="S66" s="3">
        <v>13.133914187579933</v>
      </c>
      <c r="U66" s="3">
        <v>13.961680501969198</v>
      </c>
      <c r="V66" s="3">
        <v>0.82776631438926529</v>
      </c>
      <c r="X66" s="3">
        <v>13.87525947714739</v>
      </c>
      <c r="Y66" s="3">
        <v>0.74134528956745704</v>
      </c>
      <c r="AA66" s="3">
        <v>1</v>
      </c>
      <c r="AB66" s="3">
        <v>1</v>
      </c>
      <c r="AC66" s="3">
        <v>1</v>
      </c>
    </row>
    <row r="67" spans="2:29" x14ac:dyDescent="0.2">
      <c r="B67" s="3" t="s">
        <v>157</v>
      </c>
      <c r="C67" s="3" t="s">
        <v>158</v>
      </c>
      <c r="D67" s="8">
        <v>41993</v>
      </c>
      <c r="E67" s="3">
        <v>1875</v>
      </c>
      <c r="F67" s="3" t="s">
        <v>25</v>
      </c>
      <c r="G67" s="3" t="s">
        <v>26</v>
      </c>
      <c r="H67" s="3">
        <v>112.9</v>
      </c>
      <c r="I67" s="3">
        <v>113.6</v>
      </c>
      <c r="J67" s="3">
        <v>114.3</v>
      </c>
      <c r="K67" s="3">
        <v>16.100000000000001</v>
      </c>
      <c r="L67" s="3">
        <v>16.5</v>
      </c>
      <c r="M67" s="3">
        <v>16.899999999999999</v>
      </c>
      <c r="N67" s="3">
        <v>1</v>
      </c>
      <c r="O67" s="3">
        <v>3.5225126437330835E-3</v>
      </c>
      <c r="P67" s="3">
        <v>3.8329363626700003E-2</v>
      </c>
      <c r="Q67" s="3">
        <v>0.17357211922439811</v>
      </c>
      <c r="R67" s="3">
        <v>113.62248793710523</v>
      </c>
      <c r="S67" s="3">
        <v>16.477504472666453</v>
      </c>
      <c r="U67" s="3">
        <v>17.350834543692827</v>
      </c>
      <c r="V67" s="3">
        <v>0.87333007102637339</v>
      </c>
      <c r="X67" s="3">
        <v>17.503927467787801</v>
      </c>
      <c r="Y67" s="3">
        <v>1.0264229951213473</v>
      </c>
      <c r="AA67" s="3">
        <v>1</v>
      </c>
      <c r="AB67" s="3">
        <v>1</v>
      </c>
      <c r="AC67" s="3">
        <v>1</v>
      </c>
    </row>
    <row r="68" spans="2:29" x14ac:dyDescent="0.2">
      <c r="B68" s="3" t="s">
        <v>159</v>
      </c>
      <c r="C68" s="3" t="s">
        <v>160</v>
      </c>
      <c r="D68" s="8">
        <v>41993</v>
      </c>
      <c r="E68" s="3">
        <v>1900</v>
      </c>
      <c r="F68" s="3" t="s">
        <v>25</v>
      </c>
      <c r="G68" s="3" t="s">
        <v>26</v>
      </c>
      <c r="H68" s="3">
        <v>92.3</v>
      </c>
      <c r="I68" s="3">
        <v>92.95</v>
      </c>
      <c r="J68" s="3">
        <v>93.6</v>
      </c>
      <c r="K68" s="3">
        <v>20.399999999999999</v>
      </c>
      <c r="L68" s="3">
        <v>20.8</v>
      </c>
      <c r="M68" s="3">
        <v>21.2</v>
      </c>
      <c r="N68" s="3">
        <v>1</v>
      </c>
      <c r="O68" s="3">
        <v>3.5225126437330835E-3</v>
      </c>
      <c r="P68" s="3">
        <v>3.8329363626700003E-2</v>
      </c>
      <c r="Q68" s="3">
        <v>0.16430081667957741</v>
      </c>
      <c r="R68" s="3">
        <v>92.953822785551665</v>
      </c>
      <c r="S68" s="3">
        <v>20.795912806242654</v>
      </c>
      <c r="U68" s="3">
        <v>22.854462588585761</v>
      </c>
      <c r="V68" s="3">
        <v>2.0585497823431069</v>
      </c>
      <c r="X68" s="3">
        <v>22.029671020978032</v>
      </c>
      <c r="Y68" s="3">
        <v>1.2337582147353778</v>
      </c>
      <c r="AA68" s="3">
        <v>1</v>
      </c>
      <c r="AB68" s="3">
        <v>1</v>
      </c>
      <c r="AC68" s="3">
        <v>1</v>
      </c>
    </row>
    <row r="69" spans="2:29" x14ac:dyDescent="0.2">
      <c r="B69" s="3" t="s">
        <v>161</v>
      </c>
      <c r="C69" s="3" t="s">
        <v>162</v>
      </c>
      <c r="D69" s="8">
        <v>41993</v>
      </c>
      <c r="E69" s="3">
        <v>1925</v>
      </c>
      <c r="F69" s="3" t="s">
        <v>25</v>
      </c>
      <c r="G69" s="3" t="s">
        <v>26</v>
      </c>
      <c r="H69" s="3">
        <v>72.8</v>
      </c>
      <c r="I69" s="3">
        <v>73.45</v>
      </c>
      <c r="J69" s="3">
        <v>74.099999999999994</v>
      </c>
      <c r="K69" s="3">
        <v>25.9</v>
      </c>
      <c r="L69" s="3">
        <v>26.35</v>
      </c>
      <c r="M69" s="3">
        <v>26.8</v>
      </c>
      <c r="N69" s="3">
        <v>1</v>
      </c>
      <c r="O69" s="3">
        <v>3.5225126437330835E-3</v>
      </c>
      <c r="P69" s="3">
        <v>3.8329363626700003E-2</v>
      </c>
      <c r="Q69" s="3">
        <v>0.15491567711127813</v>
      </c>
      <c r="R69" s="3">
        <v>73.485381077750162</v>
      </c>
      <c r="S69" s="3">
        <v>26.314544583570751</v>
      </c>
      <c r="U69" s="3">
        <v>27.757560171287864</v>
      </c>
      <c r="V69" s="3">
        <v>1.4430155877171131</v>
      </c>
      <c r="X69" s="3">
        <v>27.67737555196797</v>
      </c>
      <c r="Y69" s="3">
        <v>1.3628309683972191</v>
      </c>
      <c r="AA69" s="3">
        <v>1</v>
      </c>
      <c r="AB69" s="3">
        <v>1</v>
      </c>
      <c r="AC69" s="3">
        <v>1</v>
      </c>
    </row>
    <row r="70" spans="2:29" x14ac:dyDescent="0.2">
      <c r="B70" s="3" t="s">
        <v>163</v>
      </c>
      <c r="C70" s="3" t="s">
        <v>164</v>
      </c>
      <c r="D70" s="8">
        <v>41993</v>
      </c>
      <c r="E70" s="3">
        <v>1950</v>
      </c>
      <c r="F70" s="3" t="s">
        <v>25</v>
      </c>
      <c r="G70" s="3" t="s">
        <v>26</v>
      </c>
      <c r="H70" s="3">
        <v>55</v>
      </c>
      <c r="I70" s="3">
        <v>55.55</v>
      </c>
      <c r="J70" s="3">
        <v>56.1</v>
      </c>
      <c r="K70" s="3">
        <v>32.9</v>
      </c>
      <c r="L70" s="3">
        <v>33.4</v>
      </c>
      <c r="M70" s="3">
        <v>33.9</v>
      </c>
      <c r="N70" s="3">
        <v>1</v>
      </c>
      <c r="O70" s="3">
        <v>3.5225126437330835E-3</v>
      </c>
      <c r="P70" s="3">
        <v>3.8329363626700003E-2</v>
      </c>
      <c r="Q70" s="3">
        <v>0.14546461550973544</v>
      </c>
      <c r="R70" s="3">
        <v>55.56688362289583</v>
      </c>
      <c r="S70" s="3">
        <v>33.383120613845904</v>
      </c>
      <c r="U70" s="3">
        <v>35.235891397311512</v>
      </c>
      <c r="V70" s="3">
        <v>1.8527707834656084</v>
      </c>
      <c r="X70" s="3">
        <v>34.708700955918829</v>
      </c>
      <c r="Y70" s="3">
        <v>1.3255803420729251</v>
      </c>
      <c r="AA70" s="3">
        <v>1</v>
      </c>
      <c r="AB70" s="3">
        <v>1</v>
      </c>
      <c r="AC70" s="3">
        <v>1</v>
      </c>
    </row>
    <row r="71" spans="2:29" x14ac:dyDescent="0.2">
      <c r="B71" s="3" t="s">
        <v>165</v>
      </c>
      <c r="C71" s="3" t="s">
        <v>166</v>
      </c>
      <c r="D71" s="8">
        <v>41993</v>
      </c>
      <c r="E71" s="3">
        <v>1975</v>
      </c>
      <c r="F71" s="3" t="s">
        <v>25</v>
      </c>
      <c r="G71" s="3" t="s">
        <v>26</v>
      </c>
      <c r="H71" s="3">
        <v>39</v>
      </c>
      <c r="I71" s="3">
        <v>39.5</v>
      </c>
      <c r="J71" s="3">
        <v>40</v>
      </c>
      <c r="K71" s="3">
        <v>41.8</v>
      </c>
      <c r="L71" s="3">
        <v>42.35</v>
      </c>
      <c r="M71" s="3">
        <v>42.9</v>
      </c>
      <c r="N71" s="3">
        <v>1</v>
      </c>
      <c r="O71" s="3">
        <v>3.5225126437330835E-3</v>
      </c>
      <c r="P71" s="3">
        <v>3.8329363626700003E-2</v>
      </c>
      <c r="Q71" s="3">
        <v>0.13568481718600839</v>
      </c>
      <c r="R71" s="3">
        <v>39.523389504906049</v>
      </c>
      <c r="S71" s="3">
        <v>42.326699980986064</v>
      </c>
      <c r="U71" s="3">
        <v>44.220426771839968</v>
      </c>
      <c r="V71" s="3">
        <v>1.8937267908539042</v>
      </c>
      <c r="X71" s="3">
        <v>43.532104015693186</v>
      </c>
      <c r="Y71" s="3">
        <v>1.2054040347071222</v>
      </c>
      <c r="AA71" s="3">
        <v>1</v>
      </c>
      <c r="AB71" s="3">
        <v>1</v>
      </c>
      <c r="AC71" s="3">
        <v>1</v>
      </c>
    </row>
    <row r="72" spans="2:29" x14ac:dyDescent="0.2">
      <c r="B72" s="3" t="s">
        <v>167</v>
      </c>
      <c r="C72" s="3" t="s">
        <v>168</v>
      </c>
      <c r="D72" s="8">
        <v>41993</v>
      </c>
      <c r="E72" s="3">
        <v>2000</v>
      </c>
      <c r="F72" s="3" t="s">
        <v>25</v>
      </c>
      <c r="G72" s="3" t="s">
        <v>26</v>
      </c>
      <c r="H72" s="3">
        <v>25.5</v>
      </c>
      <c r="I72" s="3">
        <v>25.9</v>
      </c>
      <c r="J72" s="3">
        <v>26.3</v>
      </c>
      <c r="K72" s="3">
        <v>53.1</v>
      </c>
      <c r="L72" s="3">
        <v>53.7</v>
      </c>
      <c r="M72" s="3">
        <v>54.3</v>
      </c>
      <c r="N72" s="3">
        <v>1</v>
      </c>
      <c r="O72" s="3">
        <v>3.5225126437330835E-3</v>
      </c>
      <c r="P72" s="3">
        <v>3.8329363626700003E-2</v>
      </c>
      <c r="Q72" s="3">
        <v>0.12590813435244325</v>
      </c>
      <c r="R72" s="3">
        <v>25.904808979954169</v>
      </c>
      <c r="S72" s="3">
        <v>53.695192941163441</v>
      </c>
      <c r="U72" s="3">
        <v>55.260033228629766</v>
      </c>
      <c r="V72" s="3">
        <v>1.5648402874663248</v>
      </c>
      <c r="X72" s="3">
        <v>54.647931548045179</v>
      </c>
      <c r="Y72" s="3">
        <v>0.95273860688173784</v>
      </c>
      <c r="AA72" s="3">
        <v>1</v>
      </c>
      <c r="AB72" s="3">
        <v>1</v>
      </c>
      <c r="AC72" s="3">
        <v>1</v>
      </c>
    </row>
    <row r="73" spans="2:29" x14ac:dyDescent="0.2">
      <c r="B73" s="3" t="s">
        <v>169</v>
      </c>
      <c r="C73" s="3" t="s">
        <v>170</v>
      </c>
      <c r="D73" s="8">
        <v>41993</v>
      </c>
      <c r="E73" s="3">
        <v>2025</v>
      </c>
      <c r="F73" s="3" t="s">
        <v>25</v>
      </c>
      <c r="G73" s="3" t="s">
        <v>26</v>
      </c>
      <c r="H73" s="3">
        <v>15.4</v>
      </c>
      <c r="I73" s="3">
        <v>15.6</v>
      </c>
      <c r="J73" s="3">
        <v>15.8</v>
      </c>
      <c r="K73" s="3">
        <v>67.5</v>
      </c>
      <c r="L73" s="3">
        <v>68.2</v>
      </c>
      <c r="M73" s="3">
        <v>68.900000000000006</v>
      </c>
      <c r="N73" s="3">
        <v>1</v>
      </c>
      <c r="O73" s="3">
        <v>3.5225126437330835E-3</v>
      </c>
      <c r="P73" s="3">
        <v>3.8329363626700003E-2</v>
      </c>
      <c r="Q73" s="3">
        <v>0.11756984386016922</v>
      </c>
      <c r="R73" s="3">
        <v>15.511144010360226</v>
      </c>
      <c r="S73" s="3">
        <v>68.288601456699553</v>
      </c>
      <c r="U73" s="3">
        <v>69.058703472635287</v>
      </c>
      <c r="V73" s="3">
        <v>0.77010201593573413</v>
      </c>
      <c r="X73" s="3">
        <v>68.809674823894298</v>
      </c>
      <c r="Y73" s="3">
        <v>0.52107336719474517</v>
      </c>
      <c r="AA73" s="3">
        <v>1</v>
      </c>
      <c r="AB73" s="3">
        <v>0</v>
      </c>
      <c r="AC73" s="3">
        <v>1</v>
      </c>
    </row>
    <row r="74" spans="2:29" x14ac:dyDescent="0.2">
      <c r="B74" s="3" t="s">
        <v>171</v>
      </c>
      <c r="C74" s="3" t="s">
        <v>172</v>
      </c>
      <c r="D74" s="8">
        <v>41993</v>
      </c>
      <c r="E74" s="3">
        <v>2050</v>
      </c>
      <c r="F74" s="3" t="s">
        <v>25</v>
      </c>
      <c r="G74" s="3" t="s">
        <v>26</v>
      </c>
      <c r="H74" s="3">
        <v>8</v>
      </c>
      <c r="I74" s="3">
        <v>8.3000000000000007</v>
      </c>
      <c r="J74" s="3">
        <v>8.6</v>
      </c>
      <c r="K74" s="3">
        <v>85.1</v>
      </c>
      <c r="L74" s="3">
        <v>86</v>
      </c>
      <c r="M74" s="3">
        <v>86.9</v>
      </c>
      <c r="N74" s="3">
        <v>1</v>
      </c>
      <c r="O74" s="3">
        <v>3.5225126437330835E-3</v>
      </c>
      <c r="P74" s="3">
        <v>3.8329363626700003E-2</v>
      </c>
      <c r="Q74" s="3">
        <v>0.11018997344834029</v>
      </c>
      <c r="R74" s="3">
        <v>8.2677020519241751</v>
      </c>
      <c r="S74" s="3">
        <v>86.032232983393214</v>
      </c>
      <c r="U74" s="3">
        <v>86.234857100453723</v>
      </c>
      <c r="V74" s="3">
        <v>0.20262411706050898</v>
      </c>
      <c r="X74" s="3">
        <v>86.745827932833421</v>
      </c>
      <c r="Y74" s="3">
        <v>0.71359494944020696</v>
      </c>
      <c r="AA74" s="3">
        <v>1</v>
      </c>
      <c r="AB74" s="3">
        <v>0</v>
      </c>
      <c r="AC74" s="3">
        <v>0</v>
      </c>
    </row>
    <row r="75" spans="2:29" x14ac:dyDescent="0.2">
      <c r="B75" s="3" t="s">
        <v>173</v>
      </c>
      <c r="C75" s="3" t="s">
        <v>174</v>
      </c>
      <c r="D75" s="8">
        <v>41993</v>
      </c>
      <c r="E75" s="3">
        <v>2075</v>
      </c>
      <c r="F75" s="3" t="s">
        <v>25</v>
      </c>
      <c r="G75" s="3" t="s">
        <v>26</v>
      </c>
      <c r="H75" s="3">
        <v>3.8</v>
      </c>
      <c r="I75" s="3">
        <v>4</v>
      </c>
      <c r="J75" s="3">
        <v>4.2</v>
      </c>
      <c r="K75" s="3">
        <v>105.7</v>
      </c>
      <c r="L75" s="3">
        <v>106.75</v>
      </c>
      <c r="M75" s="3">
        <v>107.8</v>
      </c>
      <c r="N75" s="3">
        <v>1</v>
      </c>
      <c r="O75" s="3">
        <v>3.5225126437330835E-3</v>
      </c>
      <c r="P75" s="3">
        <v>3.8329363626700003E-2</v>
      </c>
      <c r="Q75" s="3">
        <v>0.10496308645918673</v>
      </c>
      <c r="R75" s="3">
        <v>3.9992550713541561</v>
      </c>
      <c r="S75" s="3">
        <v>106.75085948795277</v>
      </c>
      <c r="U75" s="3">
        <v>106.96706075751241</v>
      </c>
      <c r="V75" s="3">
        <v>0.21620126955964736</v>
      </c>
      <c r="X75" s="3">
        <v>107.85816039882737</v>
      </c>
      <c r="Y75" s="3">
        <v>1.1073009108745993</v>
      </c>
      <c r="AA75" s="3">
        <v>1</v>
      </c>
      <c r="AB75" s="3">
        <v>1</v>
      </c>
      <c r="AC75" s="3">
        <v>0</v>
      </c>
    </row>
    <row r="76" spans="2:29" x14ac:dyDescent="0.2">
      <c r="B76" s="3" t="s">
        <v>175</v>
      </c>
      <c r="C76" s="3" t="s">
        <v>176</v>
      </c>
      <c r="D76" s="8">
        <v>41993</v>
      </c>
      <c r="E76" s="3">
        <v>2100</v>
      </c>
      <c r="F76" s="3" t="s">
        <v>25</v>
      </c>
      <c r="G76" s="3" t="s">
        <v>26</v>
      </c>
      <c r="H76" s="3">
        <v>1.75</v>
      </c>
      <c r="I76" s="3">
        <v>1.85</v>
      </c>
      <c r="J76" s="3">
        <v>1.95</v>
      </c>
      <c r="K76" s="3">
        <v>128.6</v>
      </c>
      <c r="L76" s="3">
        <v>129.6</v>
      </c>
      <c r="M76" s="3">
        <v>130.6</v>
      </c>
      <c r="N76" s="3">
        <v>1</v>
      </c>
      <c r="O76" s="3">
        <v>3.5225126437330835E-3</v>
      </c>
      <c r="P76" s="3">
        <v>3.8329363626700003E-2</v>
      </c>
      <c r="Q76" s="3">
        <v>0.10242338956598473</v>
      </c>
      <c r="R76" s="3">
        <v>1.8555768676003765</v>
      </c>
      <c r="S76" s="3">
        <v>129.5942547693287</v>
      </c>
      <c r="U76" s="3">
        <v>129.59620296884427</v>
      </c>
      <c r="V76" s="3">
        <v>1.9481995155672394E-3</v>
      </c>
      <c r="X76" s="3">
        <v>130.61101258314253</v>
      </c>
      <c r="Y76" s="3">
        <v>1.0167578138138254</v>
      </c>
      <c r="AA76" s="3">
        <v>1</v>
      </c>
      <c r="AB76" s="3">
        <v>1</v>
      </c>
      <c r="AC76" s="3">
        <v>0</v>
      </c>
    </row>
    <row r="77" spans="2:29" x14ac:dyDescent="0.2">
      <c r="B77" s="3" t="s">
        <v>177</v>
      </c>
      <c r="C77" s="3" t="s">
        <v>178</v>
      </c>
      <c r="D77" s="8">
        <v>41993</v>
      </c>
      <c r="E77" s="3">
        <v>2125</v>
      </c>
      <c r="F77" s="3" t="s">
        <v>25</v>
      </c>
      <c r="G77" s="3" t="s">
        <v>26</v>
      </c>
      <c r="H77" s="3">
        <v>0.75</v>
      </c>
      <c r="I77" s="3">
        <v>0.88</v>
      </c>
      <c r="J77" s="3">
        <v>1</v>
      </c>
      <c r="K77" s="3">
        <v>152.6</v>
      </c>
      <c r="L77" s="3">
        <v>153.6</v>
      </c>
      <c r="M77" s="3">
        <v>154.6</v>
      </c>
      <c r="N77" s="3">
        <v>0</v>
      </c>
      <c r="O77" s="3">
        <v>3.5225126437330835E-3</v>
      </c>
      <c r="P77" s="3">
        <v>3.8329363626700003E-2</v>
      </c>
      <c r="Q77" s="3">
        <v>0.10242338956598473</v>
      </c>
      <c r="R77" s="3">
        <v>0.88425245184579637</v>
      </c>
      <c r="S77" s="3">
        <v>153.61000383870396</v>
      </c>
      <c r="U77" s="3">
        <v>153.58129887996259</v>
      </c>
      <c r="V77" s="3">
        <v>-2.8704958741371911E-2</v>
      </c>
      <c r="X77" s="3">
        <v>0</v>
      </c>
      <c r="Y77" s="3">
        <v>0</v>
      </c>
      <c r="AA77" s="3">
        <v>0</v>
      </c>
      <c r="AB77" s="3">
        <v>0</v>
      </c>
      <c r="AC77" s="3">
        <v>0</v>
      </c>
    </row>
    <row r="78" spans="2:29" x14ac:dyDescent="0.2">
      <c r="B78" s="3" t="s">
        <v>179</v>
      </c>
      <c r="C78" s="3" t="s">
        <v>180</v>
      </c>
      <c r="D78" s="8">
        <v>41993</v>
      </c>
      <c r="E78" s="3">
        <v>2150</v>
      </c>
      <c r="F78" s="3" t="s">
        <v>25</v>
      </c>
      <c r="G78" s="3" t="s">
        <v>26</v>
      </c>
      <c r="H78" s="3">
        <v>0.4</v>
      </c>
      <c r="I78" s="3">
        <v>0.48</v>
      </c>
      <c r="J78" s="3">
        <v>0.55000000000000004</v>
      </c>
      <c r="K78" s="3">
        <v>177.2</v>
      </c>
      <c r="L78" s="3">
        <v>178.2</v>
      </c>
      <c r="M78" s="3">
        <v>179.2</v>
      </c>
      <c r="N78" s="3">
        <v>0</v>
      </c>
      <c r="O78" s="3">
        <v>3.5225126437330835E-3</v>
      </c>
      <c r="P78" s="3">
        <v>3.8329363626700003E-2</v>
      </c>
      <c r="Q78" s="3">
        <v>0.10242338956598473</v>
      </c>
      <c r="R78" s="3">
        <v>0.39529475382481394</v>
      </c>
      <c r="S78" s="3">
        <v>178.10811962581261</v>
      </c>
      <c r="U78" s="3">
        <v>178.10331812327533</v>
      </c>
      <c r="V78" s="3">
        <v>-4.8015025372762921E-3</v>
      </c>
      <c r="X78" s="3">
        <v>0</v>
      </c>
      <c r="Y78" s="3">
        <v>0</v>
      </c>
      <c r="AA78" s="3">
        <v>0</v>
      </c>
      <c r="AB78" s="3">
        <v>0</v>
      </c>
      <c r="AC78" s="3">
        <v>0</v>
      </c>
    </row>
    <row r="79" spans="2:29" x14ac:dyDescent="0.2">
      <c r="B79" s="3" t="s">
        <v>181</v>
      </c>
      <c r="C79" s="3" t="s">
        <v>182</v>
      </c>
      <c r="D79" s="8">
        <v>41993</v>
      </c>
      <c r="E79" s="3">
        <v>2175</v>
      </c>
      <c r="F79" s="3" t="s">
        <v>25</v>
      </c>
      <c r="G79" s="3" t="s">
        <v>26</v>
      </c>
      <c r="H79" s="3">
        <v>0.05</v>
      </c>
      <c r="I79" s="3">
        <v>0.28000000000000003</v>
      </c>
      <c r="J79" s="3">
        <v>0.5</v>
      </c>
      <c r="K79" s="3">
        <v>202</v>
      </c>
      <c r="L79" s="3">
        <v>203</v>
      </c>
      <c r="M79" s="3">
        <v>204</v>
      </c>
      <c r="N79" s="3">
        <v>0</v>
      </c>
      <c r="O79" s="3">
        <v>3.5225126437330835E-3</v>
      </c>
      <c r="P79" s="3">
        <v>3.8329363626700003E-2</v>
      </c>
      <c r="Q79" s="3">
        <v>0.10242338956598473</v>
      </c>
      <c r="R79" s="3">
        <v>0.16583404333412055</v>
      </c>
      <c r="S79" s="3">
        <v>202.86573240045163</v>
      </c>
      <c r="U79" s="3">
        <v>202.87713831901479</v>
      </c>
      <c r="V79" s="3">
        <v>1.1405918563156092E-2</v>
      </c>
      <c r="X79" s="3">
        <v>0</v>
      </c>
      <c r="Y79" s="3">
        <v>0</v>
      </c>
      <c r="AA79" s="3">
        <v>0</v>
      </c>
      <c r="AB79" s="3">
        <v>0</v>
      </c>
      <c r="AC79" s="3">
        <v>0</v>
      </c>
    </row>
    <row r="80" spans="2:29" x14ac:dyDescent="0.2">
      <c r="B80" s="3" t="s">
        <v>183</v>
      </c>
      <c r="C80" s="3" t="s">
        <v>184</v>
      </c>
      <c r="D80" s="8">
        <v>41993</v>
      </c>
      <c r="E80" s="3">
        <v>2200</v>
      </c>
      <c r="F80" s="3" t="s">
        <v>25</v>
      </c>
      <c r="G80" s="3" t="s">
        <v>26</v>
      </c>
      <c r="H80" s="3">
        <v>0.1</v>
      </c>
      <c r="I80" s="3">
        <v>0.43</v>
      </c>
      <c r="J80" s="3">
        <v>0.75</v>
      </c>
      <c r="K80" s="3">
        <v>226.9</v>
      </c>
      <c r="L80" s="3">
        <v>227.9</v>
      </c>
      <c r="M80" s="3">
        <v>228.9</v>
      </c>
      <c r="N80" s="3">
        <v>0</v>
      </c>
      <c r="O80" s="3">
        <v>3.5225126437330835E-3</v>
      </c>
      <c r="P80" s="3">
        <v>3.8329363626700003E-2</v>
      </c>
      <c r="Q80" s="3">
        <v>0.10242338956598473</v>
      </c>
      <c r="R80" s="3">
        <v>6.5331490872392095E-2</v>
      </c>
      <c r="S80" s="3">
        <v>227.7523033331197</v>
      </c>
      <c r="U80" s="3">
        <v>227.76703458816056</v>
      </c>
      <c r="V80" s="3">
        <v>1.473125504085715E-2</v>
      </c>
      <c r="X80" s="3">
        <v>0</v>
      </c>
      <c r="Y80" s="3">
        <v>0</v>
      </c>
      <c r="AA80" s="3">
        <v>0</v>
      </c>
      <c r="AB80" s="3">
        <v>0</v>
      </c>
      <c r="AC80" s="3">
        <v>0</v>
      </c>
    </row>
    <row r="81" spans="2:29" x14ac:dyDescent="0.2">
      <c r="B81" s="3" t="s">
        <v>1235</v>
      </c>
      <c r="C81" s="3" t="s">
        <v>1236</v>
      </c>
      <c r="D81" s="8">
        <v>41993</v>
      </c>
      <c r="E81" s="3">
        <v>2250</v>
      </c>
      <c r="F81" s="3" t="s">
        <v>25</v>
      </c>
      <c r="G81" s="3" t="s">
        <v>26</v>
      </c>
      <c r="H81" s="3">
        <v>0.1</v>
      </c>
      <c r="I81" s="3">
        <v>0.25</v>
      </c>
      <c r="J81" s="3">
        <v>0.4</v>
      </c>
      <c r="K81" s="3">
        <v>276.8</v>
      </c>
      <c r="L81" s="3">
        <v>277.75</v>
      </c>
      <c r="M81" s="3">
        <v>278.7</v>
      </c>
      <c r="N81" s="3">
        <v>0</v>
      </c>
      <c r="O81" s="3">
        <v>3.5225126437330835E-3</v>
      </c>
      <c r="P81" s="3">
        <v>3.8329363626700003E-2</v>
      </c>
      <c r="Q81" s="3">
        <v>0.10242338956598473</v>
      </c>
      <c r="R81" s="3">
        <v>8.4281543270326997E-3</v>
      </c>
      <c r="S81" s="3">
        <v>277.66954696683365</v>
      </c>
      <c r="U81" s="3">
        <v>277.67723678515887</v>
      </c>
      <c r="V81" s="3">
        <v>7.6898183252183117E-3</v>
      </c>
      <c r="X81" s="3">
        <v>0</v>
      </c>
      <c r="Y81" s="3">
        <v>0</v>
      </c>
      <c r="AA81" s="3">
        <v>0</v>
      </c>
      <c r="AB81" s="3">
        <v>0</v>
      </c>
      <c r="AC81" s="3">
        <v>0</v>
      </c>
    </row>
    <row r="82" spans="2:29" x14ac:dyDescent="0.2">
      <c r="B82" s="3" t="s">
        <v>185</v>
      </c>
      <c r="C82" s="3" t="s">
        <v>186</v>
      </c>
      <c r="D82" s="8">
        <v>42021</v>
      </c>
      <c r="E82" s="3">
        <v>800</v>
      </c>
      <c r="F82" s="3" t="s">
        <v>25</v>
      </c>
      <c r="G82" s="3" t="s">
        <v>26</v>
      </c>
      <c r="H82" s="3">
        <v>1168.5999999999999</v>
      </c>
      <c r="I82" s="3">
        <v>1169.6500000000001</v>
      </c>
      <c r="J82" s="3">
        <v>1170.7</v>
      </c>
      <c r="K82" s="3">
        <v>0.05</v>
      </c>
      <c r="L82" s="3">
        <v>0.08</v>
      </c>
      <c r="M82" s="3">
        <v>0.1</v>
      </c>
      <c r="N82" s="3">
        <v>0</v>
      </c>
      <c r="O82" s="3">
        <v>3.5229568387011366E-3</v>
      </c>
      <c r="P82" s="3">
        <v>3.0696311262360068E-2</v>
      </c>
      <c r="Q82" s="3">
        <v>0.31508522902810637</v>
      </c>
      <c r="R82" s="3">
        <v>1169.6786704442629</v>
      </c>
      <c r="S82" s="3">
        <v>1.3065716070429699E-8</v>
      </c>
      <c r="U82" s="3">
        <v>-0.23137007992636427</v>
      </c>
      <c r="V82" s="3">
        <v>-0.23137009299208033</v>
      </c>
      <c r="X82" s="3">
        <v>0</v>
      </c>
      <c r="Y82" s="3">
        <v>0</v>
      </c>
      <c r="AA82" s="3">
        <v>0</v>
      </c>
      <c r="AB82" s="3">
        <v>0</v>
      </c>
      <c r="AC82" s="3">
        <v>0</v>
      </c>
    </row>
    <row r="83" spans="2:29" x14ac:dyDescent="0.2">
      <c r="B83" s="3" t="s">
        <v>1239</v>
      </c>
      <c r="C83" s="3" t="s">
        <v>1240</v>
      </c>
      <c r="D83" s="8">
        <v>42021</v>
      </c>
      <c r="E83" s="3">
        <v>850</v>
      </c>
      <c r="F83" s="3" t="s">
        <v>25</v>
      </c>
      <c r="G83" s="3" t="s">
        <v>26</v>
      </c>
      <c r="H83" s="3">
        <v>1118.5999999999999</v>
      </c>
      <c r="I83" s="3">
        <v>1119.7</v>
      </c>
      <c r="J83" s="3">
        <v>1120.8</v>
      </c>
      <c r="K83" s="3">
        <v>0.05</v>
      </c>
      <c r="L83" s="3">
        <v>0.08</v>
      </c>
      <c r="M83" s="3">
        <v>0.1</v>
      </c>
      <c r="N83" s="3">
        <v>0</v>
      </c>
      <c r="O83" s="3">
        <v>3.5229568387011366E-3</v>
      </c>
      <c r="P83" s="3">
        <v>3.0696311262360068E-2</v>
      </c>
      <c r="Q83" s="3">
        <v>0.31508522902810637</v>
      </c>
      <c r="R83" s="3">
        <v>1119.7171007957031</v>
      </c>
      <c r="S83" s="3">
        <v>1.7537080191207693E-7</v>
      </c>
      <c r="U83" s="3">
        <v>-0.12948816785069539</v>
      </c>
      <c r="V83" s="3">
        <v>-0.1294883432214973</v>
      </c>
      <c r="X83" s="3">
        <v>0</v>
      </c>
      <c r="Y83" s="3">
        <v>0</v>
      </c>
      <c r="AA83" s="3">
        <v>0</v>
      </c>
      <c r="AB83" s="3">
        <v>0</v>
      </c>
      <c r="AC83" s="3">
        <v>0</v>
      </c>
    </row>
    <row r="84" spans="2:29" x14ac:dyDescent="0.2">
      <c r="B84" s="3" t="s">
        <v>1241</v>
      </c>
      <c r="C84" s="3" t="s">
        <v>1242</v>
      </c>
      <c r="D84" s="8">
        <v>42021</v>
      </c>
      <c r="E84" s="3">
        <v>875</v>
      </c>
      <c r="F84" s="3" t="s">
        <v>25</v>
      </c>
      <c r="G84" s="3" t="s">
        <v>26</v>
      </c>
      <c r="H84" s="3">
        <v>1093.7</v>
      </c>
      <c r="I84" s="3">
        <v>1094.75</v>
      </c>
      <c r="J84" s="3">
        <v>1095.8</v>
      </c>
      <c r="K84" s="3">
        <v>0.05</v>
      </c>
      <c r="L84" s="3">
        <v>0.35</v>
      </c>
      <c r="M84" s="3">
        <v>0.65</v>
      </c>
      <c r="N84" s="3">
        <v>0</v>
      </c>
      <c r="O84" s="3">
        <v>3.5229568387011366E-3</v>
      </c>
      <c r="P84" s="3">
        <v>3.0696311262360068E-2</v>
      </c>
      <c r="Q84" s="3">
        <v>0.31508522902810637</v>
      </c>
      <c r="R84" s="3">
        <v>1094.7363162882707</v>
      </c>
      <c r="S84" s="3">
        <v>5.7337048649576348E-7</v>
      </c>
      <c r="U84" s="3">
        <v>4.9270979906395951E-2</v>
      </c>
      <c r="V84" s="3">
        <v>4.9270406535909458E-2</v>
      </c>
      <c r="X84" s="3">
        <v>0</v>
      </c>
      <c r="Y84" s="3">
        <v>0</v>
      </c>
      <c r="AA84" s="3">
        <v>0</v>
      </c>
      <c r="AB84" s="3">
        <v>0</v>
      </c>
      <c r="AC84" s="3">
        <v>0</v>
      </c>
    </row>
    <row r="85" spans="2:29" x14ac:dyDescent="0.2">
      <c r="B85" s="3" t="s">
        <v>187</v>
      </c>
      <c r="C85" s="3" t="s">
        <v>188</v>
      </c>
      <c r="D85" s="8">
        <v>42021</v>
      </c>
      <c r="E85" s="3">
        <v>950</v>
      </c>
      <c r="F85" s="3" t="s">
        <v>25</v>
      </c>
      <c r="G85" s="3" t="s">
        <v>26</v>
      </c>
      <c r="H85" s="3">
        <v>1018.7</v>
      </c>
      <c r="I85" s="3">
        <v>1019.8</v>
      </c>
      <c r="J85" s="3">
        <v>1020.9</v>
      </c>
      <c r="K85" s="3">
        <v>0.05</v>
      </c>
      <c r="L85" s="3">
        <v>0.1</v>
      </c>
      <c r="M85" s="3">
        <v>0.15</v>
      </c>
      <c r="N85" s="3">
        <v>0</v>
      </c>
      <c r="O85" s="3">
        <v>3.5229568387011366E-3</v>
      </c>
      <c r="P85" s="3">
        <v>3.0696311262360068E-2</v>
      </c>
      <c r="Q85" s="3">
        <v>0.31508522902810637</v>
      </c>
      <c r="R85" s="3">
        <v>1019.7939745270636</v>
      </c>
      <c r="S85" s="3">
        <v>1.3528460245827571E-5</v>
      </c>
      <c r="U85" s="3">
        <v>-0.14607733797515721</v>
      </c>
      <c r="V85" s="3">
        <v>-0.14609086643540303</v>
      </c>
      <c r="X85" s="3">
        <v>0</v>
      </c>
      <c r="Y85" s="3">
        <v>0</v>
      </c>
      <c r="AA85" s="3">
        <v>0</v>
      </c>
      <c r="AB85" s="3">
        <v>0</v>
      </c>
      <c r="AC85" s="3">
        <v>0</v>
      </c>
    </row>
    <row r="86" spans="2:29" x14ac:dyDescent="0.2">
      <c r="B86" s="3" t="s">
        <v>189</v>
      </c>
      <c r="C86" s="3" t="s">
        <v>190</v>
      </c>
      <c r="D86" s="8">
        <v>42021</v>
      </c>
      <c r="E86" s="3">
        <v>1250</v>
      </c>
      <c r="F86" s="3" t="s">
        <v>25</v>
      </c>
      <c r="G86" s="3" t="s">
        <v>26</v>
      </c>
      <c r="H86" s="3">
        <v>719.3</v>
      </c>
      <c r="I86" s="3">
        <v>720.4</v>
      </c>
      <c r="J86" s="3">
        <v>721.5</v>
      </c>
      <c r="K86" s="3">
        <v>0.5</v>
      </c>
      <c r="L86" s="3">
        <v>0.65</v>
      </c>
      <c r="M86" s="3">
        <v>0.8</v>
      </c>
      <c r="N86" s="3">
        <v>0</v>
      </c>
      <c r="O86" s="3">
        <v>3.5229568387011366E-3</v>
      </c>
      <c r="P86" s="3">
        <v>3.0696311262360068E-2</v>
      </c>
      <c r="Q86" s="3">
        <v>0.31508522902810637</v>
      </c>
      <c r="R86" s="3">
        <v>720.08783603537313</v>
      </c>
      <c r="S86" s="3">
        <v>6.3293901957519383E-2</v>
      </c>
      <c r="U86" s="3">
        <v>-4.3824783295690395E-2</v>
      </c>
      <c r="V86" s="3">
        <v>-0.10711868525320978</v>
      </c>
      <c r="X86" s="3">
        <v>0</v>
      </c>
      <c r="Y86" s="3">
        <v>0</v>
      </c>
      <c r="AA86" s="3">
        <v>0</v>
      </c>
      <c r="AB86" s="3">
        <v>0</v>
      </c>
      <c r="AC86" s="3">
        <v>0</v>
      </c>
    </row>
    <row r="87" spans="2:29" x14ac:dyDescent="0.2">
      <c r="B87" s="3" t="s">
        <v>1243</v>
      </c>
      <c r="C87" s="3" t="s">
        <v>1244</v>
      </c>
      <c r="D87" s="8">
        <v>42021</v>
      </c>
      <c r="E87" s="3">
        <v>1300</v>
      </c>
      <c r="F87" s="3" t="s">
        <v>25</v>
      </c>
      <c r="G87" s="3" t="s">
        <v>26</v>
      </c>
      <c r="H87" s="3">
        <v>669.6</v>
      </c>
      <c r="I87" s="3">
        <v>670.65</v>
      </c>
      <c r="J87" s="3">
        <v>671.7</v>
      </c>
      <c r="K87" s="3">
        <v>0.1</v>
      </c>
      <c r="L87" s="3">
        <v>0.55000000000000004</v>
      </c>
      <c r="M87" s="3">
        <v>1</v>
      </c>
      <c r="N87" s="3">
        <v>0</v>
      </c>
      <c r="O87" s="3">
        <v>3.5229568387011366E-3</v>
      </c>
      <c r="P87" s="3">
        <v>3.0696311262360068E-2</v>
      </c>
      <c r="Q87" s="3">
        <v>0.31508522902810637</v>
      </c>
      <c r="R87" s="3">
        <v>670.22683920281838</v>
      </c>
      <c r="S87" s="3">
        <v>0.16386688026724805</v>
      </c>
      <c r="U87" s="3">
        <v>0.20766318649657478</v>
      </c>
      <c r="V87" s="3">
        <v>4.3796306229326731E-2</v>
      </c>
      <c r="X87" s="3">
        <v>0</v>
      </c>
      <c r="Y87" s="3">
        <v>0</v>
      </c>
      <c r="AA87" s="3">
        <v>0</v>
      </c>
      <c r="AB87" s="3">
        <v>0</v>
      </c>
      <c r="AC87" s="3">
        <v>0</v>
      </c>
    </row>
    <row r="88" spans="2:29" x14ac:dyDescent="0.2">
      <c r="B88" s="3" t="s">
        <v>191</v>
      </c>
      <c r="C88" s="3" t="s">
        <v>192</v>
      </c>
      <c r="D88" s="8">
        <v>42021</v>
      </c>
      <c r="E88" s="3">
        <v>1325</v>
      </c>
      <c r="F88" s="3" t="s">
        <v>25</v>
      </c>
      <c r="G88" s="3" t="s">
        <v>26</v>
      </c>
      <c r="H88" s="3">
        <v>644.70000000000005</v>
      </c>
      <c r="I88" s="3">
        <v>645.75</v>
      </c>
      <c r="J88" s="3">
        <v>646.79999999999995</v>
      </c>
      <c r="K88" s="3">
        <v>0.2</v>
      </c>
      <c r="L88" s="3">
        <v>0.6</v>
      </c>
      <c r="M88" s="3">
        <v>1</v>
      </c>
      <c r="N88" s="3">
        <v>0</v>
      </c>
      <c r="O88" s="3">
        <v>3.5229568387011366E-3</v>
      </c>
      <c r="P88" s="3">
        <v>3.0696311262360068E-2</v>
      </c>
      <c r="Q88" s="3">
        <v>0.31508522902810637</v>
      </c>
      <c r="R88" s="3">
        <v>645.33652572769802</v>
      </c>
      <c r="S88" s="3">
        <v>0.25433831057923406</v>
      </c>
      <c r="U88" s="3">
        <v>0.37142496921796919</v>
      </c>
      <c r="V88" s="3">
        <v>0.11708665863873513</v>
      </c>
      <c r="X88" s="3">
        <v>0</v>
      </c>
      <c r="Y88" s="3">
        <v>0</v>
      </c>
      <c r="AA88" s="3">
        <v>0</v>
      </c>
      <c r="AB88" s="3">
        <v>0</v>
      </c>
      <c r="AC88" s="3">
        <v>0</v>
      </c>
    </row>
    <row r="89" spans="2:29" x14ac:dyDescent="0.2">
      <c r="B89" s="3" t="s">
        <v>193</v>
      </c>
      <c r="C89" s="3" t="s">
        <v>194</v>
      </c>
      <c r="D89" s="8">
        <v>42021</v>
      </c>
      <c r="E89" s="3">
        <v>1350</v>
      </c>
      <c r="F89" s="3" t="s">
        <v>25</v>
      </c>
      <c r="G89" s="3" t="s">
        <v>26</v>
      </c>
      <c r="H89" s="3">
        <v>619.79999999999995</v>
      </c>
      <c r="I89" s="3">
        <v>620.9</v>
      </c>
      <c r="J89" s="3">
        <v>622</v>
      </c>
      <c r="K89" s="3">
        <v>0.3</v>
      </c>
      <c r="L89" s="3">
        <v>0.7</v>
      </c>
      <c r="M89" s="3">
        <v>1.1000000000000001</v>
      </c>
      <c r="N89" s="3">
        <v>0</v>
      </c>
      <c r="O89" s="3">
        <v>3.5229568387011366E-3</v>
      </c>
      <c r="P89" s="3">
        <v>3.0696311262360068E-2</v>
      </c>
      <c r="Q89" s="3">
        <v>0.31508522902810637</v>
      </c>
      <c r="R89" s="3">
        <v>620.48745573265091</v>
      </c>
      <c r="S89" s="3">
        <v>0.38605322096439032</v>
      </c>
      <c r="U89" s="3">
        <v>0.37104149484241589</v>
      </c>
      <c r="V89" s="3">
        <v>-1.5011726121974434E-2</v>
      </c>
      <c r="X89" s="3">
        <v>0</v>
      </c>
      <c r="Y89" s="3">
        <v>0</v>
      </c>
      <c r="AA89" s="3">
        <v>0</v>
      </c>
      <c r="AB89" s="3">
        <v>0</v>
      </c>
      <c r="AC89" s="3">
        <v>0</v>
      </c>
    </row>
    <row r="90" spans="2:29" x14ac:dyDescent="0.2">
      <c r="B90" s="3" t="s">
        <v>195</v>
      </c>
      <c r="C90" s="3" t="s">
        <v>196</v>
      </c>
      <c r="D90" s="8">
        <v>42021</v>
      </c>
      <c r="E90" s="3">
        <v>1375</v>
      </c>
      <c r="F90" s="3" t="s">
        <v>25</v>
      </c>
      <c r="G90" s="3" t="s">
        <v>26</v>
      </c>
      <c r="H90" s="3">
        <v>594.9</v>
      </c>
      <c r="I90" s="3">
        <v>596</v>
      </c>
      <c r="J90" s="3">
        <v>597.1</v>
      </c>
      <c r="K90" s="3">
        <v>0.45</v>
      </c>
      <c r="L90" s="3">
        <v>0.8</v>
      </c>
      <c r="M90" s="3">
        <v>1.1499999999999999</v>
      </c>
      <c r="N90" s="3">
        <v>0</v>
      </c>
      <c r="O90" s="3">
        <v>3.5229568387011366E-3</v>
      </c>
      <c r="P90" s="3">
        <v>3.0696311262360068E-2</v>
      </c>
      <c r="Q90" s="3">
        <v>0.31508522902810637</v>
      </c>
      <c r="R90" s="3">
        <v>595.69435360112698</v>
      </c>
      <c r="S90" s="3">
        <v>0.57373599487269189</v>
      </c>
      <c r="U90" s="3">
        <v>0.1590852775325402</v>
      </c>
      <c r="V90" s="3">
        <v>-0.41465071734015169</v>
      </c>
      <c r="X90" s="3">
        <v>0</v>
      </c>
      <c r="Y90" s="3">
        <v>0</v>
      </c>
      <c r="AA90" s="3">
        <v>0</v>
      </c>
      <c r="AB90" s="3">
        <v>0</v>
      </c>
      <c r="AC90" s="3">
        <v>0</v>
      </c>
    </row>
    <row r="91" spans="2:29" x14ac:dyDescent="0.2">
      <c r="B91" s="3" t="s">
        <v>197</v>
      </c>
      <c r="C91" s="3" t="s">
        <v>198</v>
      </c>
      <c r="D91" s="8">
        <v>42021</v>
      </c>
      <c r="E91" s="3">
        <v>1400</v>
      </c>
      <c r="F91" s="3" t="s">
        <v>25</v>
      </c>
      <c r="G91" s="3" t="s">
        <v>26</v>
      </c>
      <c r="H91" s="3">
        <v>570.1</v>
      </c>
      <c r="I91" s="3">
        <v>571.15</v>
      </c>
      <c r="J91" s="3">
        <v>572.20000000000005</v>
      </c>
      <c r="K91" s="3">
        <v>0.9</v>
      </c>
      <c r="L91" s="3">
        <v>1.07</v>
      </c>
      <c r="M91" s="3">
        <v>1.25</v>
      </c>
      <c r="N91" s="3">
        <v>0</v>
      </c>
      <c r="O91" s="3">
        <v>3.5229568387011366E-3</v>
      </c>
      <c r="P91" s="3">
        <v>3.0696311262360068E-2</v>
      </c>
      <c r="Q91" s="3">
        <v>0.31508522902810637</v>
      </c>
      <c r="R91" s="3">
        <v>570.97560863359604</v>
      </c>
      <c r="S91" s="3">
        <v>0.83577593277400553</v>
      </c>
      <c r="U91" s="3">
        <v>0.40356272473127319</v>
      </c>
      <c r="V91" s="3">
        <v>-0.43221320804273233</v>
      </c>
      <c r="X91" s="3">
        <v>0</v>
      </c>
      <c r="Y91" s="3">
        <v>0</v>
      </c>
      <c r="AA91" s="3">
        <v>0</v>
      </c>
      <c r="AB91" s="3">
        <v>0</v>
      </c>
      <c r="AC91" s="3">
        <v>0</v>
      </c>
    </row>
    <row r="92" spans="2:29" x14ac:dyDescent="0.2">
      <c r="B92" s="3" t="s">
        <v>199</v>
      </c>
      <c r="C92" s="3" t="s">
        <v>200</v>
      </c>
      <c r="D92" s="8">
        <v>42021</v>
      </c>
      <c r="E92" s="3">
        <v>1425</v>
      </c>
      <c r="F92" s="3" t="s">
        <v>25</v>
      </c>
      <c r="G92" s="3" t="s">
        <v>26</v>
      </c>
      <c r="H92" s="3">
        <v>545.20000000000005</v>
      </c>
      <c r="I92" s="3">
        <v>546.29999999999995</v>
      </c>
      <c r="J92" s="3">
        <v>547.4</v>
      </c>
      <c r="K92" s="3">
        <v>1.1000000000000001</v>
      </c>
      <c r="L92" s="3">
        <v>1.25</v>
      </c>
      <c r="M92" s="3">
        <v>1.4</v>
      </c>
      <c r="N92" s="3">
        <v>1</v>
      </c>
      <c r="O92" s="3">
        <v>3.5229568387011366E-3</v>
      </c>
      <c r="P92" s="3">
        <v>3.0696311262360068E-2</v>
      </c>
      <c r="Q92" s="3">
        <v>0.31508522902810637</v>
      </c>
      <c r="R92" s="3">
        <v>546.35368181856643</v>
      </c>
      <c r="S92" s="3">
        <v>1.194634023176782</v>
      </c>
      <c r="U92" s="3">
        <v>0.46758402591535742</v>
      </c>
      <c r="V92" s="3">
        <v>-0.72704999726142461</v>
      </c>
      <c r="X92" s="3">
        <v>0.7877436059481433</v>
      </c>
      <c r="Y92" s="3">
        <v>-0.40689041722863872</v>
      </c>
      <c r="AA92" s="3">
        <v>1</v>
      </c>
      <c r="AB92" s="3">
        <v>1</v>
      </c>
      <c r="AC92" s="3">
        <v>1</v>
      </c>
    </row>
    <row r="93" spans="2:29" x14ac:dyDescent="0.2">
      <c r="B93" s="3" t="s">
        <v>201</v>
      </c>
      <c r="C93" s="3" t="s">
        <v>202</v>
      </c>
      <c r="D93" s="8">
        <v>42021</v>
      </c>
      <c r="E93" s="3">
        <v>1450</v>
      </c>
      <c r="F93" s="3" t="s">
        <v>25</v>
      </c>
      <c r="G93" s="3" t="s">
        <v>26</v>
      </c>
      <c r="H93" s="3">
        <v>520.5</v>
      </c>
      <c r="I93" s="3">
        <v>521.54999999999995</v>
      </c>
      <c r="J93" s="3">
        <v>522.6</v>
      </c>
      <c r="K93" s="3">
        <v>1.25</v>
      </c>
      <c r="L93" s="3">
        <v>1.35</v>
      </c>
      <c r="M93" s="3">
        <v>1.45</v>
      </c>
      <c r="N93" s="3">
        <v>1</v>
      </c>
      <c r="O93" s="3">
        <v>3.5229568387011366E-3</v>
      </c>
      <c r="P93" s="3">
        <v>3.0696311262360068E-2</v>
      </c>
      <c r="Q93" s="3">
        <v>0.30614730627492381</v>
      </c>
      <c r="R93" s="3">
        <v>521.55493573603098</v>
      </c>
      <c r="S93" s="3">
        <v>1.3766728460738022</v>
      </c>
      <c r="U93" s="3">
        <v>1.1378163158474308</v>
      </c>
      <c r="V93" s="3">
        <v>-0.23885653022637143</v>
      </c>
      <c r="X93" s="3">
        <v>0.98646127599227906</v>
      </c>
      <c r="Y93" s="3">
        <v>-0.39021157008152318</v>
      </c>
      <c r="AA93" s="3">
        <v>1</v>
      </c>
      <c r="AB93" s="3">
        <v>1</v>
      </c>
      <c r="AC93" s="3">
        <v>1</v>
      </c>
    </row>
    <row r="94" spans="2:29" x14ac:dyDescent="0.2">
      <c r="B94" s="3" t="s">
        <v>203</v>
      </c>
      <c r="C94" s="3" t="s">
        <v>204</v>
      </c>
      <c r="D94" s="8">
        <v>42021</v>
      </c>
      <c r="E94" s="3">
        <v>1475</v>
      </c>
      <c r="F94" s="3" t="s">
        <v>25</v>
      </c>
      <c r="G94" s="3" t="s">
        <v>26</v>
      </c>
      <c r="H94" s="3">
        <v>495.7</v>
      </c>
      <c r="I94" s="3">
        <v>496.8</v>
      </c>
      <c r="J94" s="3">
        <v>497.9</v>
      </c>
      <c r="K94" s="3">
        <v>1.5</v>
      </c>
      <c r="L94" s="3">
        <v>1.5699999999999998</v>
      </c>
      <c r="M94" s="3">
        <v>1.65</v>
      </c>
      <c r="N94" s="3">
        <v>1</v>
      </c>
      <c r="O94" s="3">
        <v>3.5229568387011366E-3</v>
      </c>
      <c r="P94" s="3">
        <v>3.0696311262360068E-2</v>
      </c>
      <c r="Q94" s="3">
        <v>0.2972093835217412</v>
      </c>
      <c r="R94" s="3">
        <v>496.78370118819612</v>
      </c>
      <c r="S94" s="3">
        <v>1.5862232036710431</v>
      </c>
      <c r="U94" s="3">
        <v>0.79205976660063016</v>
      </c>
      <c r="V94" s="3">
        <v>-0.79416343707041293</v>
      </c>
      <c r="X94" s="3">
        <v>1.2224695352580022</v>
      </c>
      <c r="Y94" s="3">
        <v>-0.36375366841304091</v>
      </c>
      <c r="AA94" s="3">
        <v>1</v>
      </c>
      <c r="AB94" s="3">
        <v>1</v>
      </c>
      <c r="AC94" s="3">
        <v>1</v>
      </c>
    </row>
    <row r="95" spans="2:29" x14ac:dyDescent="0.2">
      <c r="B95" s="3" t="s">
        <v>205</v>
      </c>
      <c r="C95" s="3" t="s">
        <v>206</v>
      </c>
      <c r="D95" s="8">
        <v>42021</v>
      </c>
      <c r="E95" s="3">
        <v>1500</v>
      </c>
      <c r="F95" s="3" t="s">
        <v>25</v>
      </c>
      <c r="G95" s="3" t="s">
        <v>26</v>
      </c>
      <c r="H95" s="3">
        <v>471</v>
      </c>
      <c r="I95" s="3">
        <v>472.1</v>
      </c>
      <c r="J95" s="3">
        <v>473.2</v>
      </c>
      <c r="K95" s="3">
        <v>1.75</v>
      </c>
      <c r="L95" s="3">
        <v>1.85</v>
      </c>
      <c r="M95" s="3">
        <v>1.95</v>
      </c>
      <c r="N95" s="3">
        <v>1</v>
      </c>
      <c r="O95" s="3">
        <v>3.5229568387011366E-3</v>
      </c>
      <c r="P95" s="3">
        <v>3.0696311262360068E-2</v>
      </c>
      <c r="Q95" s="3">
        <v>0.28921362355478741</v>
      </c>
      <c r="R95" s="3">
        <v>472.08356777853351</v>
      </c>
      <c r="S95" s="3">
        <v>1.8668746994408281</v>
      </c>
      <c r="U95" s="3">
        <v>1.1019314995295986</v>
      </c>
      <c r="V95" s="3">
        <v>-0.7649431999112295</v>
      </c>
      <c r="X95" s="3">
        <v>1.5138520307535204</v>
      </c>
      <c r="Y95" s="3">
        <v>-0.35302266868730769</v>
      </c>
      <c r="AA95" s="3">
        <v>1</v>
      </c>
      <c r="AB95" s="3">
        <v>1</v>
      </c>
      <c r="AC95" s="3">
        <v>1</v>
      </c>
    </row>
    <row r="96" spans="2:29" x14ac:dyDescent="0.2">
      <c r="B96" s="3" t="s">
        <v>207</v>
      </c>
      <c r="C96" s="3" t="s">
        <v>208</v>
      </c>
      <c r="D96" s="8">
        <v>42021</v>
      </c>
      <c r="E96" s="3">
        <v>1525</v>
      </c>
      <c r="F96" s="3" t="s">
        <v>25</v>
      </c>
      <c r="G96" s="3" t="s">
        <v>26</v>
      </c>
      <c r="H96" s="3">
        <v>446.3</v>
      </c>
      <c r="I96" s="3">
        <v>447.4</v>
      </c>
      <c r="J96" s="3">
        <v>448.5</v>
      </c>
      <c r="K96" s="3">
        <v>2.0499999999999998</v>
      </c>
      <c r="L96" s="3">
        <v>2.23</v>
      </c>
      <c r="M96" s="3">
        <v>2.4</v>
      </c>
      <c r="N96" s="3">
        <v>1</v>
      </c>
      <c r="O96" s="3">
        <v>3.5229568387011366E-3</v>
      </c>
      <c r="P96" s="3">
        <v>3.0696311262360068E-2</v>
      </c>
      <c r="Q96" s="3">
        <v>0.28121786358783363</v>
      </c>
      <c r="R96" s="3">
        <v>447.43279996420392</v>
      </c>
      <c r="S96" s="3">
        <v>2.1968917905435887</v>
      </c>
      <c r="U96" s="3">
        <v>2.2051570960199456</v>
      </c>
      <c r="V96" s="3">
        <v>8.2653054763568434E-3</v>
      </c>
      <c r="X96" s="3">
        <v>1.8705846222432692</v>
      </c>
      <c r="Y96" s="3">
        <v>-0.32630716830031958</v>
      </c>
      <c r="AA96" s="3">
        <v>1</v>
      </c>
      <c r="AB96" s="3">
        <v>1</v>
      </c>
      <c r="AC96" s="3">
        <v>0</v>
      </c>
    </row>
    <row r="97" spans="2:29" x14ac:dyDescent="0.2">
      <c r="B97" s="3" t="s">
        <v>209</v>
      </c>
      <c r="C97" s="3" t="s">
        <v>210</v>
      </c>
      <c r="D97" s="8">
        <v>42021</v>
      </c>
      <c r="E97" s="3">
        <v>1550</v>
      </c>
      <c r="F97" s="3" t="s">
        <v>25</v>
      </c>
      <c r="G97" s="3" t="s">
        <v>26</v>
      </c>
      <c r="H97" s="3">
        <v>421.7</v>
      </c>
      <c r="I97" s="3">
        <v>422.8</v>
      </c>
      <c r="J97" s="3">
        <v>423.9</v>
      </c>
      <c r="K97" s="3">
        <v>2.1</v>
      </c>
      <c r="L97" s="3">
        <v>2.42</v>
      </c>
      <c r="M97" s="3">
        <v>2.75</v>
      </c>
      <c r="N97" s="3">
        <v>1</v>
      </c>
      <c r="O97" s="3">
        <v>3.5229568387011366E-3</v>
      </c>
      <c r="P97" s="3">
        <v>3.0696311262360068E-2</v>
      </c>
      <c r="Q97" s="3">
        <v>0.27237311323198116</v>
      </c>
      <c r="R97" s="3">
        <v>422.79394404314576</v>
      </c>
      <c r="S97" s="3">
        <v>2.5388207749176672</v>
      </c>
      <c r="U97" s="3">
        <v>2.1626434529617313</v>
      </c>
      <c r="V97" s="3">
        <v>-0.37617732195593589</v>
      </c>
      <c r="X97" s="3">
        <v>2.3045987310528351</v>
      </c>
      <c r="Y97" s="3">
        <v>-0.23422204386483214</v>
      </c>
      <c r="AA97" s="3">
        <v>1</v>
      </c>
      <c r="AB97" s="3">
        <v>0</v>
      </c>
      <c r="AC97" s="3">
        <v>0</v>
      </c>
    </row>
    <row r="98" spans="2:29" x14ac:dyDescent="0.2">
      <c r="B98" s="3" t="s">
        <v>211</v>
      </c>
      <c r="C98" s="3" t="s">
        <v>212</v>
      </c>
      <c r="D98" s="8">
        <v>42021</v>
      </c>
      <c r="E98" s="3">
        <v>1575</v>
      </c>
      <c r="F98" s="3" t="s">
        <v>25</v>
      </c>
      <c r="G98" s="3" t="s">
        <v>26</v>
      </c>
      <c r="H98" s="3">
        <v>397.2</v>
      </c>
      <c r="I98" s="3">
        <v>398.3</v>
      </c>
      <c r="J98" s="3">
        <v>399.4</v>
      </c>
      <c r="K98" s="3">
        <v>2.5</v>
      </c>
      <c r="L98" s="3">
        <v>2.85</v>
      </c>
      <c r="M98" s="3">
        <v>3.2</v>
      </c>
      <c r="N98" s="3">
        <v>1</v>
      </c>
      <c r="O98" s="3">
        <v>3.5229568387011366E-3</v>
      </c>
      <c r="P98" s="3">
        <v>3.0696311262360068E-2</v>
      </c>
      <c r="Q98" s="3">
        <v>0.26352836287612869</v>
      </c>
      <c r="R98" s="3">
        <v>398.21137690098112</v>
      </c>
      <c r="S98" s="3">
        <v>2.9370385381851847</v>
      </c>
      <c r="U98" s="3">
        <v>2.9804584808461527</v>
      </c>
      <c r="V98" s="3">
        <v>4.3419942660968047E-2</v>
      </c>
      <c r="X98" s="3">
        <v>2.8252303201986328</v>
      </c>
      <c r="Y98" s="3">
        <v>-0.11180821798655183</v>
      </c>
      <c r="AA98" s="3">
        <v>1</v>
      </c>
      <c r="AB98" s="3">
        <v>0</v>
      </c>
      <c r="AC98" s="3">
        <v>0</v>
      </c>
    </row>
    <row r="99" spans="2:29" x14ac:dyDescent="0.2">
      <c r="B99" s="3" t="s">
        <v>213</v>
      </c>
      <c r="C99" s="3" t="s">
        <v>214</v>
      </c>
      <c r="D99" s="8">
        <v>42021</v>
      </c>
      <c r="E99" s="3">
        <v>1600</v>
      </c>
      <c r="F99" s="3" t="s">
        <v>25</v>
      </c>
      <c r="G99" s="3" t="s">
        <v>26</v>
      </c>
      <c r="H99" s="3">
        <v>372.7</v>
      </c>
      <c r="I99" s="3">
        <v>373.8</v>
      </c>
      <c r="J99" s="3">
        <v>374.9</v>
      </c>
      <c r="K99" s="3">
        <v>3</v>
      </c>
      <c r="L99" s="3">
        <v>3.4</v>
      </c>
      <c r="M99" s="3">
        <v>3.8</v>
      </c>
      <c r="N99" s="3">
        <v>1</v>
      </c>
      <c r="O99" s="3">
        <v>3.5229568387011366E-3</v>
      </c>
      <c r="P99" s="3">
        <v>3.0696311262360068E-2</v>
      </c>
      <c r="Q99" s="3">
        <v>0.25538991187419802</v>
      </c>
      <c r="R99" s="3">
        <v>373.7465425182354</v>
      </c>
      <c r="S99" s="3">
        <v>3.4529890608720137</v>
      </c>
      <c r="U99" s="3">
        <v>3.6602355313896737</v>
      </c>
      <c r="V99" s="3">
        <v>0.20724647051765999</v>
      </c>
      <c r="X99" s="3">
        <v>3.4414023903847344</v>
      </c>
      <c r="Y99" s="3">
        <v>-1.1586670487279349E-2</v>
      </c>
      <c r="AA99" s="3">
        <v>1</v>
      </c>
      <c r="AB99" s="3">
        <v>0</v>
      </c>
      <c r="AC99" s="3">
        <v>0</v>
      </c>
    </row>
    <row r="100" spans="2:29" x14ac:dyDescent="0.2">
      <c r="B100" s="3" t="s">
        <v>215</v>
      </c>
      <c r="C100" s="3" t="s">
        <v>216</v>
      </c>
      <c r="D100" s="8">
        <v>42021</v>
      </c>
      <c r="E100" s="3">
        <v>1625</v>
      </c>
      <c r="F100" s="3" t="s">
        <v>25</v>
      </c>
      <c r="G100" s="3" t="s">
        <v>26</v>
      </c>
      <c r="H100" s="3">
        <v>348.4</v>
      </c>
      <c r="I100" s="3">
        <v>349.5</v>
      </c>
      <c r="J100" s="3">
        <v>350.6</v>
      </c>
      <c r="K100" s="3">
        <v>3.6</v>
      </c>
      <c r="L100" s="3">
        <v>4.05</v>
      </c>
      <c r="M100" s="3">
        <v>4.5</v>
      </c>
      <c r="N100" s="3">
        <v>1</v>
      </c>
      <c r="O100" s="3">
        <v>3.5229568387011366E-3</v>
      </c>
      <c r="P100" s="3">
        <v>3.0696311262360068E-2</v>
      </c>
      <c r="Q100" s="3">
        <v>0.24790477400641359</v>
      </c>
      <c r="R100" s="3">
        <v>349.43111544407884</v>
      </c>
      <c r="S100" s="3">
        <v>4.1183468921475281</v>
      </c>
      <c r="U100" s="3">
        <v>4.1954696101466311</v>
      </c>
      <c r="V100" s="3">
        <v>7.7122717999102974E-2</v>
      </c>
      <c r="X100" s="3">
        <v>4.17923335245729</v>
      </c>
      <c r="Y100" s="3">
        <v>6.0886460309761858E-2</v>
      </c>
      <c r="AA100" s="3">
        <v>1</v>
      </c>
      <c r="AB100" s="3">
        <v>0</v>
      </c>
      <c r="AC100" s="3">
        <v>0</v>
      </c>
    </row>
    <row r="101" spans="2:29" x14ac:dyDescent="0.2">
      <c r="B101" s="3" t="s">
        <v>217</v>
      </c>
      <c r="C101" s="3" t="s">
        <v>218</v>
      </c>
      <c r="D101" s="8">
        <v>42021</v>
      </c>
      <c r="E101" s="3">
        <v>1650</v>
      </c>
      <c r="F101" s="3" t="s">
        <v>25</v>
      </c>
      <c r="G101" s="3" t="s">
        <v>26</v>
      </c>
      <c r="H101" s="3">
        <v>324.2</v>
      </c>
      <c r="I101" s="3">
        <v>325.3</v>
      </c>
      <c r="J101" s="3">
        <v>326.39999999999998</v>
      </c>
      <c r="K101" s="3">
        <v>4.7</v>
      </c>
      <c r="L101" s="3">
        <v>5.05</v>
      </c>
      <c r="M101" s="3">
        <v>5.4</v>
      </c>
      <c r="N101" s="3">
        <v>1</v>
      </c>
      <c r="O101" s="3">
        <v>3.5229568387011366E-3</v>
      </c>
      <c r="P101" s="3">
        <v>3.0696311262360068E-2</v>
      </c>
      <c r="Q101" s="3">
        <v>0.24139076798899595</v>
      </c>
      <c r="R101" s="3">
        <v>325.34090398630906</v>
      </c>
      <c r="S101" s="3">
        <v>5.008920339810345</v>
      </c>
      <c r="U101" s="3">
        <v>4.5862768914261665</v>
      </c>
      <c r="V101" s="3">
        <v>-0.42264344838417855</v>
      </c>
      <c r="X101" s="3">
        <v>5.0677827846022474</v>
      </c>
      <c r="Y101" s="3">
        <v>5.8862444791902391E-2</v>
      </c>
      <c r="AA101" s="3">
        <v>1</v>
      </c>
      <c r="AB101" s="3">
        <v>0</v>
      </c>
      <c r="AC101" s="3">
        <v>1</v>
      </c>
    </row>
    <row r="102" spans="2:29" x14ac:dyDescent="0.2">
      <c r="B102" s="3" t="s">
        <v>219</v>
      </c>
      <c r="C102" s="3" t="s">
        <v>220</v>
      </c>
      <c r="D102" s="8">
        <v>42021</v>
      </c>
      <c r="E102" s="3">
        <v>1675</v>
      </c>
      <c r="F102" s="3" t="s">
        <v>25</v>
      </c>
      <c r="G102" s="3" t="s">
        <v>26</v>
      </c>
      <c r="H102" s="3">
        <v>300.10000000000002</v>
      </c>
      <c r="I102" s="3">
        <v>301.2</v>
      </c>
      <c r="J102" s="3">
        <v>302.3</v>
      </c>
      <c r="K102" s="3">
        <v>5.6</v>
      </c>
      <c r="L102" s="3">
        <v>5.95</v>
      </c>
      <c r="M102" s="3">
        <v>6.3</v>
      </c>
      <c r="N102" s="3">
        <v>1</v>
      </c>
      <c r="O102" s="3">
        <v>3.5229568387011366E-3</v>
      </c>
      <c r="P102" s="3">
        <v>3.0696311262360068E-2</v>
      </c>
      <c r="Q102" s="3">
        <v>0.2331889225517525</v>
      </c>
      <c r="R102" s="3">
        <v>301.25048961500875</v>
      </c>
      <c r="S102" s="3">
        <v>5.8992908739421779</v>
      </c>
      <c r="U102" s="3">
        <v>6.1178059574027088</v>
      </c>
      <c r="V102" s="3">
        <v>0.21851508346053095</v>
      </c>
      <c r="X102" s="3">
        <v>6.1449573853714146</v>
      </c>
      <c r="Y102" s="3">
        <v>0.24566651142923668</v>
      </c>
      <c r="AA102" s="3">
        <v>1</v>
      </c>
      <c r="AB102" s="3">
        <v>0</v>
      </c>
      <c r="AC102" s="3">
        <v>0</v>
      </c>
    </row>
    <row r="103" spans="2:29" x14ac:dyDescent="0.2">
      <c r="B103" s="3" t="s">
        <v>221</v>
      </c>
      <c r="C103" s="3" t="s">
        <v>222</v>
      </c>
      <c r="D103" s="8">
        <v>42021</v>
      </c>
      <c r="E103" s="3">
        <v>1700</v>
      </c>
      <c r="F103" s="3" t="s">
        <v>25</v>
      </c>
      <c r="G103" s="3" t="s">
        <v>26</v>
      </c>
      <c r="H103" s="3">
        <v>276.3</v>
      </c>
      <c r="I103" s="3">
        <v>277.35000000000002</v>
      </c>
      <c r="J103" s="3">
        <v>278.39999999999998</v>
      </c>
      <c r="K103" s="3">
        <v>6.7</v>
      </c>
      <c r="L103" s="3">
        <v>7.15</v>
      </c>
      <c r="M103" s="3">
        <v>7.6</v>
      </c>
      <c r="N103" s="3">
        <v>1</v>
      </c>
      <c r="O103" s="3">
        <v>3.5229568387011366E-3</v>
      </c>
      <c r="P103" s="3">
        <v>3.0696311262360068E-2</v>
      </c>
      <c r="Q103" s="3">
        <v>0.22579615445094753</v>
      </c>
      <c r="R103" s="3">
        <v>277.43501655759474</v>
      </c>
      <c r="S103" s="3">
        <v>7.064602721960398</v>
      </c>
      <c r="U103" s="3">
        <v>7.6128792957962332</v>
      </c>
      <c r="V103" s="3">
        <v>0.54827657383583528</v>
      </c>
      <c r="X103" s="3">
        <v>7.4388299009415526</v>
      </c>
      <c r="Y103" s="3">
        <v>0.37422717898115465</v>
      </c>
      <c r="AA103" s="3">
        <v>1</v>
      </c>
      <c r="AB103" s="3">
        <v>0</v>
      </c>
      <c r="AC103" s="3">
        <v>1</v>
      </c>
    </row>
    <row r="104" spans="2:29" x14ac:dyDescent="0.2">
      <c r="B104" s="3" t="s">
        <v>223</v>
      </c>
      <c r="C104" s="3" t="s">
        <v>224</v>
      </c>
      <c r="D104" s="8">
        <v>42021</v>
      </c>
      <c r="E104" s="3">
        <v>1725</v>
      </c>
      <c r="F104" s="3" t="s">
        <v>25</v>
      </c>
      <c r="G104" s="3" t="s">
        <v>26</v>
      </c>
      <c r="H104" s="3">
        <v>252.7</v>
      </c>
      <c r="I104" s="3">
        <v>253.75</v>
      </c>
      <c r="J104" s="3">
        <v>254.8</v>
      </c>
      <c r="K104" s="3">
        <v>8</v>
      </c>
      <c r="L104" s="3">
        <v>8.6</v>
      </c>
      <c r="M104" s="3">
        <v>9.1999999999999993</v>
      </c>
      <c r="N104" s="3">
        <v>1</v>
      </c>
      <c r="O104" s="3">
        <v>3.5229568387011366E-3</v>
      </c>
      <c r="P104" s="3">
        <v>3.0696311262360068E-2</v>
      </c>
      <c r="Q104" s="3">
        <v>0.21847589745355797</v>
      </c>
      <c r="R104" s="3">
        <v>253.86948218504631</v>
      </c>
      <c r="S104" s="3">
        <v>8.4798532548443006</v>
      </c>
      <c r="U104" s="3">
        <v>9.0924524148514365</v>
      </c>
      <c r="V104" s="3">
        <v>0.61259916000713588</v>
      </c>
      <c r="X104" s="3">
        <v>8.9915743717122023</v>
      </c>
      <c r="Y104" s="3">
        <v>0.51172111686790167</v>
      </c>
      <c r="AA104" s="3">
        <v>1</v>
      </c>
      <c r="AB104" s="3">
        <v>0</v>
      </c>
      <c r="AC104" s="3">
        <v>0</v>
      </c>
    </row>
    <row r="105" spans="2:29" x14ac:dyDescent="0.2">
      <c r="B105" s="3" t="s">
        <v>225</v>
      </c>
      <c r="C105" s="3" t="s">
        <v>226</v>
      </c>
      <c r="D105" s="8">
        <v>42021</v>
      </c>
      <c r="E105" s="3">
        <v>1750</v>
      </c>
      <c r="F105" s="3" t="s">
        <v>25</v>
      </c>
      <c r="G105" s="3" t="s">
        <v>26</v>
      </c>
      <c r="H105" s="3">
        <v>229.4</v>
      </c>
      <c r="I105" s="3">
        <v>230.45</v>
      </c>
      <c r="J105" s="3">
        <v>231.5</v>
      </c>
      <c r="K105" s="3">
        <v>9.6</v>
      </c>
      <c r="L105" s="3">
        <v>10.1</v>
      </c>
      <c r="M105" s="3">
        <v>10.6</v>
      </c>
      <c r="N105" s="3">
        <v>1</v>
      </c>
      <c r="O105" s="3">
        <v>3.5229568387011366E-3</v>
      </c>
      <c r="P105" s="3">
        <v>3.0696311262360068E-2</v>
      </c>
      <c r="Q105" s="3">
        <v>0.21044213594758598</v>
      </c>
      <c r="R105" s="3">
        <v>230.47944555776485</v>
      </c>
      <c r="S105" s="3">
        <v>10.070601532995113</v>
      </c>
      <c r="U105" s="3">
        <v>10.588934110103509</v>
      </c>
      <c r="V105" s="3">
        <v>0.51833257710839575</v>
      </c>
      <c r="X105" s="3">
        <v>10.830034975675828</v>
      </c>
      <c r="Y105" s="3">
        <v>0.75943344268071478</v>
      </c>
      <c r="AA105" s="3">
        <v>1</v>
      </c>
      <c r="AB105" s="3">
        <v>1</v>
      </c>
      <c r="AC105" s="3">
        <v>0</v>
      </c>
    </row>
    <row r="106" spans="2:29" x14ac:dyDescent="0.2">
      <c r="B106" s="3" t="s">
        <v>227</v>
      </c>
      <c r="C106" s="3" t="s">
        <v>228</v>
      </c>
      <c r="D106" s="8">
        <v>42021</v>
      </c>
      <c r="E106" s="3">
        <v>1775</v>
      </c>
      <c r="F106" s="3" t="s">
        <v>25</v>
      </c>
      <c r="G106" s="3" t="s">
        <v>26</v>
      </c>
      <c r="H106" s="3">
        <v>206.5</v>
      </c>
      <c r="I106" s="3">
        <v>207.5</v>
      </c>
      <c r="J106" s="3">
        <v>208.5</v>
      </c>
      <c r="K106" s="3">
        <v>11.6</v>
      </c>
      <c r="L106" s="3">
        <v>12.1</v>
      </c>
      <c r="M106" s="3">
        <v>12.6</v>
      </c>
      <c r="N106" s="3">
        <v>1</v>
      </c>
      <c r="O106" s="3">
        <v>3.5229568387011366E-3</v>
      </c>
      <c r="P106" s="3">
        <v>3.0696311262360068E-2</v>
      </c>
      <c r="Q106" s="3">
        <v>0.20292303168083153</v>
      </c>
      <c r="R106" s="3">
        <v>207.51387607531115</v>
      </c>
      <c r="S106" s="3">
        <v>12.085816955973968</v>
      </c>
      <c r="U106" s="3">
        <v>13.5554647377121</v>
      </c>
      <c r="V106" s="3">
        <v>1.4696477817381322</v>
      </c>
      <c r="X106" s="3">
        <v>13.014659729917019</v>
      </c>
      <c r="Y106" s="3">
        <v>0.92884277394305137</v>
      </c>
      <c r="AA106" s="3">
        <v>1</v>
      </c>
      <c r="AB106" s="3">
        <v>1</v>
      </c>
      <c r="AC106" s="3">
        <v>1</v>
      </c>
    </row>
    <row r="107" spans="2:29" x14ac:dyDescent="0.2">
      <c r="B107" s="3" t="s">
        <v>229</v>
      </c>
      <c r="C107" s="3" t="s">
        <v>230</v>
      </c>
      <c r="D107" s="8">
        <v>42021</v>
      </c>
      <c r="E107" s="3">
        <v>1800</v>
      </c>
      <c r="F107" s="3" t="s">
        <v>25</v>
      </c>
      <c r="G107" s="3" t="s">
        <v>26</v>
      </c>
      <c r="H107" s="3">
        <v>184</v>
      </c>
      <c r="I107" s="3">
        <v>185</v>
      </c>
      <c r="J107" s="3">
        <v>186</v>
      </c>
      <c r="K107" s="3">
        <v>14.1</v>
      </c>
      <c r="L107" s="3">
        <v>14.55</v>
      </c>
      <c r="M107" s="3">
        <v>15</v>
      </c>
      <c r="N107" s="3">
        <v>1</v>
      </c>
      <c r="O107" s="3">
        <v>3.5229568387011366E-3</v>
      </c>
      <c r="P107" s="3">
        <v>3.0696311262360068E-2</v>
      </c>
      <c r="Q107" s="3">
        <v>0.19551117642158952</v>
      </c>
      <c r="R107" s="3">
        <v>184.99860311208408</v>
      </c>
      <c r="S107" s="3">
        <v>14.551328898179065</v>
      </c>
      <c r="U107" s="3">
        <v>15.26480738815323</v>
      </c>
      <c r="V107" s="3">
        <v>0.71347848997416463</v>
      </c>
      <c r="X107" s="3">
        <v>15.620079698961698</v>
      </c>
      <c r="Y107" s="3">
        <v>1.0687508007826327</v>
      </c>
      <c r="AA107" s="3">
        <v>1</v>
      </c>
      <c r="AB107" s="3">
        <v>1</v>
      </c>
      <c r="AC107" s="3">
        <v>1</v>
      </c>
    </row>
    <row r="108" spans="2:29" x14ac:dyDescent="0.2">
      <c r="B108" s="3" t="s">
        <v>231</v>
      </c>
      <c r="C108" s="3" t="s">
        <v>232</v>
      </c>
      <c r="D108" s="8">
        <v>42021</v>
      </c>
      <c r="E108" s="3">
        <v>1825</v>
      </c>
      <c r="F108" s="3" t="s">
        <v>25</v>
      </c>
      <c r="G108" s="3" t="s">
        <v>26</v>
      </c>
      <c r="H108" s="3">
        <v>162</v>
      </c>
      <c r="I108" s="3">
        <v>163</v>
      </c>
      <c r="J108" s="3">
        <v>164</v>
      </c>
      <c r="K108" s="3">
        <v>17</v>
      </c>
      <c r="L108" s="3">
        <v>17.5</v>
      </c>
      <c r="M108" s="3">
        <v>18</v>
      </c>
      <c r="N108" s="3">
        <v>1</v>
      </c>
      <c r="O108" s="3">
        <v>3.5229568387011366E-3</v>
      </c>
      <c r="P108" s="3">
        <v>3.0696311262360068E-2</v>
      </c>
      <c r="Q108" s="3">
        <v>0.18797924125227647</v>
      </c>
      <c r="R108" s="3">
        <v>162.98324870674719</v>
      </c>
      <c r="S108" s="3">
        <v>17.516759398274587</v>
      </c>
      <c r="U108" s="3">
        <v>18.619845378643845</v>
      </c>
      <c r="V108" s="3">
        <v>1.1030859803692579</v>
      </c>
      <c r="X108" s="3">
        <v>18.710770905780617</v>
      </c>
      <c r="Y108" s="3">
        <v>1.1940115075060298</v>
      </c>
      <c r="AA108" s="3">
        <v>1</v>
      </c>
      <c r="AB108" s="3">
        <v>1</v>
      </c>
      <c r="AC108" s="3">
        <v>1</v>
      </c>
    </row>
    <row r="109" spans="2:29" x14ac:dyDescent="0.2">
      <c r="B109" s="3" t="s">
        <v>233</v>
      </c>
      <c r="C109" s="3" t="s">
        <v>234</v>
      </c>
      <c r="D109" s="8">
        <v>42021</v>
      </c>
      <c r="E109" s="3">
        <v>1850</v>
      </c>
      <c r="F109" s="3" t="s">
        <v>25</v>
      </c>
      <c r="G109" s="3" t="s">
        <v>26</v>
      </c>
      <c r="H109" s="3">
        <v>140.80000000000001</v>
      </c>
      <c r="I109" s="3">
        <v>141.6</v>
      </c>
      <c r="J109" s="3">
        <v>142.4</v>
      </c>
      <c r="K109" s="3">
        <v>20.7</v>
      </c>
      <c r="L109" s="3">
        <v>21.2</v>
      </c>
      <c r="M109" s="3">
        <v>21.7</v>
      </c>
      <c r="N109" s="3">
        <v>1</v>
      </c>
      <c r="O109" s="3">
        <v>3.5229568387011366E-3</v>
      </c>
      <c r="P109" s="3">
        <v>3.0696311262360068E-2</v>
      </c>
      <c r="Q109" s="3">
        <v>0.18057898472323197</v>
      </c>
      <c r="R109" s="3">
        <v>141.6428211390089</v>
      </c>
      <c r="S109" s="3">
        <v>21.157116735968657</v>
      </c>
      <c r="U109" s="3">
        <v>22.303220302161066</v>
      </c>
      <c r="V109" s="3">
        <v>1.1461035661924086</v>
      </c>
      <c r="X109" s="3">
        <v>22.373492771175528</v>
      </c>
      <c r="Y109" s="3">
        <v>1.2163760352068707</v>
      </c>
      <c r="AA109" s="3">
        <v>1</v>
      </c>
      <c r="AB109" s="3">
        <v>1</v>
      </c>
      <c r="AC109" s="3">
        <v>1</v>
      </c>
    </row>
    <row r="110" spans="2:29" x14ac:dyDescent="0.2">
      <c r="B110" s="3" t="s">
        <v>235</v>
      </c>
      <c r="C110" s="3" t="s">
        <v>236</v>
      </c>
      <c r="D110" s="8">
        <v>42021</v>
      </c>
      <c r="E110" s="3">
        <v>1875</v>
      </c>
      <c r="F110" s="3" t="s">
        <v>25</v>
      </c>
      <c r="G110" s="3" t="s">
        <v>26</v>
      </c>
      <c r="H110" s="3">
        <v>120.2</v>
      </c>
      <c r="I110" s="3">
        <v>121</v>
      </c>
      <c r="J110" s="3">
        <v>121.8</v>
      </c>
      <c r="K110" s="3">
        <v>25</v>
      </c>
      <c r="L110" s="3">
        <v>25.55</v>
      </c>
      <c r="M110" s="3">
        <v>26.1</v>
      </c>
      <c r="N110" s="3">
        <v>1</v>
      </c>
      <c r="O110" s="3">
        <v>3.5229568387011366E-3</v>
      </c>
      <c r="P110" s="3">
        <v>3.0696311262360068E-2</v>
      </c>
      <c r="Q110" s="3">
        <v>0.17296447587330777</v>
      </c>
      <c r="R110" s="3">
        <v>121.02744404684609</v>
      </c>
      <c r="S110" s="3">
        <v>25.522524549238085</v>
      </c>
      <c r="U110" s="3">
        <v>26.433574792605782</v>
      </c>
      <c r="V110" s="3">
        <v>0.91105024336769702</v>
      </c>
      <c r="X110" s="3">
        <v>26.758716645494175</v>
      </c>
      <c r="Y110" s="3">
        <v>1.2361920962560902</v>
      </c>
      <c r="AA110" s="3">
        <v>1</v>
      </c>
      <c r="AB110" s="3">
        <v>1</v>
      </c>
      <c r="AC110" s="3">
        <v>1</v>
      </c>
    </row>
    <row r="111" spans="2:29" x14ac:dyDescent="0.2">
      <c r="B111" s="3" t="s">
        <v>237</v>
      </c>
      <c r="C111" s="3" t="s">
        <v>238</v>
      </c>
      <c r="D111" s="8">
        <v>42021</v>
      </c>
      <c r="E111" s="3">
        <v>1900</v>
      </c>
      <c r="F111" s="3" t="s">
        <v>25</v>
      </c>
      <c r="G111" s="3" t="s">
        <v>26</v>
      </c>
      <c r="H111" s="3">
        <v>100.6</v>
      </c>
      <c r="I111" s="3">
        <v>101.35</v>
      </c>
      <c r="J111" s="3">
        <v>102.1</v>
      </c>
      <c r="K111" s="3">
        <v>30.3</v>
      </c>
      <c r="L111" s="3">
        <v>30.9</v>
      </c>
      <c r="M111" s="3">
        <v>31.5</v>
      </c>
      <c r="N111" s="3">
        <v>1</v>
      </c>
      <c r="O111" s="3">
        <v>3.5229568387011366E-3</v>
      </c>
      <c r="P111" s="3">
        <v>3.0696311262360068E-2</v>
      </c>
      <c r="Q111" s="3">
        <v>0.16543926798778147</v>
      </c>
      <c r="R111" s="3">
        <v>101.38703651185347</v>
      </c>
      <c r="S111" s="3">
        <v>30.862901919677483</v>
      </c>
      <c r="U111" s="3">
        <v>32.570423881495643</v>
      </c>
      <c r="V111" s="3">
        <v>1.7075219618181592</v>
      </c>
      <c r="X111" s="3">
        <v>31.985827296814108</v>
      </c>
      <c r="Y111" s="3">
        <v>1.1229253771366245</v>
      </c>
      <c r="AA111" s="3">
        <v>1</v>
      </c>
      <c r="AB111" s="3">
        <v>1</v>
      </c>
      <c r="AC111" s="3">
        <v>1</v>
      </c>
    </row>
    <row r="112" spans="2:29" x14ac:dyDescent="0.2">
      <c r="B112" s="3" t="s">
        <v>239</v>
      </c>
      <c r="C112" s="3" t="s">
        <v>240</v>
      </c>
      <c r="D112" s="8">
        <v>42021</v>
      </c>
      <c r="E112" s="3">
        <v>1925</v>
      </c>
      <c r="F112" s="3" t="s">
        <v>25</v>
      </c>
      <c r="G112" s="3" t="s">
        <v>26</v>
      </c>
      <c r="H112" s="3">
        <v>82</v>
      </c>
      <c r="I112" s="3">
        <v>82.7</v>
      </c>
      <c r="J112" s="3">
        <v>83.4</v>
      </c>
      <c r="K112" s="3">
        <v>36.6</v>
      </c>
      <c r="L112" s="3">
        <v>37.25</v>
      </c>
      <c r="M112" s="3">
        <v>37.9</v>
      </c>
      <c r="N112" s="3">
        <v>1</v>
      </c>
      <c r="O112" s="3">
        <v>3.5229568387011366E-3</v>
      </c>
      <c r="P112" s="3">
        <v>3.0696311262360068E-2</v>
      </c>
      <c r="Q112" s="3">
        <v>0.15747899369195217</v>
      </c>
      <c r="R112" s="3">
        <v>82.746726746895092</v>
      </c>
      <c r="S112" s="3">
        <v>37.203377060151411</v>
      </c>
      <c r="U112" s="3">
        <v>38.080601120600178</v>
      </c>
      <c r="V112" s="3">
        <v>0.87722406044876777</v>
      </c>
      <c r="X112" s="3">
        <v>38.222413721660473</v>
      </c>
      <c r="Y112" s="3">
        <v>1.0190366615090625</v>
      </c>
      <c r="AA112" s="3">
        <v>1</v>
      </c>
      <c r="AB112" s="3">
        <v>1</v>
      </c>
      <c r="AC112" s="3">
        <v>1</v>
      </c>
    </row>
    <row r="113" spans="2:29" x14ac:dyDescent="0.2">
      <c r="B113" s="3" t="s">
        <v>241</v>
      </c>
      <c r="C113" s="3" t="s">
        <v>242</v>
      </c>
      <c r="D113" s="8">
        <v>42021</v>
      </c>
      <c r="E113" s="3">
        <v>1950</v>
      </c>
      <c r="F113" s="3" t="s">
        <v>25</v>
      </c>
      <c r="G113" s="3" t="s">
        <v>26</v>
      </c>
      <c r="H113" s="3">
        <v>64.8</v>
      </c>
      <c r="I113" s="3">
        <v>65.45</v>
      </c>
      <c r="J113" s="3">
        <v>66.099999999999994</v>
      </c>
      <c r="K113" s="3">
        <v>44.2</v>
      </c>
      <c r="L113" s="3">
        <v>44.85</v>
      </c>
      <c r="M113" s="3">
        <v>45.5</v>
      </c>
      <c r="N113" s="3">
        <v>1</v>
      </c>
      <c r="O113" s="3">
        <v>3.5229568387011366E-3</v>
      </c>
      <c r="P113" s="3">
        <v>3.0696311262360068E-2</v>
      </c>
      <c r="Q113" s="3">
        <v>0.14941134219330743</v>
      </c>
      <c r="R113" s="3">
        <v>65.431287122135473</v>
      </c>
      <c r="S113" s="3">
        <v>44.868722340824206</v>
      </c>
      <c r="U113" s="3">
        <v>45.961673724201773</v>
      </c>
      <c r="V113" s="3">
        <v>1.0929513833775673</v>
      </c>
      <c r="X113" s="3">
        <v>45.70390086825978</v>
      </c>
      <c r="Y113" s="3">
        <v>0.83517852743557341</v>
      </c>
      <c r="AA113" s="3">
        <v>1</v>
      </c>
      <c r="AB113" s="3">
        <v>1</v>
      </c>
      <c r="AC113" s="3">
        <v>1</v>
      </c>
    </row>
    <row r="114" spans="2:29" x14ac:dyDescent="0.2">
      <c r="B114" s="3" t="s">
        <v>243</v>
      </c>
      <c r="C114" s="3" t="s">
        <v>244</v>
      </c>
      <c r="D114" s="8">
        <v>42021</v>
      </c>
      <c r="E114" s="3">
        <v>1975</v>
      </c>
      <c r="F114" s="3" t="s">
        <v>25</v>
      </c>
      <c r="G114" s="3" t="s">
        <v>26</v>
      </c>
      <c r="H114" s="3">
        <v>49.2</v>
      </c>
      <c r="I114" s="3">
        <v>49.8</v>
      </c>
      <c r="J114" s="3">
        <v>50.4</v>
      </c>
      <c r="K114" s="3">
        <v>53.6</v>
      </c>
      <c r="L114" s="3">
        <v>54.2</v>
      </c>
      <c r="M114" s="3">
        <v>54.8</v>
      </c>
      <c r="N114" s="3">
        <v>1</v>
      </c>
      <c r="O114" s="3">
        <v>3.5229568387011366E-3</v>
      </c>
      <c r="P114" s="3">
        <v>3.0696311262360068E-2</v>
      </c>
      <c r="Q114" s="3">
        <v>0.14148079443308886</v>
      </c>
      <c r="R114" s="3">
        <v>49.79118806089798</v>
      </c>
      <c r="S114" s="3">
        <v>54.209408185019015</v>
      </c>
      <c r="U114" s="3">
        <v>55.110996265439205</v>
      </c>
      <c r="V114" s="3">
        <v>0.9015880804201899</v>
      </c>
      <c r="X114" s="3">
        <v>54.70962132955917</v>
      </c>
      <c r="Y114" s="3">
        <v>0.50021314454015453</v>
      </c>
      <c r="AA114" s="3">
        <v>1</v>
      </c>
      <c r="AB114" s="3">
        <v>0</v>
      </c>
      <c r="AC114" s="3">
        <v>1</v>
      </c>
    </row>
    <row r="115" spans="2:29" x14ac:dyDescent="0.2">
      <c r="B115" s="3" t="s">
        <v>245</v>
      </c>
      <c r="C115" s="3" t="s">
        <v>246</v>
      </c>
      <c r="D115" s="8">
        <v>42021</v>
      </c>
      <c r="E115" s="3">
        <v>2000</v>
      </c>
      <c r="F115" s="3" t="s">
        <v>25</v>
      </c>
      <c r="G115" s="3" t="s">
        <v>26</v>
      </c>
      <c r="H115" s="3">
        <v>35.5</v>
      </c>
      <c r="I115" s="3">
        <v>36.049999999999997</v>
      </c>
      <c r="J115" s="3">
        <v>36.6</v>
      </c>
      <c r="K115" s="3">
        <v>64.7</v>
      </c>
      <c r="L115" s="3">
        <v>65.45</v>
      </c>
      <c r="M115" s="3">
        <v>66.2</v>
      </c>
      <c r="N115" s="3">
        <v>1</v>
      </c>
      <c r="O115" s="3">
        <v>3.5229568387011366E-3</v>
      </c>
      <c r="P115" s="3">
        <v>3.0696311262360068E-2</v>
      </c>
      <c r="Q115" s="3">
        <v>0.13353677980942524</v>
      </c>
      <c r="R115" s="3">
        <v>36.05052706662832</v>
      </c>
      <c r="S115" s="3">
        <v>65.449532096181429</v>
      </c>
      <c r="U115" s="3">
        <v>65.922133457296212</v>
      </c>
      <c r="V115" s="3">
        <v>0.47260136111478346</v>
      </c>
      <c r="X115" s="3">
        <v>65.634317879982177</v>
      </c>
      <c r="Y115" s="3">
        <v>0.1847857838007485</v>
      </c>
      <c r="AA115" s="3">
        <v>1</v>
      </c>
      <c r="AB115" s="3">
        <v>0</v>
      </c>
      <c r="AC115" s="3">
        <v>0</v>
      </c>
    </row>
    <row r="116" spans="2:29" x14ac:dyDescent="0.2">
      <c r="B116" s="3" t="s">
        <v>247</v>
      </c>
      <c r="C116" s="3" t="s">
        <v>248</v>
      </c>
      <c r="D116" s="8">
        <v>42021</v>
      </c>
      <c r="E116" s="3">
        <v>2025</v>
      </c>
      <c r="F116" s="3" t="s">
        <v>25</v>
      </c>
      <c r="G116" s="3" t="s">
        <v>26</v>
      </c>
      <c r="H116" s="3">
        <v>24.2</v>
      </c>
      <c r="I116" s="3">
        <v>24.65</v>
      </c>
      <c r="J116" s="3">
        <v>25.1</v>
      </c>
      <c r="K116" s="3">
        <v>78.3</v>
      </c>
      <c r="L116" s="3">
        <v>79.05</v>
      </c>
      <c r="M116" s="3">
        <v>79.8</v>
      </c>
      <c r="N116" s="3">
        <v>1</v>
      </c>
      <c r="O116" s="3">
        <v>3.5229568387011366E-3</v>
      </c>
      <c r="P116" s="3">
        <v>3.0696311262360068E-2</v>
      </c>
      <c r="Q116" s="3">
        <v>0.12614313917033917</v>
      </c>
      <c r="R116" s="3">
        <v>24.660259710294895</v>
      </c>
      <c r="S116" s="3">
        <v>79.04004964528076</v>
      </c>
      <c r="U116" s="3">
        <v>78.8808399935685</v>
      </c>
      <c r="V116" s="3">
        <v>-0.15920965171225987</v>
      </c>
      <c r="X116" s="3">
        <v>78.921164648277085</v>
      </c>
      <c r="Y116" s="3">
        <v>-0.11888499700367561</v>
      </c>
      <c r="AA116" s="3">
        <v>1</v>
      </c>
      <c r="AB116" s="3">
        <v>0</v>
      </c>
      <c r="AC116" s="3">
        <v>0</v>
      </c>
    </row>
    <row r="117" spans="2:29" x14ac:dyDescent="0.2">
      <c r="B117" s="3" t="s">
        <v>249</v>
      </c>
      <c r="C117" s="3" t="s">
        <v>250</v>
      </c>
      <c r="D117" s="8">
        <v>42021</v>
      </c>
      <c r="E117" s="3">
        <v>2050</v>
      </c>
      <c r="F117" s="3" t="s">
        <v>25</v>
      </c>
      <c r="G117" s="3" t="s">
        <v>26</v>
      </c>
      <c r="H117" s="3">
        <v>15.4</v>
      </c>
      <c r="I117" s="3">
        <v>15.8</v>
      </c>
      <c r="J117" s="3">
        <v>16.2</v>
      </c>
      <c r="K117" s="3">
        <v>94.3</v>
      </c>
      <c r="L117" s="3">
        <v>95.15</v>
      </c>
      <c r="M117" s="3">
        <v>96</v>
      </c>
      <c r="N117" s="3">
        <v>1</v>
      </c>
      <c r="O117" s="3">
        <v>3.5229568387011366E-3</v>
      </c>
      <c r="P117" s="3">
        <v>3.0696311262360068E-2</v>
      </c>
      <c r="Q117" s="3">
        <v>0.11945846018806869</v>
      </c>
      <c r="R117" s="3">
        <v>15.794711184700759</v>
      </c>
      <c r="S117" s="3">
        <v>95.15528602511904</v>
      </c>
      <c r="U117" s="3">
        <v>94.473568300192341</v>
      </c>
      <c r="V117" s="3">
        <v>-0.68171772492669902</v>
      </c>
      <c r="X117" s="3">
        <v>95.069353927735236</v>
      </c>
      <c r="Y117" s="3">
        <v>-8.5932097383803807E-2</v>
      </c>
      <c r="AA117" s="3">
        <v>1</v>
      </c>
      <c r="AB117" s="3">
        <v>0</v>
      </c>
      <c r="AC117" s="3">
        <v>0</v>
      </c>
    </row>
    <row r="118" spans="2:29" x14ac:dyDescent="0.2">
      <c r="B118" s="3" t="s">
        <v>251</v>
      </c>
      <c r="C118" s="3" t="s">
        <v>252</v>
      </c>
      <c r="D118" s="8">
        <v>42021</v>
      </c>
      <c r="E118" s="3">
        <v>2075</v>
      </c>
      <c r="F118" s="3" t="s">
        <v>25</v>
      </c>
      <c r="G118" s="3" t="s">
        <v>26</v>
      </c>
      <c r="H118" s="3">
        <v>9.3000000000000007</v>
      </c>
      <c r="I118" s="3">
        <v>9.6</v>
      </c>
      <c r="J118" s="3">
        <v>9.9</v>
      </c>
      <c r="K118" s="3">
        <v>112.8</v>
      </c>
      <c r="L118" s="3">
        <v>113.8</v>
      </c>
      <c r="M118" s="3">
        <v>114.8</v>
      </c>
      <c r="N118" s="3">
        <v>1</v>
      </c>
      <c r="O118" s="3">
        <v>3.5229568387011366E-3</v>
      </c>
      <c r="P118" s="3">
        <v>3.0696311262360068E-2</v>
      </c>
      <c r="Q118" s="3">
        <v>0.11413919786267976</v>
      </c>
      <c r="R118" s="3">
        <v>9.529204429499373</v>
      </c>
      <c r="S118" s="3">
        <v>113.8705641753495</v>
      </c>
      <c r="U118" s="3">
        <v>113.35308154036156</v>
      </c>
      <c r="V118" s="3">
        <v>-0.51748263498794245</v>
      </c>
      <c r="X118" s="3">
        <v>114.08037985709379</v>
      </c>
      <c r="Y118" s="3">
        <v>0.20981568174428844</v>
      </c>
      <c r="AA118" s="3">
        <v>1</v>
      </c>
      <c r="AB118" s="3">
        <v>0</v>
      </c>
      <c r="AC118" s="3">
        <v>0</v>
      </c>
    </row>
    <row r="119" spans="2:29" x14ac:dyDescent="0.2">
      <c r="B119" s="3" t="s">
        <v>253</v>
      </c>
      <c r="C119" s="3" t="s">
        <v>254</v>
      </c>
      <c r="D119" s="8">
        <v>42021</v>
      </c>
      <c r="E119" s="3">
        <v>2100</v>
      </c>
      <c r="F119" s="3" t="s">
        <v>25</v>
      </c>
      <c r="G119" s="3" t="s">
        <v>26</v>
      </c>
      <c r="H119" s="3">
        <v>5.2</v>
      </c>
      <c r="I119" s="3">
        <v>5.45</v>
      </c>
      <c r="J119" s="3">
        <v>5.7</v>
      </c>
      <c r="K119" s="3">
        <v>133.6</v>
      </c>
      <c r="L119" s="3">
        <v>134.69999999999999</v>
      </c>
      <c r="M119" s="3">
        <v>135.80000000000001</v>
      </c>
      <c r="N119" s="3">
        <v>1</v>
      </c>
      <c r="O119" s="3">
        <v>3.5229568387011366E-3</v>
      </c>
      <c r="P119" s="3">
        <v>3.0696311262360068E-2</v>
      </c>
      <c r="Q119" s="3">
        <v>0.10997056356012225</v>
      </c>
      <c r="R119" s="3">
        <v>5.4138361073497094</v>
      </c>
      <c r="S119" s="3">
        <v>134.73598075863219</v>
      </c>
      <c r="U119" s="3">
        <v>134.16038372077435</v>
      </c>
      <c r="V119" s="3">
        <v>-0.57559703785784677</v>
      </c>
      <c r="X119" s="3">
        <v>135.26349963070118</v>
      </c>
      <c r="Y119" s="3">
        <v>0.52751887206898118</v>
      </c>
      <c r="AA119" s="3">
        <v>1</v>
      </c>
      <c r="AB119" s="3">
        <v>0</v>
      </c>
      <c r="AC119" s="3">
        <v>0</v>
      </c>
    </row>
    <row r="120" spans="2:29" x14ac:dyDescent="0.2">
      <c r="B120" s="3" t="s">
        <v>255</v>
      </c>
      <c r="C120" s="3" t="s">
        <v>256</v>
      </c>
      <c r="D120" s="8">
        <v>42021</v>
      </c>
      <c r="E120" s="3">
        <v>2125</v>
      </c>
      <c r="F120" s="3" t="s">
        <v>25</v>
      </c>
      <c r="G120" s="3" t="s">
        <v>26</v>
      </c>
      <c r="H120" s="3">
        <v>2.8</v>
      </c>
      <c r="I120" s="3">
        <v>2.95</v>
      </c>
      <c r="J120" s="3">
        <v>3.1</v>
      </c>
      <c r="K120" s="3">
        <v>156.1</v>
      </c>
      <c r="L120" s="3">
        <v>157.19999999999999</v>
      </c>
      <c r="M120" s="3">
        <v>158.30000000000001</v>
      </c>
      <c r="N120" s="3">
        <v>1</v>
      </c>
      <c r="O120" s="3">
        <v>3.5229568387011366E-3</v>
      </c>
      <c r="P120" s="3">
        <v>3.0696311262360068E-2</v>
      </c>
      <c r="Q120" s="3">
        <v>0.10692828448427202</v>
      </c>
      <c r="R120" s="3">
        <v>2.923473999475334</v>
      </c>
      <c r="S120" s="3">
        <v>157.22640355619023</v>
      </c>
      <c r="U120" s="3">
        <v>156.95705278540987</v>
      </c>
      <c r="V120" s="3">
        <v>-0.26935077078036329</v>
      </c>
      <c r="X120" s="3">
        <v>157.77525199020752</v>
      </c>
      <c r="Y120" s="3">
        <v>0.54884843401728745</v>
      </c>
      <c r="AA120" s="3">
        <v>1</v>
      </c>
      <c r="AB120" s="3">
        <v>0</v>
      </c>
      <c r="AC120" s="3">
        <v>0</v>
      </c>
    </row>
    <row r="121" spans="2:29" x14ac:dyDescent="0.2">
      <c r="B121" s="3" t="s">
        <v>257</v>
      </c>
      <c r="C121" s="3" t="s">
        <v>258</v>
      </c>
      <c r="D121" s="8">
        <v>42021</v>
      </c>
      <c r="E121" s="3">
        <v>2150</v>
      </c>
      <c r="F121" s="3" t="s">
        <v>25</v>
      </c>
      <c r="G121" s="3" t="s">
        <v>26</v>
      </c>
      <c r="H121" s="3">
        <v>1.45</v>
      </c>
      <c r="I121" s="3">
        <v>1.7</v>
      </c>
      <c r="J121" s="3">
        <v>1.95</v>
      </c>
      <c r="K121" s="3">
        <v>179.7</v>
      </c>
      <c r="L121" s="3">
        <v>180.8</v>
      </c>
      <c r="M121" s="3">
        <v>181.9</v>
      </c>
      <c r="N121" s="3">
        <v>1</v>
      </c>
      <c r="O121" s="3">
        <v>3.5229568387011366E-3</v>
      </c>
      <c r="P121" s="3">
        <v>3.0696311262360068E-2</v>
      </c>
      <c r="Q121" s="3">
        <v>0.10598470265730911</v>
      </c>
      <c r="R121" s="3">
        <v>1.606615078493391</v>
      </c>
      <c r="S121" s="3">
        <v>180.89032954064078</v>
      </c>
      <c r="U121" s="3">
        <v>180.72528540789352</v>
      </c>
      <c r="V121" s="3">
        <v>-0.16504413274725493</v>
      </c>
      <c r="X121" s="3">
        <v>181.12284271114757</v>
      </c>
      <c r="Y121" s="3">
        <v>0.23251317050679177</v>
      </c>
      <c r="AA121" s="3">
        <v>1</v>
      </c>
      <c r="AB121" s="3">
        <v>0</v>
      </c>
      <c r="AC121" s="3">
        <v>0</v>
      </c>
    </row>
    <row r="122" spans="2:29" x14ac:dyDescent="0.2">
      <c r="B122" s="3" t="s">
        <v>259</v>
      </c>
      <c r="C122" s="3" t="s">
        <v>260</v>
      </c>
      <c r="D122" s="8">
        <v>42021</v>
      </c>
      <c r="E122" s="3">
        <v>2175</v>
      </c>
      <c r="F122" s="3" t="s">
        <v>25</v>
      </c>
      <c r="G122" s="3" t="s">
        <v>26</v>
      </c>
      <c r="H122" s="3">
        <v>0.75</v>
      </c>
      <c r="I122" s="3">
        <v>1</v>
      </c>
      <c r="J122" s="3">
        <v>1.25</v>
      </c>
      <c r="K122" s="3">
        <v>204</v>
      </c>
      <c r="L122" s="3">
        <v>205.1</v>
      </c>
      <c r="M122" s="3">
        <v>206.2</v>
      </c>
      <c r="N122" s="3">
        <v>0</v>
      </c>
      <c r="O122" s="3">
        <v>3.5229568387011366E-3</v>
      </c>
      <c r="P122" s="3">
        <v>3.0696311262360068E-2</v>
      </c>
      <c r="Q122" s="3">
        <v>0.10598470265730911</v>
      </c>
      <c r="R122" s="3">
        <v>0.88491134237227698</v>
      </c>
      <c r="S122" s="3">
        <v>205.14941070995178</v>
      </c>
      <c r="U122" s="3">
        <v>205.04615272185697</v>
      </c>
      <c r="V122" s="3">
        <v>-0.10325798809481057</v>
      </c>
      <c r="X122" s="3">
        <v>0</v>
      </c>
      <c r="Y122" s="3">
        <v>0</v>
      </c>
      <c r="AA122" s="3">
        <v>0</v>
      </c>
      <c r="AB122" s="3">
        <v>0</v>
      </c>
      <c r="AC122" s="3">
        <v>0</v>
      </c>
    </row>
    <row r="123" spans="2:29" x14ac:dyDescent="0.2">
      <c r="B123" s="3" t="s">
        <v>261</v>
      </c>
      <c r="C123" s="3" t="s">
        <v>262</v>
      </c>
      <c r="D123" s="8">
        <v>42021</v>
      </c>
      <c r="E123" s="3">
        <v>2200</v>
      </c>
      <c r="F123" s="3" t="s">
        <v>25</v>
      </c>
      <c r="G123" s="3" t="s">
        <v>26</v>
      </c>
      <c r="H123" s="3">
        <v>0.35</v>
      </c>
      <c r="I123" s="3">
        <v>0.6</v>
      </c>
      <c r="J123" s="3">
        <v>0.85</v>
      </c>
      <c r="K123" s="3">
        <v>228.6</v>
      </c>
      <c r="L123" s="3">
        <v>229.7</v>
      </c>
      <c r="M123" s="3">
        <v>230.8</v>
      </c>
      <c r="N123" s="3">
        <v>0</v>
      </c>
      <c r="O123" s="3">
        <v>3.5229568387011366E-3</v>
      </c>
      <c r="P123" s="3">
        <v>3.0696311262360068E-2</v>
      </c>
      <c r="Q123" s="3">
        <v>0.10598470265730911</v>
      </c>
      <c r="R123" s="3">
        <v>0.46964796039561918</v>
      </c>
      <c r="S123" s="3">
        <v>229.71493223340758</v>
      </c>
      <c r="U123" s="3">
        <v>229.6695636360426</v>
      </c>
      <c r="V123" s="3">
        <v>-4.5368597364983998E-2</v>
      </c>
      <c r="X123" s="3">
        <v>0</v>
      </c>
      <c r="Y123" s="3">
        <v>0</v>
      </c>
      <c r="AA123" s="3">
        <v>0</v>
      </c>
      <c r="AB123" s="3">
        <v>0</v>
      </c>
      <c r="AC123" s="3">
        <v>0</v>
      </c>
    </row>
    <row r="124" spans="2:29" x14ac:dyDescent="0.2">
      <c r="B124" s="3" t="s">
        <v>263</v>
      </c>
      <c r="C124" s="3" t="s">
        <v>264</v>
      </c>
      <c r="D124" s="8">
        <v>42083</v>
      </c>
      <c r="E124" s="3">
        <v>800</v>
      </c>
      <c r="F124" s="3" t="s">
        <v>25</v>
      </c>
      <c r="G124" s="3" t="s">
        <v>26</v>
      </c>
      <c r="H124" s="3">
        <v>1161.2</v>
      </c>
      <c r="I124" s="3">
        <v>1162.5999999999999</v>
      </c>
      <c r="J124" s="3">
        <v>1164</v>
      </c>
      <c r="K124" s="3">
        <v>0.05</v>
      </c>
      <c r="L124" s="3">
        <v>0.18</v>
      </c>
      <c r="M124" s="3">
        <v>0.3</v>
      </c>
      <c r="N124" s="3">
        <v>0</v>
      </c>
      <c r="O124" s="3">
        <v>3.5229679213738363E-3</v>
      </c>
      <c r="P124" s="3">
        <v>2.6929711994445878E-2</v>
      </c>
      <c r="Q124" s="3">
        <v>0.35445970316443365</v>
      </c>
      <c r="R124" s="3">
        <v>1162.7451248281243</v>
      </c>
      <c r="S124" s="3">
        <v>1.4785951388452505E-3</v>
      </c>
      <c r="U124" s="3">
        <v>-0.20195856460145478</v>
      </c>
      <c r="V124" s="3">
        <v>-0.20343715974030002</v>
      </c>
      <c r="X124" s="3">
        <v>0</v>
      </c>
      <c r="Y124" s="3">
        <v>0</v>
      </c>
      <c r="AA124" s="3">
        <v>0</v>
      </c>
      <c r="AB124" s="3">
        <v>0</v>
      </c>
      <c r="AC124" s="3">
        <v>0</v>
      </c>
    </row>
    <row r="125" spans="2:29" x14ac:dyDescent="0.2">
      <c r="B125" s="3" t="s">
        <v>265</v>
      </c>
      <c r="C125" s="3" t="s">
        <v>266</v>
      </c>
      <c r="D125" s="8">
        <v>42083</v>
      </c>
      <c r="E125" s="3">
        <v>900</v>
      </c>
      <c r="F125" s="3" t="s">
        <v>25</v>
      </c>
      <c r="G125" s="3" t="s">
        <v>26</v>
      </c>
      <c r="H125" s="3">
        <v>1061.5</v>
      </c>
      <c r="I125" s="3">
        <v>1062.8499999999999</v>
      </c>
      <c r="J125" s="3">
        <v>1064.2</v>
      </c>
      <c r="K125" s="3">
        <v>0.05</v>
      </c>
      <c r="L125" s="3">
        <v>0.2</v>
      </c>
      <c r="M125" s="3">
        <v>0.35</v>
      </c>
      <c r="N125" s="3">
        <v>0</v>
      </c>
      <c r="O125" s="3">
        <v>3.5229679213738363E-3</v>
      </c>
      <c r="P125" s="3">
        <v>2.6929711994445878E-2</v>
      </c>
      <c r="Q125" s="3">
        <v>0.35445970316443365</v>
      </c>
      <c r="R125" s="3">
        <v>1062.8956387233579</v>
      </c>
      <c r="S125" s="3">
        <v>1.5081990376197618E-2</v>
      </c>
      <c r="U125" s="3">
        <v>0.1608445452648084</v>
      </c>
      <c r="V125" s="3">
        <v>0.14576255488861078</v>
      </c>
      <c r="X125" s="3">
        <v>0</v>
      </c>
      <c r="Y125" s="3">
        <v>0</v>
      </c>
      <c r="AA125" s="3">
        <v>0</v>
      </c>
      <c r="AB125" s="3">
        <v>0</v>
      </c>
      <c r="AC125" s="3">
        <v>0</v>
      </c>
    </row>
    <row r="126" spans="2:29" x14ac:dyDescent="0.2">
      <c r="B126" s="3" t="s">
        <v>267</v>
      </c>
      <c r="C126" s="3" t="s">
        <v>268</v>
      </c>
      <c r="D126" s="8">
        <v>42083</v>
      </c>
      <c r="E126" s="3">
        <v>1000</v>
      </c>
      <c r="F126" s="3" t="s">
        <v>25</v>
      </c>
      <c r="G126" s="3" t="s">
        <v>26</v>
      </c>
      <c r="H126" s="3">
        <v>961.8</v>
      </c>
      <c r="I126" s="3">
        <v>963.15</v>
      </c>
      <c r="J126" s="3">
        <v>964.5</v>
      </c>
      <c r="K126" s="3">
        <v>0.2</v>
      </c>
      <c r="L126" s="3">
        <v>0.35</v>
      </c>
      <c r="M126" s="3">
        <v>0.5</v>
      </c>
      <c r="N126" s="3">
        <v>0</v>
      </c>
      <c r="O126" s="3">
        <v>3.5229679213738363E-3</v>
      </c>
      <c r="P126" s="3">
        <v>2.6929711994445878E-2</v>
      </c>
      <c r="Q126" s="3">
        <v>0.35445970316443365</v>
      </c>
      <c r="R126" s="3">
        <v>963.11439062317822</v>
      </c>
      <c r="S126" s="3">
        <v>9.6923390199983084E-2</v>
      </c>
      <c r="U126" s="3">
        <v>9.3202838962838541E-2</v>
      </c>
      <c r="V126" s="3">
        <v>-3.7205512371445426E-3</v>
      </c>
      <c r="X126" s="3">
        <v>0</v>
      </c>
      <c r="Y126" s="3">
        <v>0</v>
      </c>
      <c r="AA126" s="3">
        <v>0</v>
      </c>
      <c r="AB126" s="3">
        <v>0</v>
      </c>
      <c r="AC126" s="3">
        <v>0</v>
      </c>
    </row>
    <row r="127" spans="2:29" x14ac:dyDescent="0.2">
      <c r="B127" s="3" t="s">
        <v>269</v>
      </c>
      <c r="C127" s="3" t="s">
        <v>270</v>
      </c>
      <c r="D127" s="8">
        <v>42083</v>
      </c>
      <c r="E127" s="3">
        <v>1050</v>
      </c>
      <c r="F127" s="3" t="s">
        <v>25</v>
      </c>
      <c r="G127" s="3" t="s">
        <v>26</v>
      </c>
      <c r="H127" s="3">
        <v>912</v>
      </c>
      <c r="I127" s="3">
        <v>913.45</v>
      </c>
      <c r="J127" s="3">
        <v>914.9</v>
      </c>
      <c r="K127" s="3">
        <v>0.35</v>
      </c>
      <c r="L127" s="3">
        <v>0.52</v>
      </c>
      <c r="M127" s="3">
        <v>0.7</v>
      </c>
      <c r="N127" s="3">
        <v>0</v>
      </c>
      <c r="O127" s="3">
        <v>3.5229679213738363E-3</v>
      </c>
      <c r="P127" s="3">
        <v>2.6929711994445878E-2</v>
      </c>
      <c r="Q127" s="3">
        <v>0.35445970316443365</v>
      </c>
      <c r="R127" s="3">
        <v>913.30019176146243</v>
      </c>
      <c r="S127" s="3">
        <v>0.21426927848589372</v>
      </c>
      <c r="U127" s="3">
        <v>0.27970207778537315</v>
      </c>
      <c r="V127" s="3">
        <v>6.5432799299479427E-2</v>
      </c>
      <c r="X127" s="3">
        <v>0</v>
      </c>
      <c r="Y127" s="3">
        <v>0</v>
      </c>
      <c r="AA127" s="3">
        <v>0</v>
      </c>
      <c r="AB127" s="3">
        <v>0</v>
      </c>
      <c r="AC127" s="3">
        <v>0</v>
      </c>
    </row>
    <row r="128" spans="2:29" x14ac:dyDescent="0.2">
      <c r="B128" s="3" t="s">
        <v>271</v>
      </c>
      <c r="C128" s="3" t="s">
        <v>272</v>
      </c>
      <c r="D128" s="8">
        <v>42083</v>
      </c>
      <c r="E128" s="3">
        <v>1100</v>
      </c>
      <c r="F128" s="3" t="s">
        <v>25</v>
      </c>
      <c r="G128" s="3" t="s">
        <v>26</v>
      </c>
      <c r="H128" s="3">
        <v>862.3</v>
      </c>
      <c r="I128" s="3">
        <v>863.8</v>
      </c>
      <c r="J128" s="3">
        <v>865.3</v>
      </c>
      <c r="K128" s="3">
        <v>0.5</v>
      </c>
      <c r="L128" s="3">
        <v>0.7</v>
      </c>
      <c r="M128" s="3">
        <v>0.9</v>
      </c>
      <c r="N128" s="3">
        <v>0</v>
      </c>
      <c r="O128" s="3">
        <v>3.5229679213738363E-3</v>
      </c>
      <c r="P128" s="3">
        <v>2.6929711994445878E-2</v>
      </c>
      <c r="Q128" s="3">
        <v>0.35445970316443365</v>
      </c>
      <c r="R128" s="3">
        <v>863.59318453053857</v>
      </c>
      <c r="S128" s="3">
        <v>0.43880679756354546</v>
      </c>
      <c r="U128" s="3">
        <v>0.42614489532627431</v>
      </c>
      <c r="V128" s="3">
        <v>-1.266190223727115E-2</v>
      </c>
      <c r="X128" s="3">
        <v>0</v>
      </c>
      <c r="Y128" s="3">
        <v>0</v>
      </c>
      <c r="AA128" s="3">
        <v>0</v>
      </c>
      <c r="AB128" s="3">
        <v>0</v>
      </c>
      <c r="AC128" s="3">
        <v>0</v>
      </c>
    </row>
    <row r="129" spans="2:29" x14ac:dyDescent="0.2">
      <c r="B129" s="3" t="s">
        <v>273</v>
      </c>
      <c r="C129" s="3" t="s">
        <v>274</v>
      </c>
      <c r="D129" s="8">
        <v>42083</v>
      </c>
      <c r="E129" s="3">
        <v>1125</v>
      </c>
      <c r="F129" s="3" t="s">
        <v>25</v>
      </c>
      <c r="G129" s="3" t="s">
        <v>26</v>
      </c>
      <c r="H129" s="3">
        <v>837.5</v>
      </c>
      <c r="I129" s="3">
        <v>838.95</v>
      </c>
      <c r="J129" s="3">
        <v>840.4</v>
      </c>
      <c r="K129" s="3">
        <v>0.45</v>
      </c>
      <c r="L129" s="3">
        <v>0.75</v>
      </c>
      <c r="M129" s="3">
        <v>1.05</v>
      </c>
      <c r="N129" s="3">
        <v>0</v>
      </c>
      <c r="O129" s="3">
        <v>3.5229679213738363E-3</v>
      </c>
      <c r="P129" s="3">
        <v>2.6929711994445878E-2</v>
      </c>
      <c r="Q129" s="3">
        <v>0.35445970316443365</v>
      </c>
      <c r="R129" s="3">
        <v>838.80055579948316</v>
      </c>
      <c r="S129" s="3">
        <v>0.6119504415088759</v>
      </c>
      <c r="U129" s="3">
        <v>0.50127108942342602</v>
      </c>
      <c r="V129" s="3">
        <v>-0.11067935208544988</v>
      </c>
      <c r="X129" s="3">
        <v>0</v>
      </c>
      <c r="Y129" s="3">
        <v>0</v>
      </c>
      <c r="AA129" s="3">
        <v>0</v>
      </c>
      <c r="AB129" s="3">
        <v>0</v>
      </c>
      <c r="AC129" s="3">
        <v>0</v>
      </c>
    </row>
    <row r="130" spans="2:29" x14ac:dyDescent="0.2">
      <c r="B130" s="3" t="s">
        <v>275</v>
      </c>
      <c r="C130" s="3" t="s">
        <v>276</v>
      </c>
      <c r="D130" s="8">
        <v>42083</v>
      </c>
      <c r="E130" s="3">
        <v>1150</v>
      </c>
      <c r="F130" s="3" t="s">
        <v>25</v>
      </c>
      <c r="G130" s="3" t="s">
        <v>26</v>
      </c>
      <c r="H130" s="3">
        <v>812.7</v>
      </c>
      <c r="I130" s="3">
        <v>814.15</v>
      </c>
      <c r="J130" s="3">
        <v>815.6</v>
      </c>
      <c r="K130" s="3">
        <v>0.85</v>
      </c>
      <c r="L130" s="3">
        <v>1.03</v>
      </c>
      <c r="M130" s="3">
        <v>1.2</v>
      </c>
      <c r="N130" s="3">
        <v>0</v>
      </c>
      <c r="O130" s="3">
        <v>3.5229679213738363E-3</v>
      </c>
      <c r="P130" s="3">
        <v>2.6929711994445878E-2</v>
      </c>
      <c r="Q130" s="3">
        <v>0.35445970316443365</v>
      </c>
      <c r="R130" s="3">
        <v>814.0628173010648</v>
      </c>
      <c r="S130" s="3">
        <v>0.83998431809142815</v>
      </c>
      <c r="U130" s="3">
        <v>0.59995586251818622</v>
      </c>
      <c r="V130" s="3">
        <v>-0.24002845557324193</v>
      </c>
      <c r="X130" s="3">
        <v>0</v>
      </c>
      <c r="Y130" s="3">
        <v>0</v>
      </c>
      <c r="AA130" s="3">
        <v>0</v>
      </c>
      <c r="AB130" s="3">
        <v>0</v>
      </c>
      <c r="AC130" s="3">
        <v>0</v>
      </c>
    </row>
    <row r="131" spans="2:29" x14ac:dyDescent="0.2">
      <c r="B131" s="3" t="s">
        <v>277</v>
      </c>
      <c r="C131" s="3" t="s">
        <v>278</v>
      </c>
      <c r="D131" s="8">
        <v>42083</v>
      </c>
      <c r="E131" s="3">
        <v>1175</v>
      </c>
      <c r="F131" s="3" t="s">
        <v>25</v>
      </c>
      <c r="G131" s="3" t="s">
        <v>26</v>
      </c>
      <c r="H131" s="3">
        <v>787.9</v>
      </c>
      <c r="I131" s="3">
        <v>789.35</v>
      </c>
      <c r="J131" s="3">
        <v>790.8</v>
      </c>
      <c r="K131" s="3">
        <v>1</v>
      </c>
      <c r="L131" s="3">
        <v>1.18</v>
      </c>
      <c r="M131" s="3">
        <v>1.35</v>
      </c>
      <c r="N131" s="3">
        <v>1</v>
      </c>
      <c r="O131" s="3">
        <v>3.5229679213738363E-3</v>
      </c>
      <c r="P131" s="3">
        <v>2.6929711994445878E-2</v>
      </c>
      <c r="Q131" s="3">
        <v>0.35445970316443365</v>
      </c>
      <c r="R131" s="3">
        <v>789.39295608577868</v>
      </c>
      <c r="S131" s="3">
        <v>1.1358954778063293</v>
      </c>
      <c r="U131" s="3">
        <v>0.82014931475509911</v>
      </c>
      <c r="V131" s="3">
        <v>-0.31574616305123016</v>
      </c>
      <c r="X131" s="3">
        <v>0.7516523332219941</v>
      </c>
      <c r="Y131" s="3">
        <v>-0.38424314458433517</v>
      </c>
      <c r="AA131" s="3">
        <v>1</v>
      </c>
      <c r="AB131" s="3">
        <v>1</v>
      </c>
      <c r="AC131" s="3">
        <v>1</v>
      </c>
    </row>
    <row r="132" spans="2:29" x14ac:dyDescent="0.2">
      <c r="B132" s="3" t="s">
        <v>279</v>
      </c>
      <c r="C132" s="3" t="s">
        <v>280</v>
      </c>
      <c r="D132" s="8">
        <v>42083</v>
      </c>
      <c r="E132" s="3">
        <v>1200</v>
      </c>
      <c r="F132" s="3" t="s">
        <v>25</v>
      </c>
      <c r="G132" s="3" t="s">
        <v>26</v>
      </c>
      <c r="H132" s="3">
        <v>763.1</v>
      </c>
      <c r="I132" s="3">
        <v>764.6</v>
      </c>
      <c r="J132" s="3">
        <v>766.1</v>
      </c>
      <c r="K132" s="3">
        <v>1.2</v>
      </c>
      <c r="L132" s="3">
        <v>1.38</v>
      </c>
      <c r="M132" s="3">
        <v>1.55</v>
      </c>
      <c r="N132" s="3">
        <v>1</v>
      </c>
      <c r="O132" s="3">
        <v>3.5229679213738363E-3</v>
      </c>
      <c r="P132" s="3">
        <v>2.6929711994445878E-2</v>
      </c>
      <c r="Q132" s="3">
        <v>0.3478942097913158</v>
      </c>
      <c r="R132" s="3">
        <v>764.60795668717788</v>
      </c>
      <c r="S132" s="3">
        <v>1.3166684542064395</v>
      </c>
      <c r="U132" s="3">
        <v>0.7710968815600836</v>
      </c>
      <c r="V132" s="3">
        <v>-0.54557157264635592</v>
      </c>
      <c r="X132" s="3">
        <v>0.90748819772746603</v>
      </c>
      <c r="Y132" s="3">
        <v>-0.40918025647897349</v>
      </c>
      <c r="AA132" s="3">
        <v>1</v>
      </c>
      <c r="AB132" s="3">
        <v>1</v>
      </c>
      <c r="AC132" s="3">
        <v>1</v>
      </c>
    </row>
    <row r="133" spans="2:29" x14ac:dyDescent="0.2">
      <c r="B133" s="3" t="s">
        <v>281</v>
      </c>
      <c r="C133" s="3" t="s">
        <v>282</v>
      </c>
      <c r="D133" s="8">
        <v>42083</v>
      </c>
      <c r="E133" s="3">
        <v>1225</v>
      </c>
      <c r="F133" s="3" t="s">
        <v>25</v>
      </c>
      <c r="G133" s="3" t="s">
        <v>26</v>
      </c>
      <c r="H133" s="3">
        <v>738.3</v>
      </c>
      <c r="I133" s="3">
        <v>739.8</v>
      </c>
      <c r="J133" s="3">
        <v>741.3</v>
      </c>
      <c r="K133" s="3">
        <v>1.4</v>
      </c>
      <c r="L133" s="3">
        <v>1.5699999999999998</v>
      </c>
      <c r="M133" s="3">
        <v>1.75</v>
      </c>
      <c r="N133" s="3">
        <v>1</v>
      </c>
      <c r="O133" s="3">
        <v>3.5229679213738363E-3</v>
      </c>
      <c r="P133" s="3">
        <v>2.6929711994445878E-2</v>
      </c>
      <c r="Q133" s="3">
        <v>0.34132871641819795</v>
      </c>
      <c r="R133" s="3">
        <v>739.84725359938034</v>
      </c>
      <c r="S133" s="3">
        <v>1.5217377414096021</v>
      </c>
      <c r="U133" s="3">
        <v>1.1271109885636861</v>
      </c>
      <c r="V133" s="3">
        <v>-0.39462675284591597</v>
      </c>
      <c r="X133" s="3">
        <v>1.0913064457172876</v>
      </c>
      <c r="Y133" s="3">
        <v>-0.43043129569231442</v>
      </c>
      <c r="AA133" s="3">
        <v>1</v>
      </c>
      <c r="AB133" s="3">
        <v>1</v>
      </c>
      <c r="AC133" s="3">
        <v>1</v>
      </c>
    </row>
    <row r="134" spans="2:29" x14ac:dyDescent="0.2">
      <c r="B134" s="3" t="s">
        <v>283</v>
      </c>
      <c r="C134" s="3" t="s">
        <v>284</v>
      </c>
      <c r="D134" s="8">
        <v>42083</v>
      </c>
      <c r="E134" s="3">
        <v>1250</v>
      </c>
      <c r="F134" s="3" t="s">
        <v>25</v>
      </c>
      <c r="G134" s="3" t="s">
        <v>26</v>
      </c>
      <c r="H134" s="3">
        <v>713.6</v>
      </c>
      <c r="I134" s="3">
        <v>715.1</v>
      </c>
      <c r="J134" s="3">
        <v>716.6</v>
      </c>
      <c r="K134" s="3">
        <v>1.5</v>
      </c>
      <c r="L134" s="3">
        <v>1.73</v>
      </c>
      <c r="M134" s="3">
        <v>1.95</v>
      </c>
      <c r="N134" s="3">
        <v>1</v>
      </c>
      <c r="O134" s="3">
        <v>3.5229679213738363E-3</v>
      </c>
      <c r="P134" s="3">
        <v>2.6929711994445878E-2</v>
      </c>
      <c r="Q134" s="3">
        <v>0.3347181785188279</v>
      </c>
      <c r="R134" s="3">
        <v>715.11208690193735</v>
      </c>
      <c r="S134" s="3">
        <v>1.7523434189675378</v>
      </c>
      <c r="U134" s="3">
        <v>1.0866970000902256</v>
      </c>
      <c r="V134" s="3">
        <v>-0.66564641887731213</v>
      </c>
      <c r="X134" s="3">
        <v>1.3080171898625179</v>
      </c>
      <c r="Y134" s="3">
        <v>-0.44432622910501984</v>
      </c>
      <c r="AA134" s="3">
        <v>1</v>
      </c>
      <c r="AB134" s="3">
        <v>1</v>
      </c>
      <c r="AC134" s="3">
        <v>1</v>
      </c>
    </row>
    <row r="135" spans="2:29" x14ac:dyDescent="0.2">
      <c r="B135" s="3" t="s">
        <v>285</v>
      </c>
      <c r="C135" s="3" t="s">
        <v>286</v>
      </c>
      <c r="D135" s="8">
        <v>42083</v>
      </c>
      <c r="E135" s="3">
        <v>1275</v>
      </c>
      <c r="F135" s="3" t="s">
        <v>25</v>
      </c>
      <c r="G135" s="3" t="s">
        <v>26</v>
      </c>
      <c r="H135" s="3">
        <v>688.9</v>
      </c>
      <c r="I135" s="3">
        <v>690.4</v>
      </c>
      <c r="J135" s="3">
        <v>691.9</v>
      </c>
      <c r="K135" s="3">
        <v>1.8</v>
      </c>
      <c r="L135" s="3">
        <v>2.02</v>
      </c>
      <c r="M135" s="3">
        <v>2.25</v>
      </c>
      <c r="N135" s="3">
        <v>1</v>
      </c>
      <c r="O135" s="3">
        <v>3.5229679213738363E-3</v>
      </c>
      <c r="P135" s="3">
        <v>2.6929711994445878E-2</v>
      </c>
      <c r="Q135" s="3">
        <v>0.3281076406194578</v>
      </c>
      <c r="R135" s="3">
        <v>690.40696053861234</v>
      </c>
      <c r="S135" s="3">
        <v>2.0129894306433549</v>
      </c>
      <c r="U135" s="3">
        <v>1.674737402966457</v>
      </c>
      <c r="V135" s="3">
        <v>-0.33825202767689788</v>
      </c>
      <c r="X135" s="3">
        <v>1.5663088357411656</v>
      </c>
      <c r="Y135" s="3">
        <v>-0.44668059490218925</v>
      </c>
      <c r="AA135" s="3">
        <v>1</v>
      </c>
      <c r="AB135" s="3">
        <v>1</v>
      </c>
      <c r="AC135" s="3">
        <v>1</v>
      </c>
    </row>
    <row r="136" spans="2:29" x14ac:dyDescent="0.2">
      <c r="B136" s="3" t="s">
        <v>287</v>
      </c>
      <c r="C136" s="3" t="s">
        <v>288</v>
      </c>
      <c r="D136" s="8">
        <v>42083</v>
      </c>
      <c r="E136" s="3">
        <v>1300</v>
      </c>
      <c r="F136" s="3" t="s">
        <v>25</v>
      </c>
      <c r="G136" s="3" t="s">
        <v>26</v>
      </c>
      <c r="H136" s="3">
        <v>664.2</v>
      </c>
      <c r="I136" s="3">
        <v>665.75</v>
      </c>
      <c r="J136" s="3">
        <v>667.3</v>
      </c>
      <c r="K136" s="3">
        <v>2.1</v>
      </c>
      <c r="L136" s="3">
        <v>2.2999999999999998</v>
      </c>
      <c r="M136" s="3">
        <v>2.5</v>
      </c>
      <c r="N136" s="3">
        <v>1</v>
      </c>
      <c r="O136" s="3">
        <v>3.5229679213738363E-3</v>
      </c>
      <c r="P136" s="3">
        <v>2.6929711994445878E-2</v>
      </c>
      <c r="Q136" s="3">
        <v>0.32106891055132536</v>
      </c>
      <c r="R136" s="3">
        <v>665.71523546335993</v>
      </c>
      <c r="S136" s="3">
        <v>2.2870367303916623</v>
      </c>
      <c r="U136" s="3">
        <v>1.7574319376468566</v>
      </c>
      <c r="V136" s="3">
        <v>-0.52960479274480576</v>
      </c>
      <c r="X136" s="3">
        <v>1.8598457560515453</v>
      </c>
      <c r="Y136" s="3">
        <v>-0.42719097434011699</v>
      </c>
      <c r="AA136" s="3">
        <v>1</v>
      </c>
      <c r="AB136" s="3">
        <v>1</v>
      </c>
      <c r="AC136" s="3">
        <v>1</v>
      </c>
    </row>
    <row r="137" spans="2:29" x14ac:dyDescent="0.2">
      <c r="B137" s="3" t="s">
        <v>289</v>
      </c>
      <c r="C137" s="3" t="s">
        <v>290</v>
      </c>
      <c r="D137" s="8">
        <v>42083</v>
      </c>
      <c r="E137" s="3">
        <v>1325</v>
      </c>
      <c r="F137" s="3" t="s">
        <v>25</v>
      </c>
      <c r="G137" s="3" t="s">
        <v>26</v>
      </c>
      <c r="H137" s="3">
        <v>639.5</v>
      </c>
      <c r="I137" s="3">
        <v>641.04999999999995</v>
      </c>
      <c r="J137" s="3">
        <v>642.6</v>
      </c>
      <c r="K137" s="3">
        <v>2.4</v>
      </c>
      <c r="L137" s="3">
        <v>2.6</v>
      </c>
      <c r="M137" s="3">
        <v>2.8</v>
      </c>
      <c r="N137" s="3">
        <v>1</v>
      </c>
      <c r="O137" s="3">
        <v>3.5229679213738363E-3</v>
      </c>
      <c r="P137" s="3">
        <v>2.6929711994445878E-2</v>
      </c>
      <c r="Q137" s="3">
        <v>0.31403018048319287</v>
      </c>
      <c r="R137" s="3">
        <v>641.0562492564668</v>
      </c>
      <c r="S137" s="3">
        <v>2.593822898499468</v>
      </c>
      <c r="U137" s="3">
        <v>2.1744540733785698</v>
      </c>
      <c r="V137" s="3">
        <v>-0.41936882512089824</v>
      </c>
      <c r="X137" s="3">
        <v>2.1944356338369588</v>
      </c>
      <c r="Y137" s="3">
        <v>-0.39938726466250918</v>
      </c>
      <c r="AA137" s="3">
        <v>1</v>
      </c>
      <c r="AB137" s="3">
        <v>1</v>
      </c>
      <c r="AC137" s="3">
        <v>1</v>
      </c>
    </row>
    <row r="138" spans="2:29" x14ac:dyDescent="0.2">
      <c r="B138" s="3" t="s">
        <v>291</v>
      </c>
      <c r="C138" s="3" t="s">
        <v>292</v>
      </c>
      <c r="D138" s="8">
        <v>42083</v>
      </c>
      <c r="E138" s="3">
        <v>1350</v>
      </c>
      <c r="F138" s="3" t="s">
        <v>25</v>
      </c>
      <c r="G138" s="3" t="s">
        <v>26</v>
      </c>
      <c r="H138" s="3">
        <v>614.9</v>
      </c>
      <c r="I138" s="3">
        <v>616.5</v>
      </c>
      <c r="J138" s="3">
        <v>618.1</v>
      </c>
      <c r="K138" s="3">
        <v>2.75</v>
      </c>
      <c r="L138" s="3">
        <v>2.98</v>
      </c>
      <c r="M138" s="3">
        <v>3.2</v>
      </c>
      <c r="N138" s="3">
        <v>1</v>
      </c>
      <c r="O138" s="3">
        <v>3.5229679213738363E-3</v>
      </c>
      <c r="P138" s="3">
        <v>2.6929711994445878E-2</v>
      </c>
      <c r="Q138" s="3">
        <v>0.30783941448068447</v>
      </c>
      <c r="R138" s="3">
        <v>616.48423431739025</v>
      </c>
      <c r="S138" s="3">
        <v>2.9875803344239173</v>
      </c>
      <c r="U138" s="3">
        <v>2.4643235122554188</v>
      </c>
      <c r="V138" s="3">
        <v>-0.52325682216849856</v>
      </c>
      <c r="X138" s="3">
        <v>2.5857883428713881</v>
      </c>
      <c r="Y138" s="3">
        <v>-0.4017919915525292</v>
      </c>
      <c r="AA138" s="3">
        <v>1</v>
      </c>
      <c r="AB138" s="3">
        <v>1</v>
      </c>
      <c r="AC138" s="3">
        <v>1</v>
      </c>
    </row>
    <row r="139" spans="2:29" x14ac:dyDescent="0.2">
      <c r="B139" s="3" t="s">
        <v>293</v>
      </c>
      <c r="C139" s="3" t="s">
        <v>294</v>
      </c>
      <c r="D139" s="8">
        <v>42083</v>
      </c>
      <c r="E139" s="3">
        <v>1375</v>
      </c>
      <c r="F139" s="3" t="s">
        <v>25</v>
      </c>
      <c r="G139" s="3" t="s">
        <v>26</v>
      </c>
      <c r="H139" s="3">
        <v>590.4</v>
      </c>
      <c r="I139" s="3">
        <v>591.95000000000005</v>
      </c>
      <c r="J139" s="3">
        <v>593.5</v>
      </c>
      <c r="K139" s="3">
        <v>3.1</v>
      </c>
      <c r="L139" s="3">
        <v>3.45</v>
      </c>
      <c r="M139" s="3">
        <v>3.8</v>
      </c>
      <c r="N139" s="3">
        <v>1</v>
      </c>
      <c r="O139" s="3">
        <v>3.5229679213738363E-3</v>
      </c>
      <c r="P139" s="3">
        <v>2.6929711994445878E-2</v>
      </c>
      <c r="Q139" s="3">
        <v>0.30164864847817607</v>
      </c>
      <c r="R139" s="3">
        <v>591.96547907785293</v>
      </c>
      <c r="S139" s="3">
        <v>3.4345974698873647</v>
      </c>
      <c r="U139" s="3">
        <v>2.5854993729524267</v>
      </c>
      <c r="V139" s="3">
        <v>-0.84909809693493798</v>
      </c>
      <c r="X139" s="3">
        <v>3.032145088433801</v>
      </c>
      <c r="Y139" s="3">
        <v>-0.40245238145356366</v>
      </c>
      <c r="AA139" s="3">
        <v>1</v>
      </c>
      <c r="AB139" s="3">
        <v>1</v>
      </c>
      <c r="AC139" s="3">
        <v>1</v>
      </c>
    </row>
    <row r="140" spans="2:29" x14ac:dyDescent="0.2">
      <c r="B140" s="3" t="s">
        <v>295</v>
      </c>
      <c r="C140" s="3" t="s">
        <v>296</v>
      </c>
      <c r="D140" s="8">
        <v>42083</v>
      </c>
      <c r="E140" s="3">
        <v>1400</v>
      </c>
      <c r="F140" s="3" t="s">
        <v>25</v>
      </c>
      <c r="G140" s="3" t="s">
        <v>26</v>
      </c>
      <c r="H140" s="3">
        <v>565.9</v>
      </c>
      <c r="I140" s="3">
        <v>567.45000000000005</v>
      </c>
      <c r="J140" s="3">
        <v>569</v>
      </c>
      <c r="K140" s="3">
        <v>3.6</v>
      </c>
      <c r="L140" s="3">
        <v>3.9</v>
      </c>
      <c r="M140" s="3">
        <v>4.2</v>
      </c>
      <c r="N140" s="3">
        <v>1</v>
      </c>
      <c r="O140" s="3">
        <v>3.5229679213738363E-3</v>
      </c>
      <c r="P140" s="3">
        <v>2.6929711994445878E-2</v>
      </c>
      <c r="Q140" s="3">
        <v>0.29491613282490053</v>
      </c>
      <c r="R140" s="3">
        <v>567.46595707643701</v>
      </c>
      <c r="S140" s="3">
        <v>3.9008478434724196</v>
      </c>
      <c r="U140" s="3">
        <v>3.1937329009790574</v>
      </c>
      <c r="V140" s="3">
        <v>-0.70711494249336226</v>
      </c>
      <c r="X140" s="3">
        <v>3.5413619149545821</v>
      </c>
      <c r="Y140" s="3">
        <v>-0.35948592851783756</v>
      </c>
      <c r="AA140" s="3">
        <v>1</v>
      </c>
      <c r="AB140" s="3">
        <v>1</v>
      </c>
      <c r="AC140" s="3">
        <v>1</v>
      </c>
    </row>
    <row r="141" spans="2:29" x14ac:dyDescent="0.2">
      <c r="B141" s="3" t="s">
        <v>297</v>
      </c>
      <c r="C141" s="3" t="s">
        <v>298</v>
      </c>
      <c r="D141" s="8">
        <v>42083</v>
      </c>
      <c r="E141" s="3">
        <v>1425</v>
      </c>
      <c r="F141" s="3" t="s">
        <v>25</v>
      </c>
      <c r="G141" s="3" t="s">
        <v>26</v>
      </c>
      <c r="H141" s="3">
        <v>541.4</v>
      </c>
      <c r="I141" s="3">
        <v>543</v>
      </c>
      <c r="J141" s="3">
        <v>544.6</v>
      </c>
      <c r="K141" s="3">
        <v>4.0999999999999996</v>
      </c>
      <c r="L141" s="3">
        <v>4.45</v>
      </c>
      <c r="M141" s="3">
        <v>4.8</v>
      </c>
      <c r="N141" s="3">
        <v>1</v>
      </c>
      <c r="O141" s="3">
        <v>3.5229679213738363E-3</v>
      </c>
      <c r="P141" s="3">
        <v>2.6929711994445878E-2</v>
      </c>
      <c r="Q141" s="3">
        <v>0.288183617171625</v>
      </c>
      <c r="R141" s="3">
        <v>543.02465802136385</v>
      </c>
      <c r="S141" s="3">
        <v>4.4253211633999854</v>
      </c>
      <c r="U141" s="3">
        <v>3.6704788055991457</v>
      </c>
      <c r="V141" s="3">
        <v>-0.75484235780083964</v>
      </c>
      <c r="X141" s="3">
        <v>4.1142302235189865</v>
      </c>
      <c r="Y141" s="3">
        <v>-0.3110909398809989</v>
      </c>
      <c r="AA141" s="3">
        <v>1</v>
      </c>
      <c r="AB141" s="3">
        <v>0</v>
      </c>
      <c r="AC141" s="3">
        <v>1</v>
      </c>
    </row>
    <row r="142" spans="2:29" x14ac:dyDescent="0.2">
      <c r="B142" s="3" t="s">
        <v>299</v>
      </c>
      <c r="C142" s="3" t="s">
        <v>300</v>
      </c>
      <c r="D142" s="8">
        <v>42083</v>
      </c>
      <c r="E142" s="3">
        <v>1450</v>
      </c>
      <c r="F142" s="3" t="s">
        <v>25</v>
      </c>
      <c r="G142" s="3" t="s">
        <v>26</v>
      </c>
      <c r="H142" s="3">
        <v>517</v>
      </c>
      <c r="I142" s="3">
        <v>518.6</v>
      </c>
      <c r="J142" s="3">
        <v>520.20000000000005</v>
      </c>
      <c r="K142" s="3">
        <v>4.5999999999999996</v>
      </c>
      <c r="L142" s="3">
        <v>5</v>
      </c>
      <c r="M142" s="3">
        <v>5.4</v>
      </c>
      <c r="N142" s="3">
        <v>1</v>
      </c>
      <c r="O142" s="3">
        <v>3.5229679213738363E-3</v>
      </c>
      <c r="P142" s="3">
        <v>2.6929711994445878E-2</v>
      </c>
      <c r="Q142" s="3">
        <v>0.28126359206413826</v>
      </c>
      <c r="R142" s="3">
        <v>518.63152244408911</v>
      </c>
      <c r="S142" s="3">
        <v>4.9979579611260476</v>
      </c>
      <c r="U142" s="3">
        <v>4.7824985766995951</v>
      </c>
      <c r="V142" s="3">
        <v>-0.21545938442645252</v>
      </c>
      <c r="X142" s="3">
        <v>4.7684057976371639</v>
      </c>
      <c r="Y142" s="3">
        <v>-0.22955216348888374</v>
      </c>
      <c r="AA142" s="3">
        <v>1</v>
      </c>
      <c r="AB142" s="3">
        <v>0</v>
      </c>
      <c r="AC142" s="3">
        <v>0</v>
      </c>
    </row>
    <row r="143" spans="2:29" x14ac:dyDescent="0.2">
      <c r="B143" s="3" t="s">
        <v>301</v>
      </c>
      <c r="C143" s="3" t="s">
        <v>302</v>
      </c>
      <c r="D143" s="8">
        <v>42083</v>
      </c>
      <c r="E143" s="3">
        <v>1475</v>
      </c>
      <c r="F143" s="3" t="s">
        <v>25</v>
      </c>
      <c r="G143" s="3" t="s">
        <v>26</v>
      </c>
      <c r="H143" s="3">
        <v>492.7</v>
      </c>
      <c r="I143" s="3">
        <v>494.35</v>
      </c>
      <c r="J143" s="3">
        <v>496</v>
      </c>
      <c r="K143" s="3">
        <v>5.2</v>
      </c>
      <c r="L143" s="3">
        <v>5.6</v>
      </c>
      <c r="M143" s="3">
        <v>6</v>
      </c>
      <c r="N143" s="3">
        <v>1</v>
      </c>
      <c r="O143" s="3">
        <v>3.5229679213738363E-3</v>
      </c>
      <c r="P143" s="3">
        <v>2.6929711994445878E-2</v>
      </c>
      <c r="Q143" s="3">
        <v>0.27434356695665152</v>
      </c>
      <c r="R143" s="3">
        <v>494.30875734817278</v>
      </c>
      <c r="S143" s="3">
        <v>5.6409652402104768</v>
      </c>
      <c r="U143" s="3">
        <v>4.962789846355804</v>
      </c>
      <c r="V143" s="3">
        <v>-0.67817539385467285</v>
      </c>
      <c r="X143" s="3">
        <v>5.5267815295047571</v>
      </c>
      <c r="Y143" s="3">
        <v>-0.11418371070571975</v>
      </c>
      <c r="AA143" s="3">
        <v>1</v>
      </c>
      <c r="AB143" s="3">
        <v>0</v>
      </c>
      <c r="AC143" s="3">
        <v>1</v>
      </c>
    </row>
    <row r="144" spans="2:29" x14ac:dyDescent="0.2">
      <c r="B144" s="3" t="s">
        <v>303</v>
      </c>
      <c r="C144" s="3" t="s">
        <v>304</v>
      </c>
      <c r="D144" s="8">
        <v>42083</v>
      </c>
      <c r="E144" s="3">
        <v>1500</v>
      </c>
      <c r="F144" s="3" t="s">
        <v>25</v>
      </c>
      <c r="G144" s="3" t="s">
        <v>26</v>
      </c>
      <c r="H144" s="3">
        <v>468.5</v>
      </c>
      <c r="I144" s="3">
        <v>470.15</v>
      </c>
      <c r="J144" s="3">
        <v>471.8</v>
      </c>
      <c r="K144" s="3">
        <v>6</v>
      </c>
      <c r="L144" s="3">
        <v>6.4</v>
      </c>
      <c r="M144" s="3">
        <v>6.8</v>
      </c>
      <c r="N144" s="3">
        <v>1</v>
      </c>
      <c r="O144" s="3">
        <v>3.5229679213738363E-3</v>
      </c>
      <c r="P144" s="3">
        <v>2.6929711994445878E-2</v>
      </c>
      <c r="Q144" s="3">
        <v>0.26793202941352856</v>
      </c>
      <c r="R144" s="3">
        <v>470.12427615028992</v>
      </c>
      <c r="S144" s="3">
        <v>6.422256417328839</v>
      </c>
      <c r="U144" s="3">
        <v>5.8323650259440569</v>
      </c>
      <c r="V144" s="3">
        <v>-0.58989139138478208</v>
      </c>
      <c r="X144" s="3">
        <v>6.3981672514233505</v>
      </c>
      <c r="Y144" s="3">
        <v>-2.4089165905488485E-2</v>
      </c>
      <c r="AA144" s="3">
        <v>1</v>
      </c>
      <c r="AB144" s="3">
        <v>0</v>
      </c>
      <c r="AC144" s="3">
        <v>1</v>
      </c>
    </row>
    <row r="145" spans="2:29" x14ac:dyDescent="0.2">
      <c r="B145" s="3" t="s">
        <v>305</v>
      </c>
      <c r="C145" s="3" t="s">
        <v>306</v>
      </c>
      <c r="D145" s="8">
        <v>42083</v>
      </c>
      <c r="E145" s="3">
        <v>1525</v>
      </c>
      <c r="F145" s="3" t="s">
        <v>25</v>
      </c>
      <c r="G145" s="3" t="s">
        <v>26</v>
      </c>
      <c r="H145" s="3">
        <v>444.4</v>
      </c>
      <c r="I145" s="3">
        <v>446.05</v>
      </c>
      <c r="J145" s="3">
        <v>447.7</v>
      </c>
      <c r="K145" s="3">
        <v>6.8</v>
      </c>
      <c r="L145" s="3">
        <v>7.3</v>
      </c>
      <c r="M145" s="3">
        <v>7.8</v>
      </c>
      <c r="N145" s="3">
        <v>1</v>
      </c>
      <c r="O145" s="3">
        <v>3.5229679213738363E-3</v>
      </c>
      <c r="P145" s="3">
        <v>2.6929711994445878E-2</v>
      </c>
      <c r="Q145" s="3">
        <v>0.26152049187040555</v>
      </c>
      <c r="R145" s="3">
        <v>446.04312201282846</v>
      </c>
      <c r="S145" s="3">
        <v>7.3068746548680394</v>
      </c>
      <c r="U145" s="3">
        <v>7.5210877560856488</v>
      </c>
      <c r="V145" s="3">
        <v>0.21421310121760939</v>
      </c>
      <c r="X145" s="3">
        <v>7.3878666483514666</v>
      </c>
      <c r="Y145" s="3">
        <v>8.0991993483427116E-2</v>
      </c>
      <c r="AA145" s="3">
        <v>1</v>
      </c>
      <c r="AB145" s="3">
        <v>0</v>
      </c>
      <c r="AC145" s="3">
        <v>0</v>
      </c>
    </row>
    <row r="146" spans="2:29" x14ac:dyDescent="0.2">
      <c r="B146" s="3" t="s">
        <v>307</v>
      </c>
      <c r="C146" s="3" t="s">
        <v>308</v>
      </c>
      <c r="D146" s="8">
        <v>42083</v>
      </c>
      <c r="E146" s="3">
        <v>1550</v>
      </c>
      <c r="F146" s="3" t="s">
        <v>25</v>
      </c>
      <c r="G146" s="3" t="s">
        <v>26</v>
      </c>
      <c r="H146" s="3">
        <v>420.5</v>
      </c>
      <c r="I146" s="3">
        <v>422.15</v>
      </c>
      <c r="J146" s="3">
        <v>423.8</v>
      </c>
      <c r="K146" s="3">
        <v>7.8</v>
      </c>
      <c r="L146" s="3">
        <v>8.3000000000000007</v>
      </c>
      <c r="M146" s="3">
        <v>8.8000000000000007</v>
      </c>
      <c r="N146" s="3">
        <v>1</v>
      </c>
      <c r="O146" s="3">
        <v>3.5229679213738363E-3</v>
      </c>
      <c r="P146" s="3">
        <v>2.6929711994445878E-2</v>
      </c>
      <c r="Q146" s="3">
        <v>0.25543138887094952</v>
      </c>
      <c r="R146" s="3">
        <v>422.12563475786669</v>
      </c>
      <c r="S146" s="3">
        <v>8.3551597749071931</v>
      </c>
      <c r="U146" s="3">
        <v>8.1719835890015702</v>
      </c>
      <c r="V146" s="3">
        <v>-0.1831761859056229</v>
      </c>
      <c r="X146" s="3">
        <v>8.501501343398985</v>
      </c>
      <c r="Y146" s="3">
        <v>0.14634156849179192</v>
      </c>
      <c r="AA146" s="3">
        <v>1</v>
      </c>
      <c r="AB146" s="3">
        <v>0</v>
      </c>
      <c r="AC146" s="3">
        <v>0</v>
      </c>
    </row>
    <row r="147" spans="2:29" x14ac:dyDescent="0.2">
      <c r="B147" s="3" t="s">
        <v>309</v>
      </c>
      <c r="C147" s="3" t="s">
        <v>310</v>
      </c>
      <c r="D147" s="8">
        <v>42083</v>
      </c>
      <c r="E147" s="3">
        <v>1575</v>
      </c>
      <c r="F147" s="3" t="s">
        <v>25</v>
      </c>
      <c r="G147" s="3" t="s">
        <v>26</v>
      </c>
      <c r="H147" s="3">
        <v>396.7</v>
      </c>
      <c r="I147" s="3">
        <v>398.35</v>
      </c>
      <c r="J147" s="3">
        <v>400</v>
      </c>
      <c r="K147" s="3">
        <v>8.9</v>
      </c>
      <c r="L147" s="3">
        <v>9.5500000000000007</v>
      </c>
      <c r="M147" s="3">
        <v>10.199999999999999</v>
      </c>
      <c r="N147" s="3">
        <v>1</v>
      </c>
      <c r="O147" s="3">
        <v>3.5229679213738363E-3</v>
      </c>
      <c r="P147" s="3">
        <v>2.6929711994445878E-2</v>
      </c>
      <c r="Q147" s="3">
        <v>0.24934228587149354</v>
      </c>
      <c r="R147" s="3">
        <v>398.35235118793184</v>
      </c>
      <c r="S147" s="3">
        <v>9.5476485799732984</v>
      </c>
      <c r="U147" s="3">
        <v>9.7103022879609284</v>
      </c>
      <c r="V147" s="3">
        <v>0.16265370798763001</v>
      </c>
      <c r="X147" s="3">
        <v>9.7520815553983109</v>
      </c>
      <c r="Y147" s="3">
        <v>0.20443297542501249</v>
      </c>
      <c r="AA147" s="3">
        <v>1</v>
      </c>
      <c r="AB147" s="3">
        <v>0</v>
      </c>
      <c r="AC147" s="3">
        <v>0</v>
      </c>
    </row>
    <row r="148" spans="2:29" x14ac:dyDescent="0.2">
      <c r="B148" s="3" t="s">
        <v>311</v>
      </c>
      <c r="C148" s="3" t="s">
        <v>312</v>
      </c>
      <c r="D148" s="8">
        <v>42083</v>
      </c>
      <c r="E148" s="3">
        <v>1600</v>
      </c>
      <c r="F148" s="3" t="s">
        <v>25</v>
      </c>
      <c r="G148" s="3" t="s">
        <v>26</v>
      </c>
      <c r="H148" s="3">
        <v>373.1</v>
      </c>
      <c r="I148" s="3">
        <v>374.75</v>
      </c>
      <c r="J148" s="3">
        <v>376.4</v>
      </c>
      <c r="K148" s="3">
        <v>10.199999999999999</v>
      </c>
      <c r="L148" s="3">
        <v>10.95</v>
      </c>
      <c r="M148" s="3">
        <v>11.7</v>
      </c>
      <c r="N148" s="3">
        <v>1</v>
      </c>
      <c r="O148" s="3">
        <v>3.5229679213738363E-3</v>
      </c>
      <c r="P148" s="3">
        <v>2.6929711994445878E-2</v>
      </c>
      <c r="Q148" s="3">
        <v>0.24339962330075315</v>
      </c>
      <c r="R148" s="3">
        <v>374.76945758233387</v>
      </c>
      <c r="S148" s="3">
        <v>10.93052734937632</v>
      </c>
      <c r="U148" s="3">
        <v>11.183441937297005</v>
      </c>
      <c r="V148" s="3">
        <v>0.25291458792068511</v>
      </c>
      <c r="X148" s="3">
        <v>11.171991650819406</v>
      </c>
      <c r="Y148" s="3">
        <v>0.24146430144308617</v>
      </c>
      <c r="AA148" s="3">
        <v>1</v>
      </c>
      <c r="AB148" s="3">
        <v>0</v>
      </c>
      <c r="AC148" s="3">
        <v>0</v>
      </c>
    </row>
    <row r="149" spans="2:29" x14ac:dyDescent="0.2">
      <c r="B149" s="3" t="s">
        <v>313</v>
      </c>
      <c r="C149" s="3" t="s">
        <v>314</v>
      </c>
      <c r="D149" s="8">
        <v>42083</v>
      </c>
      <c r="E149" s="3">
        <v>1625</v>
      </c>
      <c r="F149" s="3" t="s">
        <v>25</v>
      </c>
      <c r="G149" s="3" t="s">
        <v>26</v>
      </c>
      <c r="H149" s="3">
        <v>349.6</v>
      </c>
      <c r="I149" s="3">
        <v>351.3</v>
      </c>
      <c r="J149" s="3">
        <v>353</v>
      </c>
      <c r="K149" s="3">
        <v>11.7</v>
      </c>
      <c r="L149" s="3">
        <v>12.4</v>
      </c>
      <c r="M149" s="3">
        <v>13.1</v>
      </c>
      <c r="N149" s="3">
        <v>1</v>
      </c>
      <c r="O149" s="3">
        <v>3.5229679213738363E-3</v>
      </c>
      <c r="P149" s="3">
        <v>2.6929711994445878E-2</v>
      </c>
      <c r="Q149" s="3">
        <v>0.23697643447450042</v>
      </c>
      <c r="R149" s="3">
        <v>351.28661407484856</v>
      </c>
      <c r="S149" s="3">
        <v>12.413456216891433</v>
      </c>
      <c r="U149" s="3">
        <v>12.58973023870368</v>
      </c>
      <c r="V149" s="3">
        <v>0.17627402181224738</v>
      </c>
      <c r="X149" s="3">
        <v>12.783001443389558</v>
      </c>
      <c r="Y149" s="3">
        <v>0.3695452264981256</v>
      </c>
      <c r="AA149" s="3">
        <v>1</v>
      </c>
      <c r="AB149" s="3">
        <v>0</v>
      </c>
      <c r="AC149" s="3">
        <v>0</v>
      </c>
    </row>
    <row r="150" spans="2:29" x14ac:dyDescent="0.2">
      <c r="B150" s="3" t="s">
        <v>315</v>
      </c>
      <c r="C150" s="3" t="s">
        <v>316</v>
      </c>
      <c r="D150" s="8">
        <v>42083</v>
      </c>
      <c r="E150" s="3">
        <v>1650</v>
      </c>
      <c r="F150" s="3" t="s">
        <v>25</v>
      </c>
      <c r="G150" s="3" t="s">
        <v>26</v>
      </c>
      <c r="H150" s="3">
        <v>326.39999999999998</v>
      </c>
      <c r="I150" s="3">
        <v>328.1</v>
      </c>
      <c r="J150" s="3">
        <v>329.8</v>
      </c>
      <c r="K150" s="3">
        <v>13.4</v>
      </c>
      <c r="L150" s="3">
        <v>14.15</v>
      </c>
      <c r="M150" s="3">
        <v>14.9</v>
      </c>
      <c r="N150" s="3">
        <v>1</v>
      </c>
      <c r="O150" s="3">
        <v>3.5229679213738363E-3</v>
      </c>
      <c r="P150" s="3">
        <v>2.6929711994445878E-2</v>
      </c>
      <c r="Q150" s="3">
        <v>0.23089285243033991</v>
      </c>
      <c r="R150" s="3">
        <v>328.07867531808233</v>
      </c>
      <c r="S150" s="3">
        <v>14.171289835126629</v>
      </c>
      <c r="U150" s="3">
        <v>13.933557257441009</v>
      </c>
      <c r="V150" s="3">
        <v>-0.23773257768561962</v>
      </c>
      <c r="X150" s="3">
        <v>14.604847479551301</v>
      </c>
      <c r="Y150" s="3">
        <v>0.43355764442467226</v>
      </c>
      <c r="AA150" s="3">
        <v>1</v>
      </c>
      <c r="AB150" s="3">
        <v>0</v>
      </c>
      <c r="AC150" s="3">
        <v>0</v>
      </c>
    </row>
    <row r="151" spans="2:29" x14ac:dyDescent="0.2">
      <c r="B151" s="3" t="s">
        <v>317</v>
      </c>
      <c r="C151" s="3" t="s">
        <v>318</v>
      </c>
      <c r="D151" s="8">
        <v>42083</v>
      </c>
      <c r="E151" s="3">
        <v>1675</v>
      </c>
      <c r="F151" s="3" t="s">
        <v>25</v>
      </c>
      <c r="G151" s="3" t="s">
        <v>26</v>
      </c>
      <c r="H151" s="3">
        <v>303.5</v>
      </c>
      <c r="I151" s="3">
        <v>305.2</v>
      </c>
      <c r="J151" s="3">
        <v>306.89999999999998</v>
      </c>
      <c r="K151" s="3">
        <v>15.4</v>
      </c>
      <c r="L151" s="3">
        <v>16.2</v>
      </c>
      <c r="M151" s="3">
        <v>17</v>
      </c>
      <c r="N151" s="3">
        <v>1</v>
      </c>
      <c r="O151" s="3">
        <v>3.5229679213738363E-3</v>
      </c>
      <c r="P151" s="3">
        <v>2.6929711994445878E-2</v>
      </c>
      <c r="Q151" s="3">
        <v>0.22503675205983603</v>
      </c>
      <c r="R151" s="3">
        <v>305.17079638388554</v>
      </c>
      <c r="S151" s="3">
        <v>16.229183275930467</v>
      </c>
      <c r="U151" s="3">
        <v>16.425675686071372</v>
      </c>
      <c r="V151" s="3">
        <v>0.19649241014090535</v>
      </c>
      <c r="X151" s="3">
        <v>16.654841805365287</v>
      </c>
      <c r="Y151" s="3">
        <v>0.42565852943481985</v>
      </c>
      <c r="AA151" s="3">
        <v>1</v>
      </c>
      <c r="AB151" s="3">
        <v>0</v>
      </c>
      <c r="AC151" s="3">
        <v>0</v>
      </c>
    </row>
    <row r="152" spans="2:29" x14ac:dyDescent="0.2">
      <c r="B152" s="3" t="s">
        <v>319</v>
      </c>
      <c r="C152" s="3" t="s">
        <v>320</v>
      </c>
      <c r="D152" s="8">
        <v>42083</v>
      </c>
      <c r="E152" s="3">
        <v>1700</v>
      </c>
      <c r="F152" s="3" t="s">
        <v>25</v>
      </c>
      <c r="G152" s="3" t="s">
        <v>26</v>
      </c>
      <c r="H152" s="3">
        <v>280.8</v>
      </c>
      <c r="I152" s="3">
        <v>282.5</v>
      </c>
      <c r="J152" s="3">
        <v>284.2</v>
      </c>
      <c r="K152" s="3">
        <v>17.600000000000001</v>
      </c>
      <c r="L152" s="3">
        <v>18.399999999999999</v>
      </c>
      <c r="M152" s="3">
        <v>19.2</v>
      </c>
      <c r="N152" s="3">
        <v>1</v>
      </c>
      <c r="O152" s="3">
        <v>3.5229679213738363E-3</v>
      </c>
      <c r="P152" s="3">
        <v>2.6929711994445878E-2</v>
      </c>
      <c r="Q152" s="3">
        <v>0.21872464108137754</v>
      </c>
      <c r="R152" s="3">
        <v>282.43785711303508</v>
      </c>
      <c r="S152" s="3">
        <v>18.462016380080712</v>
      </c>
      <c r="U152" s="3">
        <v>18.95499967894574</v>
      </c>
      <c r="V152" s="3">
        <v>0.49298329886502756</v>
      </c>
      <c r="X152" s="3">
        <v>18.968442697635059</v>
      </c>
      <c r="Y152" s="3">
        <v>0.50642631755434664</v>
      </c>
      <c r="AA152" s="3">
        <v>1</v>
      </c>
      <c r="AB152" s="3">
        <v>0</v>
      </c>
      <c r="AC152" s="3">
        <v>0</v>
      </c>
    </row>
    <row r="153" spans="2:29" x14ac:dyDescent="0.2">
      <c r="B153" s="3" t="s">
        <v>321</v>
      </c>
      <c r="C153" s="3" t="s">
        <v>322</v>
      </c>
      <c r="D153" s="8">
        <v>42083</v>
      </c>
      <c r="E153" s="3">
        <v>1725</v>
      </c>
      <c r="F153" s="3" t="s">
        <v>25</v>
      </c>
      <c r="G153" s="3" t="s">
        <v>26</v>
      </c>
      <c r="H153" s="3">
        <v>258.60000000000002</v>
      </c>
      <c r="I153" s="3">
        <v>260.3</v>
      </c>
      <c r="J153" s="3">
        <v>262</v>
      </c>
      <c r="K153" s="3">
        <v>20.3</v>
      </c>
      <c r="L153" s="3">
        <v>21.1</v>
      </c>
      <c r="M153" s="3">
        <v>21.9</v>
      </c>
      <c r="N153" s="3">
        <v>1</v>
      </c>
      <c r="O153" s="3">
        <v>3.5229679213738363E-3</v>
      </c>
      <c r="P153" s="3">
        <v>2.6929711994445878E-2</v>
      </c>
      <c r="Q153" s="3">
        <v>0.21307306856392672</v>
      </c>
      <c r="R153" s="3">
        <v>260.20497747699119</v>
      </c>
      <c r="S153" s="3">
        <v>21.194909119037789</v>
      </c>
      <c r="U153" s="3">
        <v>21.542667796444107</v>
      </c>
      <c r="V153" s="3">
        <v>0.34775867740631838</v>
      </c>
      <c r="X153" s="3">
        <v>21.573365599308808</v>
      </c>
      <c r="Y153" s="3">
        <v>0.3784564802710193</v>
      </c>
      <c r="AA153" s="3">
        <v>1</v>
      </c>
      <c r="AB153" s="3">
        <v>0</v>
      </c>
      <c r="AC153" s="3">
        <v>0</v>
      </c>
    </row>
    <row r="154" spans="2:29" x14ac:dyDescent="0.2">
      <c r="B154" s="3" t="s">
        <v>323</v>
      </c>
      <c r="C154" s="3" t="s">
        <v>324</v>
      </c>
      <c r="D154" s="8">
        <v>42083</v>
      </c>
      <c r="E154" s="3">
        <v>1750</v>
      </c>
      <c r="F154" s="3" t="s">
        <v>25</v>
      </c>
      <c r="G154" s="3" t="s">
        <v>26</v>
      </c>
      <c r="H154" s="3">
        <v>236.7</v>
      </c>
      <c r="I154" s="3">
        <v>238.35</v>
      </c>
      <c r="J154" s="3">
        <v>240</v>
      </c>
      <c r="K154" s="3">
        <v>23.3</v>
      </c>
      <c r="L154" s="3">
        <v>24.15</v>
      </c>
      <c r="M154" s="3">
        <v>25</v>
      </c>
      <c r="N154" s="3">
        <v>1</v>
      </c>
      <c r="O154" s="3">
        <v>3.5229679213738363E-3</v>
      </c>
      <c r="P154" s="3">
        <v>2.6929711994445878E-2</v>
      </c>
      <c r="Q154" s="3">
        <v>0.20711721834424107</v>
      </c>
      <c r="R154" s="3">
        <v>238.2721211931289</v>
      </c>
      <c r="S154" s="3">
        <v>24.227825210176263</v>
      </c>
      <c r="U154" s="3">
        <v>24.219373144969921</v>
      </c>
      <c r="V154" s="3">
        <v>-8.4520652063417856E-3</v>
      </c>
      <c r="X154" s="3">
        <v>24.522251165434284</v>
      </c>
      <c r="Y154" s="3">
        <v>0.29442595525802062</v>
      </c>
      <c r="AA154" s="3">
        <v>1</v>
      </c>
      <c r="AB154" s="3">
        <v>0</v>
      </c>
      <c r="AC154" s="3">
        <v>0</v>
      </c>
    </row>
    <row r="155" spans="2:29" x14ac:dyDescent="0.2">
      <c r="B155" s="3" t="s">
        <v>325</v>
      </c>
      <c r="C155" s="3" t="s">
        <v>326</v>
      </c>
      <c r="D155" s="8">
        <v>42083</v>
      </c>
      <c r="E155" s="3">
        <v>1775</v>
      </c>
      <c r="F155" s="3" t="s">
        <v>25</v>
      </c>
      <c r="G155" s="3" t="s">
        <v>26</v>
      </c>
      <c r="H155" s="3">
        <v>215.2</v>
      </c>
      <c r="I155" s="3">
        <v>216.75</v>
      </c>
      <c r="J155" s="3">
        <v>218.3</v>
      </c>
      <c r="K155" s="3">
        <v>26.7</v>
      </c>
      <c r="L155" s="3">
        <v>27.75</v>
      </c>
      <c r="M155" s="3">
        <v>28.8</v>
      </c>
      <c r="N155" s="3">
        <v>1</v>
      </c>
      <c r="O155" s="3">
        <v>3.5229679213738363E-3</v>
      </c>
      <c r="P155" s="3">
        <v>2.6929711994445878E-2</v>
      </c>
      <c r="Q155" s="3">
        <v>0.20120931174274664</v>
      </c>
      <c r="R155" s="3">
        <v>216.78925396020918</v>
      </c>
      <c r="S155" s="3">
        <v>27.710730352257485</v>
      </c>
      <c r="U155" s="3">
        <v>28.330992464700444</v>
      </c>
      <c r="V155" s="3">
        <v>0.62026211244295837</v>
      </c>
      <c r="X155" s="3">
        <v>27.869125609307314</v>
      </c>
      <c r="Y155" s="3">
        <v>0.15839525704982904</v>
      </c>
      <c r="AA155" s="3">
        <v>1</v>
      </c>
      <c r="AB155" s="3">
        <v>0</v>
      </c>
      <c r="AC155" s="3">
        <v>0</v>
      </c>
    </row>
    <row r="156" spans="2:29" x14ac:dyDescent="0.2">
      <c r="B156" s="3" t="s">
        <v>327</v>
      </c>
      <c r="C156" s="3" t="s">
        <v>328</v>
      </c>
      <c r="D156" s="8">
        <v>42083</v>
      </c>
      <c r="E156" s="3">
        <v>1800</v>
      </c>
      <c r="F156" s="3" t="s">
        <v>25</v>
      </c>
      <c r="G156" s="3" t="s">
        <v>26</v>
      </c>
      <c r="H156" s="3">
        <v>194.4</v>
      </c>
      <c r="I156" s="3">
        <v>195.9</v>
      </c>
      <c r="J156" s="3">
        <v>197.4</v>
      </c>
      <c r="K156" s="3">
        <v>30.7</v>
      </c>
      <c r="L156" s="3">
        <v>31.75</v>
      </c>
      <c r="M156" s="3">
        <v>32.799999999999997</v>
      </c>
      <c r="N156" s="3">
        <v>1</v>
      </c>
      <c r="O156" s="3">
        <v>3.5229679213738363E-3</v>
      </c>
      <c r="P156" s="3">
        <v>2.6929711994445878E-2</v>
      </c>
      <c r="Q156" s="3">
        <v>0.19551048437644358</v>
      </c>
      <c r="R156" s="3">
        <v>195.88137358111999</v>
      </c>
      <c r="S156" s="3">
        <v>31.768622348169174</v>
      </c>
      <c r="U156" s="3">
        <v>31.34273269082874</v>
      </c>
      <c r="V156" s="3">
        <v>-0.42588965734043427</v>
      </c>
      <c r="X156" s="3">
        <v>31.674400575541643</v>
      </c>
      <c r="Y156" s="3">
        <v>-9.4221772627530953E-2</v>
      </c>
      <c r="AA156" s="3">
        <v>1</v>
      </c>
      <c r="AB156" s="3">
        <v>0</v>
      </c>
      <c r="AC156" s="3">
        <v>0</v>
      </c>
    </row>
    <row r="157" spans="2:29" x14ac:dyDescent="0.2">
      <c r="B157" s="3" t="s">
        <v>329</v>
      </c>
      <c r="C157" s="3" t="s">
        <v>330</v>
      </c>
      <c r="D157" s="8">
        <v>42083</v>
      </c>
      <c r="E157" s="3">
        <v>1825</v>
      </c>
      <c r="F157" s="3" t="s">
        <v>25</v>
      </c>
      <c r="G157" s="3" t="s">
        <v>26</v>
      </c>
      <c r="H157" s="3">
        <v>174</v>
      </c>
      <c r="I157" s="3">
        <v>175.25</v>
      </c>
      <c r="J157" s="3">
        <v>176.5</v>
      </c>
      <c r="K157" s="3">
        <v>35.1</v>
      </c>
      <c r="L157" s="3">
        <v>36.1</v>
      </c>
      <c r="M157" s="3">
        <v>37.1</v>
      </c>
      <c r="N157" s="3">
        <v>1</v>
      </c>
      <c r="O157" s="3">
        <v>3.5229679213738363E-3</v>
      </c>
      <c r="P157" s="3">
        <v>2.6929711994445878E-2</v>
      </c>
      <c r="Q157" s="3">
        <v>0.18901725543604792</v>
      </c>
      <c r="R157" s="3">
        <v>175.24850868104772</v>
      </c>
      <c r="S157" s="3">
        <v>36.101529823097678</v>
      </c>
      <c r="U157" s="3">
        <v>35.935574401063292</v>
      </c>
      <c r="V157" s="3">
        <v>-0.1659554220343864</v>
      </c>
      <c r="X157" s="3">
        <v>35.999005949468838</v>
      </c>
      <c r="Y157" s="3">
        <v>-0.10252387362884008</v>
      </c>
      <c r="AA157" s="3">
        <v>1</v>
      </c>
      <c r="AB157" s="3">
        <v>0</v>
      </c>
      <c r="AC157" s="3">
        <v>0</v>
      </c>
    </row>
    <row r="158" spans="2:29" x14ac:dyDescent="0.2">
      <c r="B158" s="3" t="s">
        <v>331</v>
      </c>
      <c r="C158" s="3" t="s">
        <v>332</v>
      </c>
      <c r="D158" s="8">
        <v>42083</v>
      </c>
      <c r="E158" s="3">
        <v>1850</v>
      </c>
      <c r="F158" s="3" t="s">
        <v>25</v>
      </c>
      <c r="G158" s="3" t="s">
        <v>26</v>
      </c>
      <c r="H158" s="3">
        <v>154.1</v>
      </c>
      <c r="I158" s="3">
        <v>155.25</v>
      </c>
      <c r="J158" s="3">
        <v>156.4</v>
      </c>
      <c r="K158" s="3">
        <v>40.200000000000003</v>
      </c>
      <c r="L158" s="3">
        <v>41.15</v>
      </c>
      <c r="M158" s="3">
        <v>42.1</v>
      </c>
      <c r="N158" s="3">
        <v>1</v>
      </c>
      <c r="O158" s="3">
        <v>3.5229679213738363E-3</v>
      </c>
      <c r="P158" s="3">
        <v>2.6929711994445878E-2</v>
      </c>
      <c r="Q158" s="3">
        <v>0.1826517184803288</v>
      </c>
      <c r="R158" s="3">
        <v>155.29059950821988</v>
      </c>
      <c r="S158" s="3">
        <v>41.10939302527072</v>
      </c>
      <c r="U158" s="3">
        <v>40.878784360848243</v>
      </c>
      <c r="V158" s="3">
        <v>-0.23060866442247629</v>
      </c>
      <c r="X158" s="3">
        <v>40.916456251414424</v>
      </c>
      <c r="Y158" s="3">
        <v>-0.19293677385629593</v>
      </c>
      <c r="AA158" s="3">
        <v>1</v>
      </c>
      <c r="AB158" s="3">
        <v>0</v>
      </c>
      <c r="AC158" s="3">
        <v>0</v>
      </c>
    </row>
    <row r="159" spans="2:29" x14ac:dyDescent="0.2">
      <c r="B159" s="3" t="s">
        <v>333</v>
      </c>
      <c r="C159" s="3" t="s">
        <v>334</v>
      </c>
      <c r="D159" s="8">
        <v>42083</v>
      </c>
      <c r="E159" s="3">
        <v>1875</v>
      </c>
      <c r="F159" s="3" t="s">
        <v>25</v>
      </c>
      <c r="G159" s="3" t="s">
        <v>26</v>
      </c>
      <c r="H159" s="3">
        <v>135</v>
      </c>
      <c r="I159" s="3">
        <v>136</v>
      </c>
      <c r="J159" s="3">
        <v>137</v>
      </c>
      <c r="K159" s="3">
        <v>45.9</v>
      </c>
      <c r="L159" s="3">
        <v>46.75</v>
      </c>
      <c r="M159" s="3">
        <v>47.6</v>
      </c>
      <c r="N159" s="3">
        <v>1</v>
      </c>
      <c r="O159" s="3">
        <v>3.5229679213738363E-3</v>
      </c>
      <c r="P159" s="3">
        <v>2.6929711994445878E-2</v>
      </c>
      <c r="Q159" s="3">
        <v>0.17612186588799106</v>
      </c>
      <c r="R159" s="3">
        <v>135.98271560809917</v>
      </c>
      <c r="S159" s="3">
        <v>46.767281500150943</v>
      </c>
      <c r="U159" s="3">
        <v>46.265855974266543</v>
      </c>
      <c r="V159" s="3">
        <v>-0.50142552588440026</v>
      </c>
      <c r="X159" s="3">
        <v>46.538994195877414</v>
      </c>
      <c r="Y159" s="3">
        <v>-0.22828730427352895</v>
      </c>
      <c r="AA159" s="3">
        <v>1</v>
      </c>
      <c r="AB159" s="3">
        <v>0</v>
      </c>
      <c r="AC159" s="3">
        <v>0</v>
      </c>
    </row>
    <row r="160" spans="2:29" x14ac:dyDescent="0.2">
      <c r="B160" s="3" t="s">
        <v>335</v>
      </c>
      <c r="C160" s="3" t="s">
        <v>336</v>
      </c>
      <c r="D160" s="8">
        <v>42083</v>
      </c>
      <c r="E160" s="3">
        <v>1900</v>
      </c>
      <c r="F160" s="3" t="s">
        <v>25</v>
      </c>
      <c r="G160" s="3" t="s">
        <v>26</v>
      </c>
      <c r="H160" s="3">
        <v>116.6</v>
      </c>
      <c r="I160" s="3">
        <v>117.5</v>
      </c>
      <c r="J160" s="3">
        <v>118.4</v>
      </c>
      <c r="K160" s="3">
        <v>52.4</v>
      </c>
      <c r="L160" s="3">
        <v>53.2</v>
      </c>
      <c r="M160" s="3">
        <v>54</v>
      </c>
      <c r="N160" s="3">
        <v>1</v>
      </c>
      <c r="O160" s="3">
        <v>3.5229679213738363E-3</v>
      </c>
      <c r="P160" s="3">
        <v>2.6929711994445878E-2</v>
      </c>
      <c r="Q160" s="3">
        <v>0.16955047367551987</v>
      </c>
      <c r="R160" s="3">
        <v>117.47483028414467</v>
      </c>
      <c r="S160" s="3">
        <v>53.225168551197385</v>
      </c>
      <c r="U160" s="3">
        <v>53.50662702451433</v>
      </c>
      <c r="V160" s="3">
        <v>0.2814584733169454</v>
      </c>
      <c r="X160" s="3">
        <v>52.953869462336449</v>
      </c>
      <c r="Y160" s="3">
        <v>-0.27129908886093546</v>
      </c>
      <c r="AA160" s="3">
        <v>1</v>
      </c>
      <c r="AB160" s="3">
        <v>0</v>
      </c>
      <c r="AC160" s="3">
        <v>0</v>
      </c>
    </row>
    <row r="161" spans="2:29" x14ac:dyDescent="0.2">
      <c r="B161" s="3" t="s">
        <v>337</v>
      </c>
      <c r="C161" s="3" t="s">
        <v>338</v>
      </c>
      <c r="D161" s="8">
        <v>42083</v>
      </c>
      <c r="E161" s="3">
        <v>1925</v>
      </c>
      <c r="F161" s="3" t="s">
        <v>25</v>
      </c>
      <c r="G161" s="3" t="s">
        <v>26</v>
      </c>
      <c r="H161" s="3">
        <v>99.1</v>
      </c>
      <c r="I161" s="3">
        <v>100.05</v>
      </c>
      <c r="J161" s="3">
        <v>101</v>
      </c>
      <c r="K161" s="3">
        <v>59.9</v>
      </c>
      <c r="L161" s="3">
        <v>60.7</v>
      </c>
      <c r="M161" s="3">
        <v>61.5</v>
      </c>
      <c r="N161" s="3">
        <v>1</v>
      </c>
      <c r="O161" s="3">
        <v>3.5229679213738363E-3</v>
      </c>
      <c r="P161" s="3">
        <v>2.6929711994445878E-2</v>
      </c>
      <c r="Q161" s="3">
        <v>0.16322126896817624</v>
      </c>
      <c r="R161" s="3">
        <v>100.01694299864312</v>
      </c>
      <c r="S161" s="3">
        <v>60.733053640696539</v>
      </c>
      <c r="U161" s="3">
        <v>60.136092650452554</v>
      </c>
      <c r="V161" s="3">
        <v>-0.59696099024398563</v>
      </c>
      <c r="X161" s="3">
        <v>60.288622029512148</v>
      </c>
      <c r="Y161" s="3">
        <v>-0.44443161118439178</v>
      </c>
      <c r="AA161" s="3">
        <v>1</v>
      </c>
      <c r="AB161" s="3">
        <v>0</v>
      </c>
      <c r="AC161" s="3">
        <v>0</v>
      </c>
    </row>
    <row r="162" spans="2:29" x14ac:dyDescent="0.2">
      <c r="B162" s="3" t="s">
        <v>339</v>
      </c>
      <c r="C162" s="3" t="s">
        <v>340</v>
      </c>
      <c r="D162" s="8">
        <v>42083</v>
      </c>
      <c r="E162" s="3">
        <v>1950</v>
      </c>
      <c r="F162" s="3" t="s">
        <v>25</v>
      </c>
      <c r="G162" s="3" t="s">
        <v>26</v>
      </c>
      <c r="H162" s="3">
        <v>82.7</v>
      </c>
      <c r="I162" s="3">
        <v>83.6</v>
      </c>
      <c r="J162" s="3">
        <v>84.5</v>
      </c>
      <c r="K162" s="3">
        <v>68.5</v>
      </c>
      <c r="L162" s="3">
        <v>69.3</v>
      </c>
      <c r="M162" s="3">
        <v>70.099999999999994</v>
      </c>
      <c r="N162" s="3">
        <v>1</v>
      </c>
      <c r="O162" s="3">
        <v>3.5229679213738363E-3</v>
      </c>
      <c r="P162" s="3">
        <v>2.6929711994445878E-2</v>
      </c>
      <c r="Q162" s="3">
        <v>0.15684818441578924</v>
      </c>
      <c r="R162" s="3">
        <v>83.609037827077259</v>
      </c>
      <c r="S162" s="3">
        <v>69.290920844131392</v>
      </c>
      <c r="U162" s="3">
        <v>68.857931595668148</v>
      </c>
      <c r="V162" s="3">
        <v>-0.43298924846324383</v>
      </c>
      <c r="X162" s="3">
        <v>68.663743813883087</v>
      </c>
      <c r="Y162" s="3">
        <v>-0.62717703024830485</v>
      </c>
      <c r="AA162" s="3">
        <v>1</v>
      </c>
      <c r="AB162" s="3">
        <v>0</v>
      </c>
      <c r="AC162" s="3">
        <v>0</v>
      </c>
    </row>
    <row r="163" spans="2:29" x14ac:dyDescent="0.2">
      <c r="B163" s="3" t="s">
        <v>341</v>
      </c>
      <c r="C163" s="3" t="s">
        <v>342</v>
      </c>
      <c r="D163" s="8">
        <v>42083</v>
      </c>
      <c r="E163" s="3">
        <v>1975</v>
      </c>
      <c r="F163" s="3" t="s">
        <v>25</v>
      </c>
      <c r="G163" s="3" t="s">
        <v>26</v>
      </c>
      <c r="H163" s="3">
        <v>67.599999999999994</v>
      </c>
      <c r="I163" s="3">
        <v>68.400000000000006</v>
      </c>
      <c r="J163" s="3">
        <v>69.2</v>
      </c>
      <c r="K163" s="3">
        <v>78.2</v>
      </c>
      <c r="L163" s="3">
        <v>79.150000000000006</v>
      </c>
      <c r="M163" s="3">
        <v>80.099999999999994</v>
      </c>
      <c r="N163" s="3">
        <v>1</v>
      </c>
      <c r="O163" s="3">
        <v>3.5229679213738363E-3</v>
      </c>
      <c r="P163" s="3">
        <v>2.6929711994445878E-2</v>
      </c>
      <c r="Q163" s="3">
        <v>0.15056611130828176</v>
      </c>
      <c r="R163" s="3">
        <v>68.451168965634906</v>
      </c>
      <c r="S163" s="3">
        <v>79.098824357690319</v>
      </c>
      <c r="U163" s="3">
        <v>78.560740742474039</v>
      </c>
      <c r="V163" s="3">
        <v>-0.53808361521628001</v>
      </c>
      <c r="X163" s="3">
        <v>78.307163622395677</v>
      </c>
      <c r="Y163" s="3">
        <v>-0.79166073529464143</v>
      </c>
      <c r="AA163" s="3">
        <v>1</v>
      </c>
      <c r="AB163" s="3">
        <v>0</v>
      </c>
      <c r="AC163" s="3">
        <v>0</v>
      </c>
    </row>
    <row r="164" spans="2:29" x14ac:dyDescent="0.2">
      <c r="B164" s="3" t="s">
        <v>343</v>
      </c>
      <c r="C164" s="3" t="s">
        <v>344</v>
      </c>
      <c r="D164" s="8">
        <v>42083</v>
      </c>
      <c r="E164" s="3">
        <v>2000</v>
      </c>
      <c r="F164" s="3" t="s">
        <v>25</v>
      </c>
      <c r="G164" s="3" t="s">
        <v>26</v>
      </c>
      <c r="H164" s="3">
        <v>53.9</v>
      </c>
      <c r="I164" s="3">
        <v>54.65</v>
      </c>
      <c r="J164" s="3">
        <v>55.4</v>
      </c>
      <c r="K164" s="3">
        <v>89.3</v>
      </c>
      <c r="L164" s="3">
        <v>90.3</v>
      </c>
      <c r="M164" s="3">
        <v>91.3</v>
      </c>
      <c r="N164" s="3">
        <v>1</v>
      </c>
      <c r="O164" s="3">
        <v>3.5229679213738363E-3</v>
      </c>
      <c r="P164" s="3">
        <v>2.6929711994445878E-2</v>
      </c>
      <c r="Q164" s="3">
        <v>0.14434811634203754</v>
      </c>
      <c r="R164" s="3">
        <v>54.668284640330626</v>
      </c>
      <c r="S164" s="3">
        <v>90.281712407386522</v>
      </c>
      <c r="U164" s="3">
        <v>89.459766296168368</v>
      </c>
      <c r="V164" s="3">
        <v>-0.82194611121815342</v>
      </c>
      <c r="X164" s="3">
        <v>89.402091776466435</v>
      </c>
      <c r="Y164" s="3">
        <v>-0.87962063092008691</v>
      </c>
      <c r="AA164" s="3">
        <v>1</v>
      </c>
      <c r="AB164" s="3">
        <v>0</v>
      </c>
      <c r="AC164" s="3">
        <v>0</v>
      </c>
    </row>
    <row r="165" spans="2:29" x14ac:dyDescent="0.2">
      <c r="B165" s="3" t="s">
        <v>345</v>
      </c>
      <c r="C165" s="3" t="s">
        <v>346</v>
      </c>
      <c r="D165" s="8">
        <v>42083</v>
      </c>
      <c r="E165" s="3">
        <v>2025</v>
      </c>
      <c r="F165" s="3" t="s">
        <v>25</v>
      </c>
      <c r="G165" s="3" t="s">
        <v>26</v>
      </c>
      <c r="H165" s="3">
        <v>41.7</v>
      </c>
      <c r="I165" s="3">
        <v>42.4</v>
      </c>
      <c r="J165" s="3">
        <v>43.1</v>
      </c>
      <c r="K165" s="3">
        <v>102</v>
      </c>
      <c r="L165" s="3">
        <v>103.05</v>
      </c>
      <c r="M165" s="3">
        <v>104.1</v>
      </c>
      <c r="N165" s="3">
        <v>1</v>
      </c>
      <c r="O165" s="3">
        <v>3.5229679213738363E-3</v>
      </c>
      <c r="P165" s="3">
        <v>2.6929711994445878E-2</v>
      </c>
      <c r="Q165" s="3">
        <v>0.13829172801535555</v>
      </c>
      <c r="R165" s="3">
        <v>42.435398377404113</v>
      </c>
      <c r="S165" s="3">
        <v>103.01459851946083</v>
      </c>
      <c r="U165" s="3">
        <v>101.80230386507949</v>
      </c>
      <c r="V165" s="3">
        <v>-1.2122946543813384</v>
      </c>
      <c r="X165" s="3">
        <v>102.18011615030615</v>
      </c>
      <c r="Y165" s="3">
        <v>-0.83448236915468499</v>
      </c>
      <c r="AA165" s="3">
        <v>1</v>
      </c>
      <c r="AB165" s="3">
        <v>0</v>
      </c>
      <c r="AC165" s="3">
        <v>1</v>
      </c>
    </row>
    <row r="166" spans="2:29" x14ac:dyDescent="0.2">
      <c r="B166" s="3" t="s">
        <v>347</v>
      </c>
      <c r="C166" s="3" t="s">
        <v>348</v>
      </c>
      <c r="D166" s="8">
        <v>42083</v>
      </c>
      <c r="E166" s="3">
        <v>2050</v>
      </c>
      <c r="F166" s="3" t="s">
        <v>25</v>
      </c>
      <c r="G166" s="3" t="s">
        <v>26</v>
      </c>
      <c r="H166" s="3">
        <v>31.3</v>
      </c>
      <c r="I166" s="3">
        <v>31.9</v>
      </c>
      <c r="J166" s="3">
        <v>32.5</v>
      </c>
      <c r="K166" s="3">
        <v>116.4</v>
      </c>
      <c r="L166" s="3">
        <v>117.5</v>
      </c>
      <c r="M166" s="3">
        <v>118.6</v>
      </c>
      <c r="N166" s="3">
        <v>1</v>
      </c>
      <c r="O166" s="3">
        <v>3.5229679213738363E-3</v>
      </c>
      <c r="P166" s="3">
        <v>2.6929711994445878E-2</v>
      </c>
      <c r="Q166" s="3">
        <v>0.13256638903891527</v>
      </c>
      <c r="R166" s="3">
        <v>31.927511449132112</v>
      </c>
      <c r="S166" s="3">
        <v>117.47248396619011</v>
      </c>
      <c r="U166" s="3">
        <v>115.84708175895986</v>
      </c>
      <c r="V166" s="3">
        <v>-1.6254022072302519</v>
      </c>
      <c r="X166" s="3">
        <v>116.73788056349916</v>
      </c>
      <c r="Y166" s="3">
        <v>-0.7346034026909507</v>
      </c>
      <c r="AA166" s="3">
        <v>1</v>
      </c>
      <c r="AB166" s="3">
        <v>0</v>
      </c>
      <c r="AC166" s="3">
        <v>1</v>
      </c>
    </row>
    <row r="167" spans="2:29" x14ac:dyDescent="0.2">
      <c r="B167" s="3" t="s">
        <v>349</v>
      </c>
      <c r="C167" s="3" t="s">
        <v>350</v>
      </c>
      <c r="D167" s="8">
        <v>42083</v>
      </c>
      <c r="E167" s="3">
        <v>2075</v>
      </c>
      <c r="F167" s="3" t="s">
        <v>25</v>
      </c>
      <c r="G167" s="3" t="s">
        <v>26</v>
      </c>
      <c r="H167" s="3">
        <v>22.7</v>
      </c>
      <c r="I167" s="3">
        <v>23.2</v>
      </c>
      <c r="J167" s="3">
        <v>23.7</v>
      </c>
      <c r="K167" s="3">
        <v>132.6</v>
      </c>
      <c r="L167" s="3">
        <v>133.69999999999999</v>
      </c>
      <c r="M167" s="3">
        <v>134.80000000000001</v>
      </c>
      <c r="N167" s="3">
        <v>1</v>
      </c>
      <c r="O167" s="3">
        <v>3.5229679213738363E-3</v>
      </c>
      <c r="P167" s="3">
        <v>2.6929711994445878E-2</v>
      </c>
      <c r="Q167" s="3">
        <v>0.12720342143590765</v>
      </c>
      <c r="R167" s="3">
        <v>23.194767470532213</v>
      </c>
      <c r="S167" s="3">
        <v>133.70551236259053</v>
      </c>
      <c r="U167" s="3">
        <v>132.45974797676465</v>
      </c>
      <c r="V167" s="3">
        <v>-1.2457643858258791</v>
      </c>
      <c r="X167" s="3">
        <v>133.22575799985322</v>
      </c>
      <c r="Y167" s="3">
        <v>-0.4797543627373102</v>
      </c>
      <c r="AA167" s="3">
        <v>1</v>
      </c>
      <c r="AB167" s="3">
        <v>0</v>
      </c>
      <c r="AC167" s="3">
        <v>1</v>
      </c>
    </row>
    <row r="168" spans="2:29" x14ac:dyDescent="0.2">
      <c r="B168" s="3" t="s">
        <v>351</v>
      </c>
      <c r="C168" s="3" t="s">
        <v>352</v>
      </c>
      <c r="D168" s="8">
        <v>42083</v>
      </c>
      <c r="E168" s="3">
        <v>2100</v>
      </c>
      <c r="F168" s="3" t="s">
        <v>25</v>
      </c>
      <c r="G168" s="3" t="s">
        <v>26</v>
      </c>
      <c r="H168" s="3">
        <v>15.5</v>
      </c>
      <c r="I168" s="3">
        <v>16.149999999999999</v>
      </c>
      <c r="J168" s="3">
        <v>16.8</v>
      </c>
      <c r="K168" s="3">
        <v>150.5</v>
      </c>
      <c r="L168" s="3">
        <v>151.80000000000001</v>
      </c>
      <c r="M168" s="3">
        <v>153.1</v>
      </c>
      <c r="N168" s="3">
        <v>1</v>
      </c>
      <c r="O168" s="3">
        <v>3.5229679213738363E-3</v>
      </c>
      <c r="P168" s="3">
        <v>2.6929711994445878E-2</v>
      </c>
      <c r="Q168" s="3">
        <v>0.12230559461437743</v>
      </c>
      <c r="R168" s="3">
        <v>16.236567373676053</v>
      </c>
      <c r="S168" s="3">
        <v>151.71308464073581</v>
      </c>
      <c r="U168" s="3">
        <v>150.29112407128292</v>
      </c>
      <c r="V168" s="3">
        <v>-1.4219605694528923</v>
      </c>
      <c r="X168" s="3">
        <v>151.622544793825</v>
      </c>
      <c r="Y168" s="3">
        <v>-9.0539846910814958E-2</v>
      </c>
      <c r="AA168" s="3">
        <v>1</v>
      </c>
      <c r="AB168" s="3">
        <v>0</v>
      </c>
      <c r="AC168" s="3">
        <v>1</v>
      </c>
    </row>
    <row r="169" spans="2:29" x14ac:dyDescent="0.2">
      <c r="B169" s="3" t="s">
        <v>353</v>
      </c>
      <c r="C169" s="3" t="s">
        <v>354</v>
      </c>
      <c r="D169" s="8">
        <v>42083</v>
      </c>
      <c r="E169" s="3">
        <v>2125</v>
      </c>
      <c r="F169" s="3" t="s">
        <v>25</v>
      </c>
      <c r="G169" s="3" t="s">
        <v>26</v>
      </c>
      <c r="H169" s="3">
        <v>10.4</v>
      </c>
      <c r="I169" s="3">
        <v>10.95</v>
      </c>
      <c r="J169" s="3">
        <v>11.5</v>
      </c>
      <c r="K169" s="3">
        <v>170.1</v>
      </c>
      <c r="L169" s="3">
        <v>171.45</v>
      </c>
      <c r="M169" s="3">
        <v>172.8</v>
      </c>
      <c r="N169" s="3">
        <v>1</v>
      </c>
      <c r="O169" s="3">
        <v>3.5229679213738363E-3</v>
      </c>
      <c r="P169" s="3">
        <v>2.6929711994445878E-2</v>
      </c>
      <c r="Q169" s="3">
        <v>0.11807066725645199</v>
      </c>
      <c r="R169" s="3">
        <v>10.978680576766578</v>
      </c>
      <c r="S169" s="3">
        <v>171.42097021882682</v>
      </c>
      <c r="U169" s="3">
        <v>170.41234362725106</v>
      </c>
      <c r="V169" s="3">
        <v>-1.0086265915757622</v>
      </c>
      <c r="X169" s="3">
        <v>171.69237147897482</v>
      </c>
      <c r="Y169" s="3">
        <v>0.27140126014799648</v>
      </c>
      <c r="AA169" s="3">
        <v>1</v>
      </c>
      <c r="AB169" s="3">
        <v>0</v>
      </c>
      <c r="AC169" s="3">
        <v>0</v>
      </c>
    </row>
    <row r="170" spans="2:29" x14ac:dyDescent="0.2">
      <c r="B170" s="3" t="s">
        <v>355</v>
      </c>
      <c r="C170" s="3" t="s">
        <v>356</v>
      </c>
      <c r="D170" s="8">
        <v>42083</v>
      </c>
      <c r="E170" s="3">
        <v>2150</v>
      </c>
      <c r="F170" s="3" t="s">
        <v>25</v>
      </c>
      <c r="G170" s="3" t="s">
        <v>26</v>
      </c>
      <c r="H170" s="3">
        <v>6.6</v>
      </c>
      <c r="I170" s="3">
        <v>7.1</v>
      </c>
      <c r="J170" s="3">
        <v>7.6</v>
      </c>
      <c r="K170" s="3">
        <v>191.3</v>
      </c>
      <c r="L170" s="3">
        <v>192.7</v>
      </c>
      <c r="M170" s="3">
        <v>194.1</v>
      </c>
      <c r="N170" s="3">
        <v>1</v>
      </c>
      <c r="O170" s="3">
        <v>3.5229679213738363E-3</v>
      </c>
      <c r="P170" s="3">
        <v>2.6929711994445878E-2</v>
      </c>
      <c r="Q170" s="3">
        <v>0.11455471185296465</v>
      </c>
      <c r="R170" s="3">
        <v>7.195721179605016</v>
      </c>
      <c r="S170" s="3">
        <v>192.60378319666597</v>
      </c>
      <c r="U170" s="3">
        <v>191.95458358917188</v>
      </c>
      <c r="V170" s="3">
        <v>-0.64919960749409711</v>
      </c>
      <c r="X170" s="3">
        <v>193.04297907626943</v>
      </c>
      <c r="Y170" s="3">
        <v>0.43919587960346007</v>
      </c>
      <c r="AA170" s="3">
        <v>1</v>
      </c>
      <c r="AB170" s="3">
        <v>0</v>
      </c>
      <c r="AC170" s="3">
        <v>0</v>
      </c>
    </row>
    <row r="171" spans="2:29" x14ac:dyDescent="0.2">
      <c r="B171" s="3" t="s">
        <v>357</v>
      </c>
      <c r="C171" s="3" t="s">
        <v>358</v>
      </c>
      <c r="D171" s="8">
        <v>42083</v>
      </c>
      <c r="E171" s="3">
        <v>2175</v>
      </c>
      <c r="F171" s="3" t="s">
        <v>25</v>
      </c>
      <c r="G171" s="3" t="s">
        <v>26</v>
      </c>
      <c r="H171" s="3">
        <v>4.5</v>
      </c>
      <c r="I171" s="3">
        <v>4.75</v>
      </c>
      <c r="J171" s="3">
        <v>5</v>
      </c>
      <c r="K171" s="3">
        <v>213.7</v>
      </c>
      <c r="L171" s="3">
        <v>215.1</v>
      </c>
      <c r="M171" s="3">
        <v>216.5</v>
      </c>
      <c r="N171" s="3">
        <v>1</v>
      </c>
      <c r="O171" s="3">
        <v>3.5229679213738363E-3</v>
      </c>
      <c r="P171" s="3">
        <v>2.6929711994445878E-2</v>
      </c>
      <c r="Q171" s="3">
        <v>0.11255908506045234</v>
      </c>
      <c r="R171" s="3">
        <v>4.7379676490586462</v>
      </c>
      <c r="S171" s="3">
        <v>215.11180204112043</v>
      </c>
      <c r="U171" s="3">
        <v>214.60691586772816</v>
      </c>
      <c r="V171" s="3">
        <v>-0.50488617339226494</v>
      </c>
      <c r="X171" s="3">
        <v>215.36405334335907</v>
      </c>
      <c r="Y171" s="3">
        <v>0.25225130223864767</v>
      </c>
      <c r="AA171" s="3">
        <v>1</v>
      </c>
      <c r="AB171" s="3">
        <v>0</v>
      </c>
      <c r="AC171" s="3">
        <v>0</v>
      </c>
    </row>
    <row r="172" spans="2:29" x14ac:dyDescent="0.2">
      <c r="B172" s="3" t="s">
        <v>359</v>
      </c>
      <c r="C172" s="3" t="s">
        <v>360</v>
      </c>
      <c r="D172" s="8">
        <v>42083</v>
      </c>
      <c r="E172" s="3">
        <v>2200</v>
      </c>
      <c r="F172" s="3" t="s">
        <v>25</v>
      </c>
      <c r="G172" s="3" t="s">
        <v>26</v>
      </c>
      <c r="H172" s="3">
        <v>2.85</v>
      </c>
      <c r="I172" s="3">
        <v>3.07</v>
      </c>
      <c r="J172" s="3">
        <v>3.3</v>
      </c>
      <c r="K172" s="3">
        <v>236.9</v>
      </c>
      <c r="L172" s="3">
        <v>238.3</v>
      </c>
      <c r="M172" s="3">
        <v>239.7</v>
      </c>
      <c r="N172" s="3">
        <v>1</v>
      </c>
      <c r="O172" s="3">
        <v>3.5229679213738363E-3</v>
      </c>
      <c r="P172" s="3">
        <v>2.6929711994445878E-2</v>
      </c>
      <c r="Q172" s="3">
        <v>0.11067213173952542</v>
      </c>
      <c r="R172" s="3">
        <v>3.0149822581610692</v>
      </c>
      <c r="S172" s="3">
        <v>238.35458902522419</v>
      </c>
      <c r="U172" s="3">
        <v>238.0564084094093</v>
      </c>
      <c r="V172" s="3">
        <v>-0.29818061581488564</v>
      </c>
      <c r="X172" s="3">
        <v>238.43355503021087</v>
      </c>
      <c r="Y172" s="3">
        <v>7.8966004986682492E-2</v>
      </c>
      <c r="AA172" s="3">
        <v>1</v>
      </c>
      <c r="AB172" s="3">
        <v>0</v>
      </c>
      <c r="AC172" s="3">
        <v>0</v>
      </c>
    </row>
    <row r="173" spans="2:29" x14ac:dyDescent="0.2">
      <c r="B173" s="3" t="s">
        <v>361</v>
      </c>
      <c r="C173" s="3" t="s">
        <v>362</v>
      </c>
      <c r="D173" s="8">
        <v>42083</v>
      </c>
      <c r="E173" s="3">
        <v>2225</v>
      </c>
      <c r="F173" s="3" t="s">
        <v>25</v>
      </c>
      <c r="G173" s="3" t="s">
        <v>26</v>
      </c>
      <c r="H173" s="3">
        <v>1.8</v>
      </c>
      <c r="I173" s="3">
        <v>1.98</v>
      </c>
      <c r="J173" s="3">
        <v>2.15</v>
      </c>
      <c r="K173" s="3">
        <v>260.8</v>
      </c>
      <c r="L173" s="3">
        <v>262.25</v>
      </c>
      <c r="M173" s="3">
        <v>263.7</v>
      </c>
      <c r="N173" s="3">
        <v>1</v>
      </c>
      <c r="O173" s="3">
        <v>3.5229679213738363E-3</v>
      </c>
      <c r="P173" s="3">
        <v>2.6929711994445878E-2</v>
      </c>
      <c r="Q173" s="3">
        <v>0.11001725122487827</v>
      </c>
      <c r="R173" s="3">
        <v>1.9622588547069313</v>
      </c>
      <c r="S173" s="3">
        <v>262.26763799677087</v>
      </c>
      <c r="U173" s="3">
        <v>262.04538980750885</v>
      </c>
      <c r="V173" s="3">
        <v>-0.22224818926201806</v>
      </c>
      <c r="X173" s="3">
        <v>262.05841074819341</v>
      </c>
      <c r="Y173" s="3">
        <v>-0.20922724857746289</v>
      </c>
      <c r="AA173" s="3">
        <v>1</v>
      </c>
      <c r="AB173" s="3">
        <v>0</v>
      </c>
      <c r="AC173" s="3">
        <v>0</v>
      </c>
    </row>
    <row r="174" spans="2:29" x14ac:dyDescent="0.2">
      <c r="B174" s="3" t="s">
        <v>363</v>
      </c>
      <c r="C174" s="3" t="s">
        <v>364</v>
      </c>
      <c r="D174" s="8">
        <v>42083</v>
      </c>
      <c r="E174" s="3">
        <v>2250</v>
      </c>
      <c r="F174" s="3" t="s">
        <v>25</v>
      </c>
      <c r="G174" s="3" t="s">
        <v>26</v>
      </c>
      <c r="H174" s="3">
        <v>1.1499999999999999</v>
      </c>
      <c r="I174" s="3">
        <v>1.3</v>
      </c>
      <c r="J174" s="3">
        <v>1.45</v>
      </c>
      <c r="K174" s="3">
        <v>285.10000000000002</v>
      </c>
      <c r="L174" s="3">
        <v>286.5</v>
      </c>
      <c r="M174" s="3">
        <v>287.89999999999998</v>
      </c>
      <c r="N174" s="3">
        <v>1</v>
      </c>
      <c r="O174" s="3">
        <v>3.5229679213738363E-3</v>
      </c>
      <c r="P174" s="3">
        <v>2.6929711994445878E-2</v>
      </c>
      <c r="Q174" s="3">
        <v>0.10962339832769197</v>
      </c>
      <c r="R174" s="3">
        <v>1.2641257126742147</v>
      </c>
      <c r="S174" s="3">
        <v>286.53527722973854</v>
      </c>
      <c r="U174" s="3">
        <v>286.38667752006023</v>
      </c>
      <c r="V174" s="3">
        <v>-0.14859970967830805</v>
      </c>
      <c r="X174" s="3">
        <v>286.0878708644899</v>
      </c>
      <c r="Y174" s="3">
        <v>-0.4474063652486393</v>
      </c>
      <c r="AA174" s="3">
        <v>1</v>
      </c>
      <c r="AB174" s="3">
        <v>0</v>
      </c>
      <c r="AC174" s="3">
        <v>0</v>
      </c>
    </row>
    <row r="175" spans="2:29" x14ac:dyDescent="0.2">
      <c r="B175" s="3" t="s">
        <v>365</v>
      </c>
      <c r="C175" s="3" t="s">
        <v>366</v>
      </c>
      <c r="D175" s="8">
        <v>42083</v>
      </c>
      <c r="E175" s="3">
        <v>2275</v>
      </c>
      <c r="F175" s="3" t="s">
        <v>25</v>
      </c>
      <c r="G175" s="3" t="s">
        <v>26</v>
      </c>
      <c r="H175" s="3">
        <v>0.7</v>
      </c>
      <c r="I175" s="3">
        <v>0.87</v>
      </c>
      <c r="J175" s="3">
        <v>1.05</v>
      </c>
      <c r="K175" s="3">
        <v>309.60000000000002</v>
      </c>
      <c r="L175" s="3">
        <v>311.05</v>
      </c>
      <c r="M175" s="3">
        <v>312.5</v>
      </c>
      <c r="N175" s="3">
        <v>0</v>
      </c>
      <c r="O175" s="3">
        <v>3.5229679213738363E-3</v>
      </c>
      <c r="P175" s="3">
        <v>2.6929711994445878E-2</v>
      </c>
      <c r="Q175" s="3">
        <v>0.10962339832769197</v>
      </c>
      <c r="R175" s="3">
        <v>0.81700323577054945</v>
      </c>
      <c r="S175" s="3">
        <v>311.05392712783578</v>
      </c>
      <c r="U175" s="3">
        <v>310.98224881650901</v>
      </c>
      <c r="V175" s="3">
        <v>-7.1678311326763833E-2</v>
      </c>
      <c r="X175" s="3">
        <v>0</v>
      </c>
      <c r="Y175" s="3">
        <v>0</v>
      </c>
      <c r="AA175" s="3">
        <v>0</v>
      </c>
      <c r="AB175" s="3">
        <v>0</v>
      </c>
      <c r="AC175" s="3">
        <v>0</v>
      </c>
    </row>
    <row r="176" spans="2:29" x14ac:dyDescent="0.2">
      <c r="B176" s="3" t="s">
        <v>367</v>
      </c>
      <c r="C176" s="3" t="s">
        <v>368</v>
      </c>
      <c r="D176" s="8">
        <v>42083</v>
      </c>
      <c r="E176" s="3">
        <v>2300</v>
      </c>
      <c r="F176" s="3" t="s">
        <v>25</v>
      </c>
      <c r="G176" s="3" t="s">
        <v>26</v>
      </c>
      <c r="H176" s="3">
        <v>0.45</v>
      </c>
      <c r="I176" s="3">
        <v>0.72</v>
      </c>
      <c r="J176" s="3">
        <v>1</v>
      </c>
      <c r="K176" s="3">
        <v>334.4</v>
      </c>
      <c r="L176" s="3">
        <v>335.8</v>
      </c>
      <c r="M176" s="3">
        <v>337.2</v>
      </c>
      <c r="N176" s="3">
        <v>0</v>
      </c>
      <c r="O176" s="3">
        <v>3.5229679213738363E-3</v>
      </c>
      <c r="P176" s="3">
        <v>2.6929711994445878E-2</v>
      </c>
      <c r="Q176" s="3">
        <v>0.10962339832769197</v>
      </c>
      <c r="R176" s="3">
        <v>0.51934077965945136</v>
      </c>
      <c r="S176" s="3">
        <v>335.72203704672552</v>
      </c>
      <c r="U176" s="3">
        <v>335.68303432411318</v>
      </c>
      <c r="V176" s="3">
        <v>-3.9002722612337948E-2</v>
      </c>
      <c r="X176" s="3">
        <v>0</v>
      </c>
      <c r="Y176" s="3">
        <v>0</v>
      </c>
      <c r="AA176" s="3">
        <v>0</v>
      </c>
      <c r="AB176" s="3">
        <v>0</v>
      </c>
      <c r="AC176" s="3">
        <v>0</v>
      </c>
    </row>
    <row r="177" spans="2:29" x14ac:dyDescent="0.2">
      <c r="B177" s="3" t="s">
        <v>369</v>
      </c>
      <c r="C177" s="3" t="s">
        <v>370</v>
      </c>
      <c r="D177" s="8">
        <v>42083</v>
      </c>
      <c r="E177" s="3">
        <v>2400</v>
      </c>
      <c r="F177" s="3" t="s">
        <v>25</v>
      </c>
      <c r="G177" s="3" t="s">
        <v>26</v>
      </c>
      <c r="H177" s="3">
        <v>0.05</v>
      </c>
      <c r="I177" s="3">
        <v>0.15</v>
      </c>
      <c r="J177" s="3">
        <v>0.25</v>
      </c>
      <c r="K177" s="3">
        <v>433.8</v>
      </c>
      <c r="L177" s="3">
        <v>435.15</v>
      </c>
      <c r="M177" s="3">
        <v>436.5</v>
      </c>
      <c r="N177" s="3">
        <v>0</v>
      </c>
      <c r="O177" s="3">
        <v>3.5229679213738363E-3</v>
      </c>
      <c r="P177" s="3">
        <v>2.6929711994445878E-2</v>
      </c>
      <c r="Q177" s="3">
        <v>0.10962339832769197</v>
      </c>
      <c r="R177" s="3">
        <v>7.2299069335051591E-2</v>
      </c>
      <c r="S177" s="3">
        <v>435.13808483640514</v>
      </c>
      <c r="U177" s="3">
        <v>435.16486941156455</v>
      </c>
      <c r="V177" s="3">
        <v>2.6784575159410906E-2</v>
      </c>
      <c r="X177" s="3">
        <v>0</v>
      </c>
      <c r="Y177" s="3">
        <v>0</v>
      </c>
      <c r="AA177" s="3">
        <v>0</v>
      </c>
      <c r="AB177" s="3">
        <v>0</v>
      </c>
      <c r="AC177" s="3">
        <v>0</v>
      </c>
    </row>
    <row r="178" spans="2:29" x14ac:dyDescent="0.2">
      <c r="B178" s="3" t="s">
        <v>371</v>
      </c>
      <c r="C178" s="3" t="s">
        <v>372</v>
      </c>
      <c r="D178" s="8">
        <v>42174</v>
      </c>
      <c r="E178" s="3">
        <v>600</v>
      </c>
      <c r="F178" s="3" t="s">
        <v>25</v>
      </c>
      <c r="G178" s="3" t="s">
        <v>26</v>
      </c>
      <c r="H178" s="3">
        <v>1351.9</v>
      </c>
      <c r="I178" s="3">
        <v>1353.35</v>
      </c>
      <c r="J178" s="3">
        <v>1354.8</v>
      </c>
      <c r="K178" s="3">
        <v>0.05</v>
      </c>
      <c r="L178" s="3">
        <v>0.23</v>
      </c>
      <c r="M178" s="3">
        <v>0.4</v>
      </c>
      <c r="N178" s="3">
        <v>0</v>
      </c>
      <c r="O178" s="3">
        <v>4.0948077749919827E-3</v>
      </c>
      <c r="P178" s="3">
        <v>2.4396700533650673E-2</v>
      </c>
      <c r="Q178" s="3">
        <v>0.32340533650733128</v>
      </c>
      <c r="R178" s="3">
        <v>1353.2096348287291</v>
      </c>
      <c r="S178" s="3">
        <v>1.3430878478408155E-4</v>
      </c>
      <c r="U178" s="3">
        <v>0.48274980694827718</v>
      </c>
      <c r="V178" s="3">
        <v>0.48261549816349308</v>
      </c>
      <c r="X178" s="3">
        <v>0</v>
      </c>
      <c r="Y178" s="3">
        <v>0</v>
      </c>
      <c r="AA178" s="3">
        <v>0</v>
      </c>
      <c r="AB178" s="3">
        <v>0</v>
      </c>
      <c r="AC178" s="3">
        <v>0</v>
      </c>
    </row>
    <row r="179" spans="2:29" x14ac:dyDescent="0.2">
      <c r="B179" s="3" t="s">
        <v>373</v>
      </c>
      <c r="C179" s="3" t="s">
        <v>374</v>
      </c>
      <c r="D179" s="8">
        <v>42174</v>
      </c>
      <c r="E179" s="3">
        <v>700</v>
      </c>
      <c r="F179" s="3" t="s">
        <v>25</v>
      </c>
      <c r="G179" s="3" t="s">
        <v>26</v>
      </c>
      <c r="H179" s="3">
        <v>1252</v>
      </c>
      <c r="I179" s="3">
        <v>1253.5999999999999</v>
      </c>
      <c r="J179" s="3">
        <v>1255.2</v>
      </c>
      <c r="K179" s="3">
        <v>0.05</v>
      </c>
      <c r="L179" s="3">
        <v>0.28000000000000003</v>
      </c>
      <c r="M179" s="3">
        <v>0.5</v>
      </c>
      <c r="N179" s="3">
        <v>0</v>
      </c>
      <c r="O179" s="3">
        <v>4.0948077749919827E-3</v>
      </c>
      <c r="P179" s="3">
        <v>2.4396700533650673E-2</v>
      </c>
      <c r="Q179" s="3">
        <v>0.32340533650733128</v>
      </c>
      <c r="R179" s="3">
        <v>1253.4731438146564</v>
      </c>
      <c r="S179" s="3">
        <v>2.37248360511505E-3</v>
      </c>
      <c r="U179" s="3">
        <v>0.28095130684982905</v>
      </c>
      <c r="V179" s="3">
        <v>0.278578823244714</v>
      </c>
      <c r="X179" s="3">
        <v>0</v>
      </c>
      <c r="Y179" s="3">
        <v>0</v>
      </c>
      <c r="AA179" s="3">
        <v>0</v>
      </c>
      <c r="AB179" s="3">
        <v>0</v>
      </c>
      <c r="AC179" s="3">
        <v>0</v>
      </c>
    </row>
    <row r="180" spans="2:29" x14ac:dyDescent="0.2">
      <c r="B180" s="3" t="s">
        <v>375</v>
      </c>
      <c r="C180" s="3" t="s">
        <v>376</v>
      </c>
      <c r="D180" s="8">
        <v>42174</v>
      </c>
      <c r="E180" s="3">
        <v>750</v>
      </c>
      <c r="F180" s="3" t="s">
        <v>25</v>
      </c>
      <c r="G180" s="3" t="s">
        <v>26</v>
      </c>
      <c r="H180" s="3">
        <v>1202.4000000000001</v>
      </c>
      <c r="I180" s="3">
        <v>1203.9000000000001</v>
      </c>
      <c r="J180" s="3">
        <v>1205.4000000000001</v>
      </c>
      <c r="K180" s="3">
        <v>0.05</v>
      </c>
      <c r="L180" s="3">
        <v>0.3</v>
      </c>
      <c r="M180" s="3">
        <v>0.55000000000000004</v>
      </c>
      <c r="N180" s="3">
        <v>0</v>
      </c>
      <c r="O180" s="3">
        <v>4.0948077749919827E-3</v>
      </c>
      <c r="P180" s="3">
        <v>2.4396700533650673E-2</v>
      </c>
      <c r="Q180" s="3">
        <v>0.32340533650733128</v>
      </c>
      <c r="R180" s="3">
        <v>1203.609122602677</v>
      </c>
      <c r="S180" s="3">
        <v>7.715866071788216E-3</v>
      </c>
      <c r="U180" s="3">
        <v>0.41611450382561088</v>
      </c>
      <c r="V180" s="3">
        <v>0.40839863775382268</v>
      </c>
      <c r="X180" s="3">
        <v>0</v>
      </c>
      <c r="Y180" s="3">
        <v>0</v>
      </c>
      <c r="AA180" s="3">
        <v>0</v>
      </c>
      <c r="AB180" s="3">
        <v>0</v>
      </c>
      <c r="AC180" s="3">
        <v>0</v>
      </c>
    </row>
    <row r="181" spans="2:29" x14ac:dyDescent="0.2">
      <c r="B181" s="3" t="s">
        <v>377</v>
      </c>
      <c r="C181" s="3" t="s">
        <v>378</v>
      </c>
      <c r="D181" s="8">
        <v>42174</v>
      </c>
      <c r="E181" s="3">
        <v>775</v>
      </c>
      <c r="F181" s="3" t="s">
        <v>25</v>
      </c>
      <c r="G181" s="3" t="s">
        <v>26</v>
      </c>
      <c r="H181" s="3">
        <v>1177.5999999999999</v>
      </c>
      <c r="I181" s="3">
        <v>1179.05</v>
      </c>
      <c r="J181" s="3">
        <v>1180.5</v>
      </c>
      <c r="K181" s="3">
        <v>0.1</v>
      </c>
      <c r="L181" s="3">
        <v>0.35</v>
      </c>
      <c r="M181" s="3">
        <v>0.6</v>
      </c>
      <c r="N181" s="3">
        <v>0</v>
      </c>
      <c r="O181" s="3">
        <v>4.0948077749919827E-3</v>
      </c>
      <c r="P181" s="3">
        <v>2.4396700533650673E-2</v>
      </c>
      <c r="Q181" s="3">
        <v>0.32340533650733128</v>
      </c>
      <c r="R181" s="3">
        <v>1178.6799356721428</v>
      </c>
      <c r="S181" s="3">
        <v>1.3211232760938996E-2</v>
      </c>
      <c r="U181" s="3">
        <v>0.21087389044259908</v>
      </c>
      <c r="V181" s="3">
        <v>0.19766265768166008</v>
      </c>
      <c r="X181" s="3">
        <v>0</v>
      </c>
      <c r="Y181" s="3">
        <v>0</v>
      </c>
      <c r="AA181" s="3">
        <v>0</v>
      </c>
      <c r="AB181" s="3">
        <v>0</v>
      </c>
      <c r="AC181" s="3">
        <v>0</v>
      </c>
    </row>
    <row r="182" spans="2:29" x14ac:dyDescent="0.2">
      <c r="B182" s="3" t="s">
        <v>379</v>
      </c>
      <c r="C182" s="3" t="s">
        <v>380</v>
      </c>
      <c r="D182" s="8">
        <v>42174</v>
      </c>
      <c r="E182" s="3">
        <v>800</v>
      </c>
      <c r="F182" s="3" t="s">
        <v>25</v>
      </c>
      <c r="G182" s="3" t="s">
        <v>26</v>
      </c>
      <c r="H182" s="3">
        <v>1152.7</v>
      </c>
      <c r="I182" s="3">
        <v>1154.2</v>
      </c>
      <c r="J182" s="3">
        <v>1155.7</v>
      </c>
      <c r="K182" s="3">
        <v>0.15</v>
      </c>
      <c r="L182" s="3">
        <v>0.4</v>
      </c>
      <c r="M182" s="3">
        <v>0.65</v>
      </c>
      <c r="N182" s="3">
        <v>0</v>
      </c>
      <c r="O182" s="3">
        <v>4.0948077749919827E-3</v>
      </c>
      <c r="P182" s="3">
        <v>2.4396700533650673E-2</v>
      </c>
      <c r="Q182" s="3">
        <v>0.32340533650733128</v>
      </c>
      <c r="R182" s="3">
        <v>1153.7539736848119</v>
      </c>
      <c r="S182" s="3">
        <v>2.1931542653103875E-2</v>
      </c>
      <c r="U182" s="3">
        <v>4.575694385175666E-2</v>
      </c>
      <c r="V182" s="3">
        <v>2.3825401198652785E-2</v>
      </c>
      <c r="X182" s="3">
        <v>0</v>
      </c>
      <c r="Y182" s="3">
        <v>0</v>
      </c>
      <c r="AA182" s="3">
        <v>0</v>
      </c>
      <c r="AB182" s="3">
        <v>0</v>
      </c>
      <c r="AC182" s="3">
        <v>0</v>
      </c>
    </row>
    <row r="183" spans="2:29" x14ac:dyDescent="0.2">
      <c r="B183" s="3" t="s">
        <v>381</v>
      </c>
      <c r="C183" s="3" t="s">
        <v>382</v>
      </c>
      <c r="D183" s="8">
        <v>42174</v>
      </c>
      <c r="E183" s="3">
        <v>825</v>
      </c>
      <c r="F183" s="3" t="s">
        <v>25</v>
      </c>
      <c r="G183" s="3" t="s">
        <v>26</v>
      </c>
      <c r="H183" s="3">
        <v>1127.8</v>
      </c>
      <c r="I183" s="3">
        <v>1129.3</v>
      </c>
      <c r="J183" s="3">
        <v>1130.8</v>
      </c>
      <c r="K183" s="3">
        <v>0.2</v>
      </c>
      <c r="L183" s="3">
        <v>0.45</v>
      </c>
      <c r="M183" s="3">
        <v>0.7</v>
      </c>
      <c r="N183" s="3">
        <v>0</v>
      </c>
      <c r="O183" s="3">
        <v>4.0948077749919827E-3</v>
      </c>
      <c r="P183" s="3">
        <v>2.4396700533650673E-2</v>
      </c>
      <c r="Q183" s="3">
        <v>0.32340533650733128</v>
      </c>
      <c r="R183" s="3">
        <v>1128.8327431963717</v>
      </c>
      <c r="S183" s="3">
        <v>3.5383351436034993E-2</v>
      </c>
      <c r="U183" s="3">
        <v>0.50368253561077836</v>
      </c>
      <c r="V183" s="3">
        <v>0.46829918417474337</v>
      </c>
      <c r="X183" s="3">
        <v>0</v>
      </c>
      <c r="Y183" s="3">
        <v>0</v>
      </c>
      <c r="AA183" s="3">
        <v>0</v>
      </c>
      <c r="AB183" s="3">
        <v>0</v>
      </c>
      <c r="AC183" s="3">
        <v>0</v>
      </c>
    </row>
    <row r="184" spans="2:29" x14ac:dyDescent="0.2">
      <c r="B184" s="3" t="s">
        <v>383</v>
      </c>
      <c r="C184" s="3" t="s">
        <v>384</v>
      </c>
      <c r="D184" s="8">
        <v>42174</v>
      </c>
      <c r="E184" s="3">
        <v>850</v>
      </c>
      <c r="F184" s="3" t="s">
        <v>25</v>
      </c>
      <c r="G184" s="3" t="s">
        <v>26</v>
      </c>
      <c r="H184" s="3">
        <v>1103</v>
      </c>
      <c r="I184" s="3">
        <v>1104.5</v>
      </c>
      <c r="J184" s="3">
        <v>1106</v>
      </c>
      <c r="K184" s="3">
        <v>0.3</v>
      </c>
      <c r="L184" s="3">
        <v>0.45</v>
      </c>
      <c r="M184" s="3">
        <v>0.6</v>
      </c>
      <c r="N184" s="3">
        <v>0</v>
      </c>
      <c r="O184" s="3">
        <v>4.0948077749919827E-3</v>
      </c>
      <c r="P184" s="3">
        <v>2.4396700533650673E-2</v>
      </c>
      <c r="Q184" s="3">
        <v>0.32340533650733128</v>
      </c>
      <c r="R184" s="3">
        <v>1103.9182762894816</v>
      </c>
      <c r="S184" s="3">
        <v>5.5598741768964954E-2</v>
      </c>
      <c r="U184" s="3">
        <v>0.27102191704580036</v>
      </c>
      <c r="V184" s="3">
        <v>0.21542317527683541</v>
      </c>
      <c r="X184" s="3">
        <v>0</v>
      </c>
      <c r="Y184" s="3">
        <v>0</v>
      </c>
      <c r="AA184" s="3">
        <v>0</v>
      </c>
      <c r="AB184" s="3">
        <v>0</v>
      </c>
      <c r="AC184" s="3">
        <v>0</v>
      </c>
    </row>
    <row r="185" spans="2:29" x14ac:dyDescent="0.2">
      <c r="B185" s="3" t="s">
        <v>385</v>
      </c>
      <c r="C185" s="3" t="s">
        <v>386</v>
      </c>
      <c r="D185" s="8">
        <v>42174</v>
      </c>
      <c r="E185" s="3">
        <v>875</v>
      </c>
      <c r="F185" s="3" t="s">
        <v>25</v>
      </c>
      <c r="G185" s="3" t="s">
        <v>26</v>
      </c>
      <c r="H185" s="3">
        <v>1077.9000000000001</v>
      </c>
      <c r="I185" s="3">
        <v>1079.55</v>
      </c>
      <c r="J185" s="3">
        <v>1081.2</v>
      </c>
      <c r="K185" s="3">
        <v>0.4</v>
      </c>
      <c r="L185" s="3">
        <v>0.67</v>
      </c>
      <c r="M185" s="3">
        <v>0.95</v>
      </c>
      <c r="N185" s="3">
        <v>0</v>
      </c>
      <c r="O185" s="3">
        <v>4.0948077749919827E-3</v>
      </c>
      <c r="P185" s="3">
        <v>2.4396700533650673E-2</v>
      </c>
      <c r="Q185" s="3">
        <v>0.32340533650733128</v>
      </c>
      <c r="R185" s="3">
        <v>1079.0132479330362</v>
      </c>
      <c r="S185" s="3">
        <v>8.5252682546819836E-2</v>
      </c>
      <c r="U185" s="3">
        <v>0.52393713146580012</v>
      </c>
      <c r="V185" s="3">
        <v>0.43868444891898029</v>
      </c>
      <c r="X185" s="3">
        <v>0</v>
      </c>
      <c r="Y185" s="3">
        <v>0</v>
      </c>
      <c r="AA185" s="3">
        <v>0</v>
      </c>
      <c r="AB185" s="3">
        <v>0</v>
      </c>
      <c r="AC185" s="3">
        <v>0</v>
      </c>
    </row>
    <row r="186" spans="2:29" x14ac:dyDescent="0.2">
      <c r="B186" s="3" t="s">
        <v>387</v>
      </c>
      <c r="C186" s="3" t="s">
        <v>388</v>
      </c>
      <c r="D186" s="8">
        <v>42174</v>
      </c>
      <c r="E186" s="3">
        <v>900</v>
      </c>
      <c r="F186" s="3" t="s">
        <v>25</v>
      </c>
      <c r="G186" s="3" t="s">
        <v>26</v>
      </c>
      <c r="H186" s="3">
        <v>1053.0999999999999</v>
      </c>
      <c r="I186" s="3">
        <v>1054.75</v>
      </c>
      <c r="J186" s="3">
        <v>1056.4000000000001</v>
      </c>
      <c r="K186" s="3">
        <v>0.55000000000000004</v>
      </c>
      <c r="L186" s="3">
        <v>0.8</v>
      </c>
      <c r="M186" s="3">
        <v>1.05</v>
      </c>
      <c r="N186" s="3">
        <v>0</v>
      </c>
      <c r="O186" s="3">
        <v>4.0948077749919827E-3</v>
      </c>
      <c r="P186" s="3">
        <v>2.4396700533650673E-2</v>
      </c>
      <c r="Q186" s="3">
        <v>0.32340533650733128</v>
      </c>
      <c r="R186" s="3">
        <v>1054.1211006078156</v>
      </c>
      <c r="S186" s="3">
        <v>0.12778765454943497</v>
      </c>
      <c r="U186" s="3">
        <v>0.65508741294434003</v>
      </c>
      <c r="V186" s="3">
        <v>0.52729975839490506</v>
      </c>
      <c r="X186" s="3">
        <v>0</v>
      </c>
      <c r="Y186" s="3">
        <v>0</v>
      </c>
      <c r="AA186" s="3">
        <v>0</v>
      </c>
      <c r="AB186" s="3">
        <v>0</v>
      </c>
      <c r="AC186" s="3">
        <v>0</v>
      </c>
    </row>
    <row r="187" spans="2:29" x14ac:dyDescent="0.2">
      <c r="B187" s="3" t="s">
        <v>389</v>
      </c>
      <c r="C187" s="3" t="s">
        <v>390</v>
      </c>
      <c r="D187" s="8">
        <v>42174</v>
      </c>
      <c r="E187" s="3">
        <v>925</v>
      </c>
      <c r="F187" s="3" t="s">
        <v>25</v>
      </c>
      <c r="G187" s="3" t="s">
        <v>26</v>
      </c>
      <c r="H187" s="3">
        <v>1028.3</v>
      </c>
      <c r="I187" s="3">
        <v>1029.95</v>
      </c>
      <c r="J187" s="3">
        <v>1031.5999999999999</v>
      </c>
      <c r="K187" s="3">
        <v>0.7</v>
      </c>
      <c r="L187" s="3">
        <v>0.95</v>
      </c>
      <c r="M187" s="3">
        <v>1.2</v>
      </c>
      <c r="N187" s="3">
        <v>0</v>
      </c>
      <c r="O187" s="3">
        <v>4.0948077749919827E-3</v>
      </c>
      <c r="P187" s="3">
        <v>2.4396700533650673E-2</v>
      </c>
      <c r="Q187" s="3">
        <v>0.32340533650733128</v>
      </c>
      <c r="R187" s="3">
        <v>1029.2461722004996</v>
      </c>
      <c r="S187" s="3">
        <v>0.18754154445654292</v>
      </c>
      <c r="U187" s="3">
        <v>0.68814387156930934</v>
      </c>
      <c r="V187" s="3">
        <v>0.50060232711276642</v>
      </c>
      <c r="X187" s="3">
        <v>0</v>
      </c>
      <c r="Y187" s="3">
        <v>0</v>
      </c>
      <c r="AA187" s="3">
        <v>0</v>
      </c>
      <c r="AB187" s="3">
        <v>0</v>
      </c>
      <c r="AC187" s="3">
        <v>0</v>
      </c>
    </row>
    <row r="188" spans="2:29" x14ac:dyDescent="0.2">
      <c r="B188" s="3" t="s">
        <v>391</v>
      </c>
      <c r="C188" s="3" t="s">
        <v>392</v>
      </c>
      <c r="D188" s="8">
        <v>42174</v>
      </c>
      <c r="E188" s="3">
        <v>950</v>
      </c>
      <c r="F188" s="3" t="s">
        <v>25</v>
      </c>
      <c r="G188" s="3" t="s">
        <v>26</v>
      </c>
      <c r="H188" s="3">
        <v>1003.7</v>
      </c>
      <c r="I188" s="3">
        <v>1005.25</v>
      </c>
      <c r="J188" s="3">
        <v>1006.8</v>
      </c>
      <c r="K188" s="3">
        <v>0.8</v>
      </c>
      <c r="L188" s="3">
        <v>1.08</v>
      </c>
      <c r="M188" s="3">
        <v>1.35</v>
      </c>
      <c r="N188" s="3">
        <v>0</v>
      </c>
      <c r="O188" s="3">
        <v>4.0948077749919827E-3</v>
      </c>
      <c r="P188" s="3">
        <v>2.4396700533650673E-2</v>
      </c>
      <c r="Q188" s="3">
        <v>0.32340533650733128</v>
      </c>
      <c r="R188" s="3">
        <v>1004.3938225305577</v>
      </c>
      <c r="S188" s="3">
        <v>0.26987417173766559</v>
      </c>
      <c r="U188" s="3">
        <v>0.65743430930785962</v>
      </c>
      <c r="V188" s="3">
        <v>0.38756013757019403</v>
      </c>
      <c r="X188" s="3">
        <v>0</v>
      </c>
      <c r="Y188" s="3">
        <v>0</v>
      </c>
      <c r="AA188" s="3">
        <v>0</v>
      </c>
      <c r="AB188" s="3">
        <v>0</v>
      </c>
      <c r="AC188" s="3">
        <v>0</v>
      </c>
    </row>
    <row r="189" spans="2:29" x14ac:dyDescent="0.2">
      <c r="B189" s="3" t="s">
        <v>393</v>
      </c>
      <c r="C189" s="3" t="s">
        <v>394</v>
      </c>
      <c r="D189" s="8">
        <v>42174</v>
      </c>
      <c r="E189" s="3">
        <v>975</v>
      </c>
      <c r="F189" s="3" t="s">
        <v>25</v>
      </c>
      <c r="G189" s="3" t="s">
        <v>26</v>
      </c>
      <c r="H189" s="3">
        <v>978.7</v>
      </c>
      <c r="I189" s="3">
        <v>980.4</v>
      </c>
      <c r="J189" s="3">
        <v>982.1</v>
      </c>
      <c r="K189" s="3">
        <v>1</v>
      </c>
      <c r="L189" s="3">
        <v>1.32</v>
      </c>
      <c r="M189" s="3">
        <v>1.65</v>
      </c>
      <c r="N189" s="3">
        <v>1</v>
      </c>
      <c r="O189" s="3">
        <v>4.0948077749919827E-3</v>
      </c>
      <c r="P189" s="3">
        <v>2.4396700533650673E-2</v>
      </c>
      <c r="Q189" s="3">
        <v>0.32340533650733128</v>
      </c>
      <c r="R189" s="3">
        <v>979.57055348081531</v>
      </c>
      <c r="S189" s="3">
        <v>0.38128741921859888</v>
      </c>
      <c r="U189" s="3">
        <v>0.87880641429478601</v>
      </c>
      <c r="V189" s="3">
        <v>0.49751899507618713</v>
      </c>
      <c r="X189" s="3">
        <v>0.93904949888653644</v>
      </c>
      <c r="Y189" s="3">
        <v>0.55776207966793756</v>
      </c>
      <c r="AA189" s="3">
        <v>1</v>
      </c>
      <c r="AB189" s="3">
        <v>1</v>
      </c>
      <c r="AC189" s="3">
        <v>1</v>
      </c>
    </row>
    <row r="190" spans="2:29" x14ac:dyDescent="0.2">
      <c r="B190" s="3" t="s">
        <v>395</v>
      </c>
      <c r="C190" s="3" t="s">
        <v>396</v>
      </c>
      <c r="D190" s="8">
        <v>42174</v>
      </c>
      <c r="E190" s="3">
        <v>1000</v>
      </c>
      <c r="F190" s="3" t="s">
        <v>25</v>
      </c>
      <c r="G190" s="3" t="s">
        <v>26</v>
      </c>
      <c r="H190" s="3">
        <v>954.2</v>
      </c>
      <c r="I190" s="3">
        <v>955.75</v>
      </c>
      <c r="J190" s="3">
        <v>957.3</v>
      </c>
      <c r="K190" s="3">
        <v>1.2</v>
      </c>
      <c r="L190" s="3">
        <v>1.53</v>
      </c>
      <c r="M190" s="3">
        <v>1.85</v>
      </c>
      <c r="N190" s="3">
        <v>1</v>
      </c>
      <c r="O190" s="3">
        <v>4.0948077749919827E-3</v>
      </c>
      <c r="P190" s="3">
        <v>2.4396700533650673E-2</v>
      </c>
      <c r="Q190" s="3">
        <v>0.32340533650733128</v>
      </c>
      <c r="R190" s="3">
        <v>954.78411758334619</v>
      </c>
      <c r="S190" s="3">
        <v>0.5295338189727179</v>
      </c>
      <c r="U190" s="3">
        <v>1.0191786331957928</v>
      </c>
      <c r="V190" s="3">
        <v>0.48964481422307493</v>
      </c>
      <c r="X190" s="3">
        <v>1.0986145821172313</v>
      </c>
      <c r="Y190" s="3">
        <v>0.56908076314451339</v>
      </c>
      <c r="AA190" s="3">
        <v>1</v>
      </c>
      <c r="AB190" s="3">
        <v>1</v>
      </c>
      <c r="AC190" s="3">
        <v>1</v>
      </c>
    </row>
    <row r="191" spans="2:29" x14ac:dyDescent="0.2">
      <c r="B191" s="3" t="s">
        <v>397</v>
      </c>
      <c r="C191" s="3" t="s">
        <v>398</v>
      </c>
      <c r="D191" s="8">
        <v>42174</v>
      </c>
      <c r="E191" s="3">
        <v>1025</v>
      </c>
      <c r="F191" s="3" t="s">
        <v>25</v>
      </c>
      <c r="G191" s="3" t="s">
        <v>26</v>
      </c>
      <c r="H191" s="3">
        <v>929.4</v>
      </c>
      <c r="I191" s="3">
        <v>931</v>
      </c>
      <c r="J191" s="3">
        <v>932.6</v>
      </c>
      <c r="K191" s="3">
        <v>1.4</v>
      </c>
      <c r="L191" s="3">
        <v>1.72</v>
      </c>
      <c r="M191" s="3">
        <v>2.0499999999999998</v>
      </c>
      <c r="N191" s="3">
        <v>1</v>
      </c>
      <c r="O191" s="3">
        <v>4.0948077749919827E-3</v>
      </c>
      <c r="P191" s="3">
        <v>2.4396700533650673E-2</v>
      </c>
      <c r="Q191" s="3">
        <v>0.32340533650733128</v>
      </c>
      <c r="R191" s="3">
        <v>930.04361007578996</v>
      </c>
      <c r="S191" s="3">
        <v>0.72370860863953013</v>
      </c>
      <c r="U191" s="3">
        <v>1.2970085150881232</v>
      </c>
      <c r="V191" s="3">
        <v>0.57329990644859308</v>
      </c>
      <c r="X191" s="3">
        <v>1.2811304424604957</v>
      </c>
      <c r="Y191" s="3">
        <v>0.55742183382096555</v>
      </c>
      <c r="AA191" s="3">
        <v>1</v>
      </c>
      <c r="AB191" s="3">
        <v>1</v>
      </c>
      <c r="AC191" s="3">
        <v>1</v>
      </c>
    </row>
    <row r="192" spans="2:29" x14ac:dyDescent="0.2">
      <c r="B192" s="3" t="s">
        <v>399</v>
      </c>
      <c r="C192" s="3" t="s">
        <v>400</v>
      </c>
      <c r="D192" s="8">
        <v>42174</v>
      </c>
      <c r="E192" s="3">
        <v>1050</v>
      </c>
      <c r="F192" s="3" t="s">
        <v>25</v>
      </c>
      <c r="G192" s="3" t="s">
        <v>26</v>
      </c>
      <c r="H192" s="3">
        <v>904.5</v>
      </c>
      <c r="I192" s="3">
        <v>906.25</v>
      </c>
      <c r="J192" s="3">
        <v>908</v>
      </c>
      <c r="K192" s="3">
        <v>1.65</v>
      </c>
      <c r="L192" s="3">
        <v>1.95</v>
      </c>
      <c r="M192" s="3">
        <v>2.25</v>
      </c>
      <c r="N192" s="3">
        <v>1</v>
      </c>
      <c r="O192" s="3">
        <v>4.0948077749919827E-3</v>
      </c>
      <c r="P192" s="3">
        <v>2.4396700533650673E-2</v>
      </c>
      <c r="Q192" s="3">
        <v>0.32340533650733128</v>
      </c>
      <c r="R192" s="3">
        <v>905.35953987561879</v>
      </c>
      <c r="S192" s="3">
        <v>0.97432070569143114</v>
      </c>
      <c r="U192" s="3">
        <v>1.5102686471473135</v>
      </c>
      <c r="V192" s="3">
        <v>0.53594794145588232</v>
      </c>
      <c r="X192" s="3">
        <v>1.4860187762658925</v>
      </c>
      <c r="Y192" s="3">
        <v>0.51169807057446137</v>
      </c>
      <c r="AA192" s="3">
        <v>1</v>
      </c>
      <c r="AB192" s="3">
        <v>1</v>
      </c>
      <c r="AC192" s="3">
        <v>1</v>
      </c>
    </row>
    <row r="193" spans="2:29" x14ac:dyDescent="0.2">
      <c r="B193" s="3" t="s">
        <v>401</v>
      </c>
      <c r="C193" s="3" t="s">
        <v>402</v>
      </c>
      <c r="D193" s="8">
        <v>42174</v>
      </c>
      <c r="E193" s="3">
        <v>1075</v>
      </c>
      <c r="F193" s="3" t="s">
        <v>25</v>
      </c>
      <c r="G193" s="3" t="s">
        <v>26</v>
      </c>
      <c r="H193" s="3">
        <v>880</v>
      </c>
      <c r="I193" s="3">
        <v>881.8</v>
      </c>
      <c r="J193" s="3">
        <v>883.6</v>
      </c>
      <c r="K193" s="3">
        <v>1.95</v>
      </c>
      <c r="L193" s="3">
        <v>2.23</v>
      </c>
      <c r="M193" s="3">
        <v>2.5</v>
      </c>
      <c r="N193" s="3">
        <v>1</v>
      </c>
      <c r="O193" s="3">
        <v>4.0948077749919827E-3</v>
      </c>
      <c r="P193" s="3">
        <v>2.4396700533650673E-2</v>
      </c>
      <c r="Q193" s="3">
        <v>0.32340533650733128</v>
      </c>
      <c r="R193" s="3">
        <v>880.74387558891908</v>
      </c>
      <c r="S193" s="3">
        <v>1.2933387162151888</v>
      </c>
      <c r="U193" s="3">
        <v>1.7346209601586224</v>
      </c>
      <c r="V193" s="3">
        <v>0.44128224394343363</v>
      </c>
      <c r="X193" s="3">
        <v>1.7209360386944177</v>
      </c>
      <c r="Y193" s="3">
        <v>0.42759732247922888</v>
      </c>
      <c r="AA193" s="3">
        <v>1</v>
      </c>
      <c r="AB193" s="3">
        <v>1</v>
      </c>
      <c r="AC193" s="3">
        <v>1</v>
      </c>
    </row>
    <row r="194" spans="2:29" x14ac:dyDescent="0.2">
      <c r="B194" s="3" t="s">
        <v>403</v>
      </c>
      <c r="C194" s="3" t="s">
        <v>404</v>
      </c>
      <c r="D194" s="8">
        <v>42174</v>
      </c>
      <c r="E194" s="3">
        <v>1100</v>
      </c>
      <c r="F194" s="3" t="s">
        <v>25</v>
      </c>
      <c r="G194" s="3" t="s">
        <v>26</v>
      </c>
      <c r="H194" s="3">
        <v>855.2</v>
      </c>
      <c r="I194" s="3">
        <v>856.95</v>
      </c>
      <c r="J194" s="3">
        <v>858.7</v>
      </c>
      <c r="K194" s="3">
        <v>2.25</v>
      </c>
      <c r="L194" s="3">
        <v>2.5</v>
      </c>
      <c r="M194" s="3">
        <v>2.75</v>
      </c>
      <c r="N194" s="3">
        <v>1</v>
      </c>
      <c r="O194" s="3">
        <v>4.0948077749919827E-3</v>
      </c>
      <c r="P194" s="3">
        <v>2.4396700533650673E-2</v>
      </c>
      <c r="Q194" s="3">
        <v>0.32340533650733128</v>
      </c>
      <c r="R194" s="3">
        <v>856.21006352924155</v>
      </c>
      <c r="S194" s="3">
        <v>1.6942089537604055</v>
      </c>
      <c r="U194" s="3">
        <v>2.0379783037952848</v>
      </c>
      <c r="V194" s="3">
        <v>0.3437693500348793</v>
      </c>
      <c r="X194" s="3">
        <v>1.9850967384310616</v>
      </c>
      <c r="Y194" s="3">
        <v>0.29088778467065612</v>
      </c>
      <c r="AA194" s="3">
        <v>1</v>
      </c>
      <c r="AB194" s="3">
        <v>1</v>
      </c>
      <c r="AC194" s="3">
        <v>1</v>
      </c>
    </row>
    <row r="195" spans="2:29" x14ac:dyDescent="0.2">
      <c r="B195" s="3" t="s">
        <v>405</v>
      </c>
      <c r="C195" s="3" t="s">
        <v>406</v>
      </c>
      <c r="D195" s="8">
        <v>42174</v>
      </c>
      <c r="E195" s="3">
        <v>1125</v>
      </c>
      <c r="F195" s="3" t="s">
        <v>25</v>
      </c>
      <c r="G195" s="3" t="s">
        <v>26</v>
      </c>
      <c r="H195" s="3">
        <v>830.7</v>
      </c>
      <c r="I195" s="3">
        <v>832.4</v>
      </c>
      <c r="J195" s="3">
        <v>834.1</v>
      </c>
      <c r="K195" s="3">
        <v>2.5499999999999998</v>
      </c>
      <c r="L195" s="3">
        <v>2.82</v>
      </c>
      <c r="M195" s="3">
        <v>3.1</v>
      </c>
      <c r="N195" s="3">
        <v>1</v>
      </c>
      <c r="O195" s="3">
        <v>4.0948077749919827E-3</v>
      </c>
      <c r="P195" s="3">
        <v>2.4396700533650673E-2</v>
      </c>
      <c r="Q195" s="3">
        <v>0.32340533650733128</v>
      </c>
      <c r="R195" s="3">
        <v>831.77301571499402</v>
      </c>
      <c r="S195" s="3">
        <v>2.1918434367361783</v>
      </c>
      <c r="U195" s="3">
        <v>2.3379150428143021</v>
      </c>
      <c r="V195" s="3">
        <v>0.14607160607812375</v>
      </c>
      <c r="X195" s="3">
        <v>2.2870176700021618</v>
      </c>
      <c r="Y195" s="3">
        <v>9.517423326598351E-2</v>
      </c>
      <c r="AA195" s="3">
        <v>1</v>
      </c>
      <c r="AB195" s="3">
        <v>1</v>
      </c>
      <c r="AC195" s="3">
        <v>1</v>
      </c>
    </row>
    <row r="196" spans="2:29" x14ac:dyDescent="0.2">
      <c r="B196" s="3" t="s">
        <v>407</v>
      </c>
      <c r="C196" s="3" t="s">
        <v>408</v>
      </c>
      <c r="D196" s="8">
        <v>42174</v>
      </c>
      <c r="E196" s="3">
        <v>1150</v>
      </c>
      <c r="F196" s="3" t="s">
        <v>25</v>
      </c>
      <c r="G196" s="3" t="s">
        <v>26</v>
      </c>
      <c r="H196" s="3">
        <v>806.1</v>
      </c>
      <c r="I196" s="3">
        <v>807.8</v>
      </c>
      <c r="J196" s="3">
        <v>809.5</v>
      </c>
      <c r="K196" s="3">
        <v>2.85</v>
      </c>
      <c r="L196" s="3">
        <v>3.17</v>
      </c>
      <c r="M196" s="3">
        <v>3.5</v>
      </c>
      <c r="N196" s="3">
        <v>1</v>
      </c>
      <c r="O196" s="3">
        <v>4.0948077749919827E-3</v>
      </c>
      <c r="P196" s="3">
        <v>2.4396700533650673E-2</v>
      </c>
      <c r="Q196" s="3">
        <v>0.32340533650733128</v>
      </c>
      <c r="R196" s="3">
        <v>807.44906688057404</v>
      </c>
      <c r="S196" s="3">
        <v>2.802576899539627</v>
      </c>
      <c r="U196" s="3">
        <v>2.6842558309817832</v>
      </c>
      <c r="V196" s="3">
        <v>-0.11832106855784374</v>
      </c>
      <c r="X196" s="3">
        <v>2.6279235315286069</v>
      </c>
      <c r="Y196" s="3">
        <v>-0.17465336801102005</v>
      </c>
      <c r="AA196" s="3">
        <v>1</v>
      </c>
      <c r="AB196" s="3">
        <v>1</v>
      </c>
      <c r="AC196" s="3">
        <v>1</v>
      </c>
    </row>
    <row r="197" spans="2:29" x14ac:dyDescent="0.2">
      <c r="B197" s="3" t="s">
        <v>409</v>
      </c>
      <c r="C197" s="3" t="s">
        <v>410</v>
      </c>
      <c r="D197" s="8">
        <v>42174</v>
      </c>
      <c r="E197" s="3">
        <v>1175</v>
      </c>
      <c r="F197" s="3" t="s">
        <v>25</v>
      </c>
      <c r="G197" s="3" t="s">
        <v>26</v>
      </c>
      <c r="H197" s="3">
        <v>781.5</v>
      </c>
      <c r="I197" s="3">
        <v>783.25</v>
      </c>
      <c r="J197" s="3">
        <v>785</v>
      </c>
      <c r="K197" s="3">
        <v>3.2</v>
      </c>
      <c r="L197" s="3">
        <v>3.55</v>
      </c>
      <c r="M197" s="3">
        <v>3.9</v>
      </c>
      <c r="N197" s="3">
        <v>1</v>
      </c>
      <c r="O197" s="3">
        <v>4.0948077749919827E-3</v>
      </c>
      <c r="P197" s="3">
        <v>2.4396700533650673E-2</v>
      </c>
      <c r="Q197" s="3">
        <v>0.32340533650733128</v>
      </c>
      <c r="R197" s="3">
        <v>783.25590061729054</v>
      </c>
      <c r="S197" s="3">
        <v>3.5440929334789857</v>
      </c>
      <c r="U197" s="3">
        <v>3.1735942264276673</v>
      </c>
      <c r="V197" s="3">
        <v>-0.37049870705131838</v>
      </c>
      <c r="X197" s="3">
        <v>3.014942536028653</v>
      </c>
      <c r="Y197" s="3">
        <v>-0.52915039745033265</v>
      </c>
      <c r="AA197" s="3">
        <v>1</v>
      </c>
      <c r="AB197" s="3">
        <v>1</v>
      </c>
      <c r="AC197" s="3">
        <v>1</v>
      </c>
    </row>
    <row r="198" spans="2:29" x14ac:dyDescent="0.2">
      <c r="B198" s="3" t="s">
        <v>411</v>
      </c>
      <c r="C198" s="3" t="s">
        <v>412</v>
      </c>
      <c r="D198" s="8">
        <v>42174</v>
      </c>
      <c r="E198" s="3">
        <v>1200</v>
      </c>
      <c r="F198" s="3" t="s">
        <v>25</v>
      </c>
      <c r="G198" s="3" t="s">
        <v>26</v>
      </c>
      <c r="H198" s="3">
        <v>757</v>
      </c>
      <c r="I198" s="3">
        <v>758.75</v>
      </c>
      <c r="J198" s="3">
        <v>760.5</v>
      </c>
      <c r="K198" s="3">
        <v>3.6</v>
      </c>
      <c r="L198" s="3">
        <v>4</v>
      </c>
      <c r="M198" s="3">
        <v>4.4000000000000004</v>
      </c>
      <c r="N198" s="3">
        <v>1</v>
      </c>
      <c r="O198" s="3">
        <v>4.0948077749919827E-3</v>
      </c>
      <c r="P198" s="3">
        <v>2.4396700533650673E-2</v>
      </c>
      <c r="Q198" s="3">
        <v>0.31769959694528871</v>
      </c>
      <c r="R198" s="3">
        <v>758.76600027015684</v>
      </c>
      <c r="S198" s="3">
        <v>3.9888748835687409</v>
      </c>
      <c r="U198" s="3">
        <v>3.4325280169377947</v>
      </c>
      <c r="V198" s="3">
        <v>-0.55634686663094612</v>
      </c>
      <c r="X198" s="3">
        <v>3.4494923133190363</v>
      </c>
      <c r="Y198" s="3">
        <v>-0.5393825702497046</v>
      </c>
      <c r="AA198" s="3">
        <v>1</v>
      </c>
      <c r="AB198" s="3">
        <v>1</v>
      </c>
      <c r="AC198" s="3">
        <v>1</v>
      </c>
    </row>
    <row r="199" spans="2:29" x14ac:dyDescent="0.2">
      <c r="B199" s="3" t="s">
        <v>413</v>
      </c>
      <c r="C199" s="3" t="s">
        <v>414</v>
      </c>
      <c r="D199" s="8">
        <v>42174</v>
      </c>
      <c r="E199" s="3">
        <v>1225</v>
      </c>
      <c r="F199" s="3" t="s">
        <v>25</v>
      </c>
      <c r="G199" s="3" t="s">
        <v>26</v>
      </c>
      <c r="H199" s="3">
        <v>732.5</v>
      </c>
      <c r="I199" s="3">
        <v>734.3</v>
      </c>
      <c r="J199" s="3">
        <v>736.1</v>
      </c>
      <c r="K199" s="3">
        <v>4.0999999999999996</v>
      </c>
      <c r="L199" s="3">
        <v>4.5</v>
      </c>
      <c r="M199" s="3">
        <v>4.9000000000000004</v>
      </c>
      <c r="N199" s="3">
        <v>1</v>
      </c>
      <c r="O199" s="3">
        <v>4.0948077749919827E-3</v>
      </c>
      <c r="P199" s="3">
        <v>2.4396700533650673E-2</v>
      </c>
      <c r="Q199" s="3">
        <v>0.31199385738324614</v>
      </c>
      <c r="R199" s="3">
        <v>734.32118989852893</v>
      </c>
      <c r="S199" s="3">
        <v>4.4787468091637663</v>
      </c>
      <c r="U199" s="3">
        <v>4.1105717003057407</v>
      </c>
      <c r="V199" s="3">
        <v>-0.36817510885802562</v>
      </c>
      <c r="X199" s="3">
        <v>3.9365304953447047</v>
      </c>
      <c r="Y199" s="3">
        <v>-0.54221631381906166</v>
      </c>
      <c r="AA199" s="3">
        <v>1</v>
      </c>
      <c r="AB199" s="3">
        <v>1</v>
      </c>
      <c r="AC199" s="3">
        <v>0</v>
      </c>
    </row>
    <row r="200" spans="2:29" x14ac:dyDescent="0.2">
      <c r="B200" s="3" t="s">
        <v>415</v>
      </c>
      <c r="C200" s="3" t="s">
        <v>416</v>
      </c>
      <c r="D200" s="8">
        <v>42174</v>
      </c>
      <c r="E200" s="3">
        <v>1250</v>
      </c>
      <c r="F200" s="3" t="s">
        <v>25</v>
      </c>
      <c r="G200" s="3" t="s">
        <v>26</v>
      </c>
      <c r="H200" s="3">
        <v>708.1</v>
      </c>
      <c r="I200" s="3">
        <v>709.9</v>
      </c>
      <c r="J200" s="3">
        <v>711.7</v>
      </c>
      <c r="K200" s="3">
        <v>4.4000000000000004</v>
      </c>
      <c r="L200" s="3">
        <v>4.9000000000000004</v>
      </c>
      <c r="M200" s="3">
        <v>5.4</v>
      </c>
      <c r="N200" s="3">
        <v>1</v>
      </c>
      <c r="O200" s="3">
        <v>4.0948077749919827E-3</v>
      </c>
      <c r="P200" s="3">
        <v>2.4396700533650673E-2</v>
      </c>
      <c r="Q200" s="3">
        <v>0.30580986314752528</v>
      </c>
      <c r="R200" s="3">
        <v>709.8813696381178</v>
      </c>
      <c r="S200" s="3">
        <v>4.9736088459759671</v>
      </c>
      <c r="U200" s="3">
        <v>4.4400308457288702</v>
      </c>
      <c r="V200" s="3">
        <v>-0.5335780002470969</v>
      </c>
      <c r="X200" s="3">
        <v>4.4902250857564212</v>
      </c>
      <c r="Y200" s="3">
        <v>-0.48338376021954588</v>
      </c>
      <c r="AA200" s="3">
        <v>1</v>
      </c>
      <c r="AB200" s="3">
        <v>0</v>
      </c>
      <c r="AC200" s="3">
        <v>0</v>
      </c>
    </row>
    <row r="201" spans="2:29" x14ac:dyDescent="0.2">
      <c r="B201" s="3" t="s">
        <v>417</v>
      </c>
      <c r="C201" s="3" t="s">
        <v>418</v>
      </c>
      <c r="D201" s="8">
        <v>42174</v>
      </c>
      <c r="E201" s="3">
        <v>1275</v>
      </c>
      <c r="F201" s="3" t="s">
        <v>25</v>
      </c>
      <c r="G201" s="3" t="s">
        <v>26</v>
      </c>
      <c r="H201" s="3">
        <v>683.7</v>
      </c>
      <c r="I201" s="3">
        <v>685.55</v>
      </c>
      <c r="J201" s="3">
        <v>687.4</v>
      </c>
      <c r="K201" s="3">
        <v>4.9000000000000004</v>
      </c>
      <c r="L201" s="3">
        <v>5.45</v>
      </c>
      <c r="M201" s="3">
        <v>6</v>
      </c>
      <c r="N201" s="3">
        <v>1</v>
      </c>
      <c r="O201" s="3">
        <v>4.0948077749919827E-3</v>
      </c>
      <c r="P201" s="3">
        <v>2.4396700533650673E-2</v>
      </c>
      <c r="Q201" s="3">
        <v>0.29962586891180443</v>
      </c>
      <c r="R201" s="3">
        <v>685.48634181562102</v>
      </c>
      <c r="S201" s="3">
        <v>5.51326332070213</v>
      </c>
      <c r="U201" s="3">
        <v>5.406233843414384</v>
      </c>
      <c r="V201" s="3">
        <v>-0.10702947728774603</v>
      </c>
      <c r="X201" s="3">
        <v>5.1133229487391478</v>
      </c>
      <c r="Y201" s="3">
        <v>-0.39994037196298216</v>
      </c>
      <c r="AA201" s="3">
        <v>1</v>
      </c>
      <c r="AB201" s="3">
        <v>0</v>
      </c>
      <c r="AC201" s="3">
        <v>0</v>
      </c>
    </row>
    <row r="202" spans="2:29" x14ac:dyDescent="0.2">
      <c r="B202" s="3" t="s">
        <v>419</v>
      </c>
      <c r="C202" s="3" t="s">
        <v>420</v>
      </c>
      <c r="D202" s="8">
        <v>42174</v>
      </c>
      <c r="E202" s="3">
        <v>1300</v>
      </c>
      <c r="F202" s="3" t="s">
        <v>25</v>
      </c>
      <c r="G202" s="3" t="s">
        <v>26</v>
      </c>
      <c r="H202" s="3">
        <v>659.4</v>
      </c>
      <c r="I202" s="3">
        <v>661.25</v>
      </c>
      <c r="J202" s="3">
        <v>663.1</v>
      </c>
      <c r="K202" s="3">
        <v>5.5</v>
      </c>
      <c r="L202" s="3">
        <v>6.1</v>
      </c>
      <c r="M202" s="3">
        <v>6.7</v>
      </c>
      <c r="N202" s="3">
        <v>1</v>
      </c>
      <c r="O202" s="3">
        <v>4.0948077749919827E-3</v>
      </c>
      <c r="P202" s="3">
        <v>2.4396700533650673E-2</v>
      </c>
      <c r="Q202" s="3">
        <v>0.29438924851893122</v>
      </c>
      <c r="R202" s="3">
        <v>661.24488544093583</v>
      </c>
      <c r="S202" s="3">
        <v>6.2064892432404477</v>
      </c>
      <c r="U202" s="3">
        <v>5.9239985147664811</v>
      </c>
      <c r="V202" s="3">
        <v>-0.28249072847396661</v>
      </c>
      <c r="X202" s="3">
        <v>5.8075021997808571</v>
      </c>
      <c r="Y202" s="3">
        <v>-0.39898704345959057</v>
      </c>
      <c r="AA202" s="3">
        <v>1</v>
      </c>
      <c r="AB202" s="3">
        <v>0</v>
      </c>
      <c r="AC202" s="3">
        <v>0</v>
      </c>
    </row>
    <row r="203" spans="2:29" x14ac:dyDescent="0.2">
      <c r="B203" s="3" t="s">
        <v>421</v>
      </c>
      <c r="C203" s="3" t="s">
        <v>422</v>
      </c>
      <c r="D203" s="8">
        <v>42174</v>
      </c>
      <c r="E203" s="3">
        <v>1325</v>
      </c>
      <c r="F203" s="3" t="s">
        <v>25</v>
      </c>
      <c r="G203" s="3" t="s">
        <v>26</v>
      </c>
      <c r="H203" s="3">
        <v>635.20000000000005</v>
      </c>
      <c r="I203" s="3">
        <v>637.1</v>
      </c>
      <c r="J203" s="3">
        <v>639</v>
      </c>
      <c r="K203" s="3">
        <v>6.4</v>
      </c>
      <c r="L203" s="3">
        <v>6.95</v>
      </c>
      <c r="M203" s="3">
        <v>7.5</v>
      </c>
      <c r="N203" s="3">
        <v>1</v>
      </c>
      <c r="O203" s="3">
        <v>4.0948077749919827E-3</v>
      </c>
      <c r="P203" s="3">
        <v>2.4396700533650673E-2</v>
      </c>
      <c r="Q203" s="3">
        <v>0.28915262812605802</v>
      </c>
      <c r="R203" s="3">
        <v>637.07672094816667</v>
      </c>
      <c r="S203" s="3">
        <v>6.973007047694125</v>
      </c>
      <c r="U203" s="3">
        <v>6.799822960637016</v>
      </c>
      <c r="V203" s="3">
        <v>-0.17318408705710908</v>
      </c>
      <c r="X203" s="3">
        <v>6.5834627022608556</v>
      </c>
      <c r="Y203" s="3">
        <v>-0.38954434543326943</v>
      </c>
      <c r="AA203" s="3">
        <v>1</v>
      </c>
      <c r="AB203" s="3">
        <v>0</v>
      </c>
      <c r="AC203" s="3">
        <v>0</v>
      </c>
    </row>
    <row r="204" spans="2:29" x14ac:dyDescent="0.2">
      <c r="B204" s="3" t="s">
        <v>423</v>
      </c>
      <c r="C204" s="3" t="s">
        <v>424</v>
      </c>
      <c r="D204" s="8">
        <v>42174</v>
      </c>
      <c r="E204" s="3">
        <v>1350</v>
      </c>
      <c r="F204" s="3" t="s">
        <v>25</v>
      </c>
      <c r="G204" s="3" t="s">
        <v>26</v>
      </c>
      <c r="H204" s="3">
        <v>611.1</v>
      </c>
      <c r="I204" s="3">
        <v>613</v>
      </c>
      <c r="J204" s="3">
        <v>614.9</v>
      </c>
      <c r="K204" s="3">
        <v>7.3</v>
      </c>
      <c r="L204" s="3">
        <v>7.9</v>
      </c>
      <c r="M204" s="3">
        <v>8.5</v>
      </c>
      <c r="N204" s="3">
        <v>1</v>
      </c>
      <c r="O204" s="3">
        <v>4.0948077749919827E-3</v>
      </c>
      <c r="P204" s="3">
        <v>2.4396700533650673E-2</v>
      </c>
      <c r="Q204" s="3">
        <v>0.2839265137315331</v>
      </c>
      <c r="R204" s="3">
        <v>612.99029527101266</v>
      </c>
      <c r="S204" s="3">
        <v>7.8212636677634038</v>
      </c>
      <c r="U204" s="3">
        <v>7.5942509995445562</v>
      </c>
      <c r="V204" s="3">
        <v>-0.22701266821884758</v>
      </c>
      <c r="X204" s="3">
        <v>7.4541594402793212</v>
      </c>
      <c r="Y204" s="3">
        <v>-0.36710422748408256</v>
      </c>
      <c r="AA204" s="3">
        <v>1</v>
      </c>
      <c r="AB204" s="3">
        <v>0</v>
      </c>
      <c r="AC204" s="3">
        <v>0</v>
      </c>
    </row>
    <row r="205" spans="2:29" x14ac:dyDescent="0.2">
      <c r="B205" s="3" t="s">
        <v>425</v>
      </c>
      <c r="C205" s="3" t="s">
        <v>426</v>
      </c>
      <c r="D205" s="8">
        <v>42174</v>
      </c>
      <c r="E205" s="3">
        <v>1375</v>
      </c>
      <c r="F205" s="3" t="s">
        <v>25</v>
      </c>
      <c r="G205" s="3" t="s">
        <v>26</v>
      </c>
      <c r="H205" s="3">
        <v>587.1</v>
      </c>
      <c r="I205" s="3">
        <v>589</v>
      </c>
      <c r="J205" s="3">
        <v>590.9</v>
      </c>
      <c r="K205" s="3">
        <v>8.1</v>
      </c>
      <c r="L205" s="3">
        <v>8.75</v>
      </c>
      <c r="M205" s="3">
        <v>9.4</v>
      </c>
      <c r="N205" s="3">
        <v>1</v>
      </c>
      <c r="O205" s="3">
        <v>4.0948077749919827E-3</v>
      </c>
      <c r="P205" s="3">
        <v>2.4396700533650673E-2</v>
      </c>
      <c r="Q205" s="3">
        <v>0.27870039933700813</v>
      </c>
      <c r="R205" s="3">
        <v>588.99222204362263</v>
      </c>
      <c r="S205" s="3">
        <v>8.7578727375966992</v>
      </c>
      <c r="U205" s="3">
        <v>8.270679028841414</v>
      </c>
      <c r="V205" s="3">
        <v>-0.48719370875528512</v>
      </c>
      <c r="X205" s="3">
        <v>8.4231430717335343</v>
      </c>
      <c r="Y205" s="3">
        <v>-0.33472966586316488</v>
      </c>
      <c r="AA205" s="3">
        <v>1</v>
      </c>
      <c r="AB205" s="3">
        <v>0</v>
      </c>
      <c r="AC205" s="3">
        <v>0</v>
      </c>
    </row>
    <row r="206" spans="2:29" x14ac:dyDescent="0.2">
      <c r="B206" s="3" t="s">
        <v>427</v>
      </c>
      <c r="C206" s="3" t="s">
        <v>428</v>
      </c>
      <c r="D206" s="8">
        <v>42174</v>
      </c>
      <c r="E206" s="3">
        <v>1400</v>
      </c>
      <c r="F206" s="3" t="s">
        <v>25</v>
      </c>
      <c r="G206" s="3" t="s">
        <v>26</v>
      </c>
      <c r="H206" s="3">
        <v>563.20000000000005</v>
      </c>
      <c r="I206" s="3">
        <v>565.1</v>
      </c>
      <c r="J206" s="3">
        <v>567</v>
      </c>
      <c r="K206" s="3">
        <v>9.1</v>
      </c>
      <c r="L206" s="3">
        <v>9.75</v>
      </c>
      <c r="M206" s="3">
        <v>10.4</v>
      </c>
      <c r="N206" s="3">
        <v>1</v>
      </c>
      <c r="O206" s="3">
        <v>4.0948077749919827E-3</v>
      </c>
      <c r="P206" s="3">
        <v>2.4396700533650673E-2</v>
      </c>
      <c r="Q206" s="3">
        <v>0.27336370576498814</v>
      </c>
      <c r="R206" s="3">
        <v>565.07320263524821</v>
      </c>
      <c r="S206" s="3">
        <v>9.7735356264451809</v>
      </c>
      <c r="U206" s="3">
        <v>9.4553743342000871</v>
      </c>
      <c r="V206" s="3">
        <v>-0.31816129224509382</v>
      </c>
      <c r="X206" s="3">
        <v>9.4984162257016767</v>
      </c>
      <c r="Y206" s="3">
        <v>-0.27511940074350427</v>
      </c>
      <c r="AA206" s="3">
        <v>1</v>
      </c>
      <c r="AB206" s="3">
        <v>0</v>
      </c>
      <c r="AC206" s="3">
        <v>0</v>
      </c>
    </row>
    <row r="207" spans="2:29" x14ac:dyDescent="0.2">
      <c r="B207" s="3" t="s">
        <v>429</v>
      </c>
      <c r="C207" s="3" t="s">
        <v>430</v>
      </c>
      <c r="D207" s="8">
        <v>42174</v>
      </c>
      <c r="E207" s="3">
        <v>1425</v>
      </c>
      <c r="F207" s="3" t="s">
        <v>25</v>
      </c>
      <c r="G207" s="3" t="s">
        <v>26</v>
      </c>
      <c r="H207" s="3">
        <v>539.4</v>
      </c>
      <c r="I207" s="3">
        <v>541.29999999999995</v>
      </c>
      <c r="J207" s="3">
        <v>543.20000000000005</v>
      </c>
      <c r="K207" s="3">
        <v>10.199999999999999</v>
      </c>
      <c r="L207" s="3">
        <v>10.85</v>
      </c>
      <c r="M207" s="3">
        <v>11.5</v>
      </c>
      <c r="N207" s="3">
        <v>1</v>
      </c>
      <c r="O207" s="3">
        <v>4.0948077749919827E-3</v>
      </c>
      <c r="P207" s="3">
        <v>2.4396700533650673E-2</v>
      </c>
      <c r="Q207" s="3">
        <v>0.26802701219296809</v>
      </c>
      <c r="R207" s="3">
        <v>541.25734991107015</v>
      </c>
      <c r="S207" s="3">
        <v>10.892365199490271</v>
      </c>
      <c r="U207" s="3">
        <v>10.561525353965635</v>
      </c>
      <c r="V207" s="3">
        <v>-0.33083984552463619</v>
      </c>
      <c r="X207" s="3">
        <v>10.689175905562902</v>
      </c>
      <c r="Y207" s="3">
        <v>-0.20318929392736962</v>
      </c>
      <c r="AA207" s="3">
        <v>1</v>
      </c>
      <c r="AB207" s="3">
        <v>0</v>
      </c>
      <c r="AC207" s="3">
        <v>0</v>
      </c>
    </row>
    <row r="208" spans="2:29" x14ac:dyDescent="0.2">
      <c r="B208" s="3" t="s">
        <v>431</v>
      </c>
      <c r="C208" s="3" t="s">
        <v>432</v>
      </c>
      <c r="D208" s="8">
        <v>42174</v>
      </c>
      <c r="E208" s="3">
        <v>1450</v>
      </c>
      <c r="F208" s="3" t="s">
        <v>25</v>
      </c>
      <c r="G208" s="3" t="s">
        <v>26</v>
      </c>
      <c r="H208" s="3">
        <v>515.70000000000005</v>
      </c>
      <c r="I208" s="3">
        <v>517.6</v>
      </c>
      <c r="J208" s="3">
        <v>519.5</v>
      </c>
      <c r="K208" s="3">
        <v>11.5</v>
      </c>
      <c r="L208" s="3">
        <v>12.25</v>
      </c>
      <c r="M208" s="3">
        <v>13</v>
      </c>
      <c r="N208" s="3">
        <v>1</v>
      </c>
      <c r="O208" s="3">
        <v>4.0948077749919827E-3</v>
      </c>
      <c r="P208" s="3">
        <v>2.4396700533650673E-2</v>
      </c>
      <c r="Q208" s="3">
        <v>0.26327530959530615</v>
      </c>
      <c r="R208" s="3">
        <v>517.66764403167645</v>
      </c>
      <c r="S208" s="3">
        <v>12.237341617319942</v>
      </c>
      <c r="U208" s="3">
        <v>12.317651739652092</v>
      </c>
      <c r="V208" s="3">
        <v>8.0310122332150513E-2</v>
      </c>
      <c r="X208" s="3">
        <v>12.01034012893977</v>
      </c>
      <c r="Y208" s="3">
        <v>-0.22700148838017142</v>
      </c>
      <c r="AA208" s="3">
        <v>1</v>
      </c>
      <c r="AB208" s="3">
        <v>0</v>
      </c>
      <c r="AC208" s="3">
        <v>0</v>
      </c>
    </row>
    <row r="209" spans="2:29" x14ac:dyDescent="0.2">
      <c r="B209" s="3" t="s">
        <v>433</v>
      </c>
      <c r="C209" s="3" t="s">
        <v>434</v>
      </c>
      <c r="D209" s="8">
        <v>42174</v>
      </c>
      <c r="E209" s="3">
        <v>1475</v>
      </c>
      <c r="F209" s="3" t="s">
        <v>25</v>
      </c>
      <c r="G209" s="3" t="s">
        <v>26</v>
      </c>
      <c r="H209" s="3">
        <v>492.2</v>
      </c>
      <c r="I209" s="3">
        <v>494.25</v>
      </c>
      <c r="J209" s="3">
        <v>496.3</v>
      </c>
      <c r="K209" s="3">
        <v>12.9</v>
      </c>
      <c r="L209" s="3">
        <v>13.7</v>
      </c>
      <c r="M209" s="3">
        <v>14.5</v>
      </c>
      <c r="N209" s="3">
        <v>1</v>
      </c>
      <c r="O209" s="3">
        <v>4.0948077749919827E-3</v>
      </c>
      <c r="P209" s="3">
        <v>2.4396700533650673E-2</v>
      </c>
      <c r="Q209" s="3">
        <v>0.25852360699764421</v>
      </c>
      <c r="R209" s="3">
        <v>494.22284107836413</v>
      </c>
      <c r="S209" s="3">
        <v>13.727220961230643</v>
      </c>
      <c r="U209" s="3">
        <v>13.243191860812374</v>
      </c>
      <c r="V209" s="3">
        <v>-0.48402910041826885</v>
      </c>
      <c r="X209" s="3">
        <v>13.465442275928401</v>
      </c>
      <c r="Y209" s="3">
        <v>-0.26177868530224124</v>
      </c>
      <c r="AA209" s="3">
        <v>1</v>
      </c>
      <c r="AB209" s="3">
        <v>0</v>
      </c>
      <c r="AC209" s="3">
        <v>0</v>
      </c>
    </row>
    <row r="210" spans="2:29" x14ac:dyDescent="0.2">
      <c r="B210" s="3" t="s">
        <v>435</v>
      </c>
      <c r="C210" s="3" t="s">
        <v>436</v>
      </c>
      <c r="D210" s="8">
        <v>42174</v>
      </c>
      <c r="E210" s="3">
        <v>1500</v>
      </c>
      <c r="F210" s="3" t="s">
        <v>25</v>
      </c>
      <c r="G210" s="3" t="s">
        <v>26</v>
      </c>
      <c r="H210" s="3">
        <v>468.8</v>
      </c>
      <c r="I210" s="3">
        <v>470.65</v>
      </c>
      <c r="J210" s="3">
        <v>472.5</v>
      </c>
      <c r="K210" s="3">
        <v>14.4</v>
      </c>
      <c r="L210" s="3">
        <v>15.2</v>
      </c>
      <c r="M210" s="3">
        <v>16</v>
      </c>
      <c r="N210" s="3">
        <v>1</v>
      </c>
      <c r="O210" s="3">
        <v>4.0948077749919827E-3</v>
      </c>
      <c r="P210" s="3">
        <v>2.4396700533650673E-2</v>
      </c>
      <c r="Q210" s="3">
        <v>0.25339185877573189</v>
      </c>
      <c r="R210" s="3">
        <v>470.85023164306199</v>
      </c>
      <c r="S210" s="3">
        <v>15.289293823151695</v>
      </c>
      <c r="U210" s="3">
        <v>14.873065595924061</v>
      </c>
      <c r="V210" s="3">
        <v>-0.41622822722763431</v>
      </c>
      <c r="X210" s="3">
        <v>15.077299371794853</v>
      </c>
      <c r="Y210" s="3">
        <v>-0.21199445135684236</v>
      </c>
      <c r="AA210" s="3">
        <v>1</v>
      </c>
      <c r="AB210" s="3">
        <v>0</v>
      </c>
      <c r="AC210" s="3">
        <v>0</v>
      </c>
    </row>
    <row r="211" spans="2:29" x14ac:dyDescent="0.2">
      <c r="B211" s="3" t="s">
        <v>437</v>
      </c>
      <c r="C211" s="3" t="s">
        <v>438</v>
      </c>
      <c r="D211" s="8">
        <v>42174</v>
      </c>
      <c r="E211" s="3">
        <v>1525</v>
      </c>
      <c r="F211" s="3" t="s">
        <v>25</v>
      </c>
      <c r="G211" s="3" t="s">
        <v>26</v>
      </c>
      <c r="H211" s="3">
        <v>445.6</v>
      </c>
      <c r="I211" s="3">
        <v>447.7</v>
      </c>
      <c r="J211" s="3">
        <v>449.8</v>
      </c>
      <c r="K211" s="3">
        <v>16.100000000000001</v>
      </c>
      <c r="L211" s="3">
        <v>16.95</v>
      </c>
      <c r="M211" s="3">
        <v>17.8</v>
      </c>
      <c r="N211" s="3">
        <v>1</v>
      </c>
      <c r="O211" s="3">
        <v>4.0948077749919827E-3</v>
      </c>
      <c r="P211" s="3">
        <v>2.4396700533650673E-2</v>
      </c>
      <c r="Q211" s="3">
        <v>0.24826011055381964</v>
      </c>
      <c r="R211" s="3">
        <v>447.63808386362393</v>
      </c>
      <c r="S211" s="3">
        <v>17.011828340936916</v>
      </c>
      <c r="U211" s="3">
        <v>17.327140957082236</v>
      </c>
      <c r="V211" s="3">
        <v>0.31531261614532013</v>
      </c>
      <c r="X211" s="3">
        <v>16.855083080360274</v>
      </c>
      <c r="Y211" s="3">
        <v>-0.15674526057664195</v>
      </c>
      <c r="AA211" s="3">
        <v>1</v>
      </c>
      <c r="AB211" s="3">
        <v>0</v>
      </c>
      <c r="AC211" s="3">
        <v>0</v>
      </c>
    </row>
    <row r="212" spans="2:29" x14ac:dyDescent="0.2">
      <c r="B212" s="3" t="s">
        <v>439</v>
      </c>
      <c r="C212" s="3" t="s">
        <v>440</v>
      </c>
      <c r="D212" s="8">
        <v>42174</v>
      </c>
      <c r="E212" s="3">
        <v>1550</v>
      </c>
      <c r="F212" s="3" t="s">
        <v>25</v>
      </c>
      <c r="G212" s="3" t="s">
        <v>26</v>
      </c>
      <c r="H212" s="3">
        <v>422.7</v>
      </c>
      <c r="I212" s="3">
        <v>424.55</v>
      </c>
      <c r="J212" s="3">
        <v>426.4</v>
      </c>
      <c r="K212" s="3">
        <v>18</v>
      </c>
      <c r="L212" s="3">
        <v>18.899999999999999</v>
      </c>
      <c r="M212" s="3">
        <v>19.8</v>
      </c>
      <c r="N212" s="3">
        <v>1</v>
      </c>
      <c r="O212" s="3">
        <v>4.0948077749919827E-3</v>
      </c>
      <c r="P212" s="3">
        <v>2.4396700533650673E-2</v>
      </c>
      <c r="Q212" s="3">
        <v>0.24324215024407489</v>
      </c>
      <c r="R212" s="3">
        <v>424.6333282791245</v>
      </c>
      <c r="S212" s="3">
        <v>18.94175505366033</v>
      </c>
      <c r="U212" s="3">
        <v>18.862342995382448</v>
      </c>
      <c r="V212" s="3">
        <v>-7.941205827788167E-2</v>
      </c>
      <c r="X212" s="3">
        <v>18.812159339389158</v>
      </c>
      <c r="Y212" s="3">
        <v>-0.12959571427117211</v>
      </c>
      <c r="AA212" s="3">
        <v>1</v>
      </c>
      <c r="AB212" s="3">
        <v>0</v>
      </c>
      <c r="AC212" s="3">
        <v>0</v>
      </c>
    </row>
    <row r="213" spans="2:29" x14ac:dyDescent="0.2">
      <c r="B213" s="3" t="s">
        <v>441</v>
      </c>
      <c r="C213" s="3" t="s">
        <v>442</v>
      </c>
      <c r="D213" s="8">
        <v>42174</v>
      </c>
      <c r="E213" s="3">
        <v>1575</v>
      </c>
      <c r="F213" s="3" t="s">
        <v>25</v>
      </c>
      <c r="G213" s="3" t="s">
        <v>26</v>
      </c>
      <c r="H213" s="3">
        <v>399.9</v>
      </c>
      <c r="I213" s="3">
        <v>401.85</v>
      </c>
      <c r="J213" s="3">
        <v>403.8</v>
      </c>
      <c r="K213" s="3">
        <v>20.100000000000001</v>
      </c>
      <c r="L213" s="3">
        <v>21.05</v>
      </c>
      <c r="M213" s="3">
        <v>22</v>
      </c>
      <c r="N213" s="3">
        <v>1</v>
      </c>
      <c r="O213" s="3">
        <v>4.0948077749919827E-3</v>
      </c>
      <c r="P213" s="3">
        <v>2.4396700533650673E-2</v>
      </c>
      <c r="Q213" s="3">
        <v>0.23822418993433014</v>
      </c>
      <c r="R213" s="3">
        <v>401.82842890874053</v>
      </c>
      <c r="S213" s="3">
        <v>21.071537980499613</v>
      </c>
      <c r="U213" s="3">
        <v>21.287757826673726</v>
      </c>
      <c r="V213" s="3">
        <v>0.21621984617411272</v>
      </c>
      <c r="X213" s="3">
        <v>20.971144245041479</v>
      </c>
      <c r="Y213" s="3">
        <v>-0.1003937354581339</v>
      </c>
      <c r="AA213" s="3">
        <v>1</v>
      </c>
      <c r="AB213" s="3">
        <v>0</v>
      </c>
      <c r="AC213" s="3">
        <v>0</v>
      </c>
    </row>
    <row r="214" spans="2:29" x14ac:dyDescent="0.2">
      <c r="B214" s="3" t="s">
        <v>443</v>
      </c>
      <c r="C214" s="3" t="s">
        <v>444</v>
      </c>
      <c r="D214" s="8">
        <v>42174</v>
      </c>
      <c r="E214" s="3">
        <v>1600</v>
      </c>
      <c r="F214" s="3" t="s">
        <v>25</v>
      </c>
      <c r="G214" s="3" t="s">
        <v>26</v>
      </c>
      <c r="H214" s="3">
        <v>377.3</v>
      </c>
      <c r="I214" s="3">
        <v>379.4</v>
      </c>
      <c r="J214" s="3">
        <v>381.5</v>
      </c>
      <c r="K214" s="3">
        <v>22.4</v>
      </c>
      <c r="L214" s="3">
        <v>23.4</v>
      </c>
      <c r="M214" s="3">
        <v>24.4</v>
      </c>
      <c r="N214" s="3">
        <v>1</v>
      </c>
      <c r="O214" s="3">
        <v>4.0948077749919827E-3</v>
      </c>
      <c r="P214" s="3">
        <v>2.4396700533650673E-2</v>
      </c>
      <c r="Q214" s="3">
        <v>0.23342078943102521</v>
      </c>
      <c r="R214" s="3">
        <v>379.31106304050081</v>
      </c>
      <c r="S214" s="3">
        <v>23.488854409483281</v>
      </c>
      <c r="U214" s="3">
        <v>23.711599296235761</v>
      </c>
      <c r="V214" s="3">
        <v>0.22274488675247994</v>
      </c>
      <c r="X214" s="3">
        <v>23.34040676623173</v>
      </c>
      <c r="Y214" s="3">
        <v>-0.14844764325155069</v>
      </c>
      <c r="AA214" s="3">
        <v>1</v>
      </c>
      <c r="AB214" s="3">
        <v>0</v>
      </c>
      <c r="AC214" s="3">
        <v>0</v>
      </c>
    </row>
    <row r="215" spans="2:29" x14ac:dyDescent="0.2">
      <c r="B215" s="3" t="s">
        <v>445</v>
      </c>
      <c r="C215" s="3" t="s">
        <v>446</v>
      </c>
      <c r="D215" s="8">
        <v>42174</v>
      </c>
      <c r="E215" s="3">
        <v>1625</v>
      </c>
      <c r="F215" s="3" t="s">
        <v>25</v>
      </c>
      <c r="G215" s="3" t="s">
        <v>26</v>
      </c>
      <c r="H215" s="3">
        <v>355</v>
      </c>
      <c r="I215" s="3">
        <v>357</v>
      </c>
      <c r="J215" s="3">
        <v>359</v>
      </c>
      <c r="K215" s="3">
        <v>25.1</v>
      </c>
      <c r="L215" s="3">
        <v>26.3</v>
      </c>
      <c r="M215" s="3">
        <v>27.5</v>
      </c>
      <c r="N215" s="3">
        <v>1</v>
      </c>
      <c r="O215" s="3">
        <v>4.0948077749919827E-3</v>
      </c>
      <c r="P215" s="3">
        <v>2.4396700533650673E-2</v>
      </c>
      <c r="Q215" s="3">
        <v>0.22875609406328282</v>
      </c>
      <c r="R215" s="3">
        <v>357.09370480564394</v>
      </c>
      <c r="S215" s="3">
        <v>26.206178471849455</v>
      </c>
      <c r="U215" s="3">
        <v>26.135304296091192</v>
      </c>
      <c r="V215" s="3">
        <v>-7.0874175758262936E-2</v>
      </c>
      <c r="X215" s="3">
        <v>25.948157322640796</v>
      </c>
      <c r="Y215" s="3">
        <v>-0.25802114920865904</v>
      </c>
      <c r="AA215" s="3">
        <v>1</v>
      </c>
      <c r="AB215" s="3">
        <v>0</v>
      </c>
      <c r="AC215" s="3">
        <v>0</v>
      </c>
    </row>
    <row r="216" spans="2:29" x14ac:dyDescent="0.2">
      <c r="B216" s="3" t="s">
        <v>447</v>
      </c>
      <c r="C216" s="3" t="s">
        <v>448</v>
      </c>
      <c r="D216" s="8">
        <v>42174</v>
      </c>
      <c r="E216" s="3">
        <v>1650</v>
      </c>
      <c r="F216" s="3" t="s">
        <v>25</v>
      </c>
      <c r="G216" s="3" t="s">
        <v>26</v>
      </c>
      <c r="H216" s="3">
        <v>333.1</v>
      </c>
      <c r="I216" s="3">
        <v>334.9</v>
      </c>
      <c r="J216" s="3">
        <v>336.7</v>
      </c>
      <c r="K216" s="3">
        <v>27.9</v>
      </c>
      <c r="L216" s="3">
        <v>29</v>
      </c>
      <c r="M216" s="3">
        <v>30.1</v>
      </c>
      <c r="N216" s="3">
        <v>1</v>
      </c>
      <c r="O216" s="3">
        <v>4.0948077749919827E-3</v>
      </c>
      <c r="P216" s="3">
        <v>2.4396700533650673E-2</v>
      </c>
      <c r="Q216" s="3">
        <v>0.22343876174681421</v>
      </c>
      <c r="R216" s="3">
        <v>334.92641016900188</v>
      </c>
      <c r="S216" s="3">
        <v>28.973566132430449</v>
      </c>
      <c r="U216" s="3">
        <v>28.565944154001727</v>
      </c>
      <c r="V216" s="3">
        <v>-0.40762197842872183</v>
      </c>
      <c r="X216" s="3">
        <v>28.822137864896352</v>
      </c>
      <c r="Y216" s="3">
        <v>-0.15142826753409722</v>
      </c>
      <c r="AA216" s="3">
        <v>1</v>
      </c>
      <c r="AB216" s="3">
        <v>0</v>
      </c>
      <c r="AC216" s="3">
        <v>0</v>
      </c>
    </row>
    <row r="217" spans="2:29" x14ac:dyDescent="0.2">
      <c r="B217" s="3" t="s">
        <v>449</v>
      </c>
      <c r="C217" s="3" t="s">
        <v>450</v>
      </c>
      <c r="D217" s="8">
        <v>42174</v>
      </c>
      <c r="E217" s="3">
        <v>1675</v>
      </c>
      <c r="F217" s="3" t="s">
        <v>25</v>
      </c>
      <c r="G217" s="3" t="s">
        <v>26</v>
      </c>
      <c r="H217" s="3">
        <v>311.39999999999998</v>
      </c>
      <c r="I217" s="3">
        <v>313.10000000000002</v>
      </c>
      <c r="J217" s="3">
        <v>314.8</v>
      </c>
      <c r="K217" s="3">
        <v>31.1</v>
      </c>
      <c r="L217" s="3">
        <v>32.15</v>
      </c>
      <c r="M217" s="3">
        <v>33.200000000000003</v>
      </c>
      <c r="N217" s="3">
        <v>1</v>
      </c>
      <c r="O217" s="3">
        <v>4.0948077749919827E-3</v>
      </c>
      <c r="P217" s="3">
        <v>2.4396700533650673E-2</v>
      </c>
      <c r="Q217" s="3">
        <v>0.2183625577603954</v>
      </c>
      <c r="R217" s="3">
        <v>313.13401652124367</v>
      </c>
      <c r="S217" s="3">
        <v>32.115854781895678</v>
      </c>
      <c r="U217" s="3">
        <v>32.125047255952779</v>
      </c>
      <c r="V217" s="3">
        <v>9.1924740571016628E-3</v>
      </c>
      <c r="X217" s="3">
        <v>31.99061567216631</v>
      </c>
      <c r="Y217" s="3">
        <v>-0.12523910972936747</v>
      </c>
      <c r="AA217" s="3">
        <v>1</v>
      </c>
      <c r="AB217" s="3">
        <v>0</v>
      </c>
      <c r="AC217" s="3">
        <v>0</v>
      </c>
    </row>
    <row r="218" spans="2:29" x14ac:dyDescent="0.2">
      <c r="B218" s="3" t="s">
        <v>451</v>
      </c>
      <c r="C218" s="3" t="s">
        <v>452</v>
      </c>
      <c r="D218" s="8">
        <v>42174</v>
      </c>
      <c r="E218" s="3">
        <v>1700</v>
      </c>
      <c r="F218" s="3" t="s">
        <v>25</v>
      </c>
      <c r="G218" s="3" t="s">
        <v>26</v>
      </c>
      <c r="H218" s="3">
        <v>290</v>
      </c>
      <c r="I218" s="3">
        <v>291.7</v>
      </c>
      <c r="J218" s="3">
        <v>293.39999999999998</v>
      </c>
      <c r="K218" s="3">
        <v>34.6</v>
      </c>
      <c r="L218" s="3">
        <v>35.6</v>
      </c>
      <c r="M218" s="3">
        <v>36.6</v>
      </c>
      <c r="N218" s="3">
        <v>1</v>
      </c>
      <c r="O218" s="3">
        <v>4.0948077749919827E-3</v>
      </c>
      <c r="P218" s="3">
        <v>2.4396700533650673E-2</v>
      </c>
      <c r="Q218" s="3">
        <v>0.21334872485020751</v>
      </c>
      <c r="R218" s="3">
        <v>291.69174137315053</v>
      </c>
      <c r="S218" s="3">
        <v>35.608261931025424</v>
      </c>
      <c r="U218" s="3">
        <v>35.78175527151933</v>
      </c>
      <c r="V218" s="3">
        <v>0.17349334049390563</v>
      </c>
      <c r="X218" s="3">
        <v>35.479906056701516</v>
      </c>
      <c r="Y218" s="3">
        <v>-0.12835587432390838</v>
      </c>
      <c r="AA218" s="3">
        <v>1</v>
      </c>
      <c r="AB218" s="3">
        <v>0</v>
      </c>
      <c r="AC218" s="3">
        <v>0</v>
      </c>
    </row>
    <row r="219" spans="2:29" x14ac:dyDescent="0.2">
      <c r="B219" s="3" t="s">
        <v>453</v>
      </c>
      <c r="C219" s="3" t="s">
        <v>454</v>
      </c>
      <c r="D219" s="8">
        <v>42174</v>
      </c>
      <c r="E219" s="3">
        <v>1725</v>
      </c>
      <c r="F219" s="3" t="s">
        <v>25</v>
      </c>
      <c r="G219" s="3" t="s">
        <v>26</v>
      </c>
      <c r="H219" s="3">
        <v>269</v>
      </c>
      <c r="I219" s="3">
        <v>270.55</v>
      </c>
      <c r="J219" s="3">
        <v>272.10000000000002</v>
      </c>
      <c r="K219" s="3">
        <v>38.5</v>
      </c>
      <c r="L219" s="3">
        <v>39.450000000000003</v>
      </c>
      <c r="M219" s="3">
        <v>40.4</v>
      </c>
      <c r="N219" s="3">
        <v>1</v>
      </c>
      <c r="O219" s="3">
        <v>4.0948077749919827E-3</v>
      </c>
      <c r="P219" s="3">
        <v>2.4396700533650673E-2</v>
      </c>
      <c r="Q219" s="3">
        <v>0.20825057232646349</v>
      </c>
      <c r="R219" s="3">
        <v>270.57439758011196</v>
      </c>
      <c r="S219" s="3">
        <v>39.425600435209958</v>
      </c>
      <c r="U219" s="3">
        <v>39.556664746212959</v>
      </c>
      <c r="V219" s="3">
        <v>0.13106431100300142</v>
      </c>
      <c r="X219" s="3">
        <v>39.314006863811279</v>
      </c>
      <c r="Y219" s="3">
        <v>-0.11159357139867865</v>
      </c>
      <c r="AA219" s="3">
        <v>1</v>
      </c>
      <c r="AB219" s="3">
        <v>0</v>
      </c>
      <c r="AC219" s="3">
        <v>0</v>
      </c>
    </row>
    <row r="220" spans="2:29" x14ac:dyDescent="0.2">
      <c r="B220" s="3" t="s">
        <v>455</v>
      </c>
      <c r="C220" s="3" t="s">
        <v>456</v>
      </c>
      <c r="D220" s="8">
        <v>42174</v>
      </c>
      <c r="E220" s="3">
        <v>1750</v>
      </c>
      <c r="F220" s="3" t="s">
        <v>25</v>
      </c>
      <c r="G220" s="3" t="s">
        <v>26</v>
      </c>
      <c r="H220" s="3">
        <v>248.4</v>
      </c>
      <c r="I220" s="3">
        <v>249.95</v>
      </c>
      <c r="J220" s="3">
        <v>251.5</v>
      </c>
      <c r="K220" s="3">
        <v>42.8</v>
      </c>
      <c r="L220" s="3">
        <v>44.2</v>
      </c>
      <c r="M220" s="3">
        <v>45.6</v>
      </c>
      <c r="N220" s="3">
        <v>1</v>
      </c>
      <c r="O220" s="3">
        <v>4.0948077749919827E-3</v>
      </c>
      <c r="P220" s="3">
        <v>2.4396700533650673E-2</v>
      </c>
      <c r="Q220" s="3">
        <v>0.20386385748916766</v>
      </c>
      <c r="R220" s="3">
        <v>250.1818916896234</v>
      </c>
      <c r="S220" s="3">
        <v>43.967776841944612</v>
      </c>
      <c r="U220" s="3">
        <v>43.478149709796327</v>
      </c>
      <c r="V220" s="3">
        <v>-0.48962713214828568</v>
      </c>
      <c r="X220" s="3">
        <v>43.51331629813064</v>
      </c>
      <c r="Y220" s="3">
        <v>-0.45446054381397261</v>
      </c>
      <c r="AA220" s="3">
        <v>1</v>
      </c>
      <c r="AB220" s="3">
        <v>0</v>
      </c>
      <c r="AC220" s="3">
        <v>0</v>
      </c>
    </row>
    <row r="221" spans="2:29" x14ac:dyDescent="0.2">
      <c r="B221" s="3" t="s">
        <v>457</v>
      </c>
      <c r="C221" s="3" t="s">
        <v>458</v>
      </c>
      <c r="D221" s="8">
        <v>42174</v>
      </c>
      <c r="E221" s="3">
        <v>1775</v>
      </c>
      <c r="F221" s="3" t="s">
        <v>25</v>
      </c>
      <c r="G221" s="3" t="s">
        <v>26</v>
      </c>
      <c r="H221" s="3">
        <v>228.6</v>
      </c>
      <c r="I221" s="3">
        <v>229.95</v>
      </c>
      <c r="J221" s="3">
        <v>231.3</v>
      </c>
      <c r="K221" s="3">
        <v>47.5</v>
      </c>
      <c r="L221" s="3">
        <v>48.45</v>
      </c>
      <c r="M221" s="3">
        <v>49.4</v>
      </c>
      <c r="N221" s="3">
        <v>1</v>
      </c>
      <c r="O221" s="3">
        <v>4.0948077749919827E-3</v>
      </c>
      <c r="P221" s="3">
        <v>2.4396700533650673E-2</v>
      </c>
      <c r="Q221" s="3">
        <v>0.1986123507590577</v>
      </c>
      <c r="R221" s="3">
        <v>229.83960733502113</v>
      </c>
      <c r="S221" s="3">
        <v>48.560174784565504</v>
      </c>
      <c r="U221" s="3">
        <v>48.774762114296834</v>
      </c>
      <c r="V221" s="3">
        <v>0.2145873297313301</v>
      </c>
      <c r="X221" s="3">
        <v>48.133783332843599</v>
      </c>
      <c r="Y221" s="3">
        <v>-0.42639145172190496</v>
      </c>
      <c r="AA221" s="3">
        <v>1</v>
      </c>
      <c r="AB221" s="3">
        <v>0</v>
      </c>
      <c r="AC221" s="3">
        <v>0</v>
      </c>
    </row>
    <row r="222" spans="2:29" x14ac:dyDescent="0.2">
      <c r="B222" s="3" t="s">
        <v>459</v>
      </c>
      <c r="C222" s="3" t="s">
        <v>460</v>
      </c>
      <c r="D222" s="8">
        <v>42174</v>
      </c>
      <c r="E222" s="3">
        <v>1800</v>
      </c>
      <c r="F222" s="3" t="s">
        <v>25</v>
      </c>
      <c r="G222" s="3" t="s">
        <v>26</v>
      </c>
      <c r="H222" s="3">
        <v>208.6</v>
      </c>
      <c r="I222" s="3">
        <v>210.05</v>
      </c>
      <c r="J222" s="3">
        <v>211.5</v>
      </c>
      <c r="K222" s="3">
        <v>52.7</v>
      </c>
      <c r="L222" s="3">
        <v>53.65</v>
      </c>
      <c r="M222" s="3">
        <v>54.6</v>
      </c>
      <c r="N222" s="3">
        <v>1</v>
      </c>
      <c r="O222" s="3">
        <v>4.0948077749919827E-3</v>
      </c>
      <c r="P222" s="3">
        <v>2.4396700533650673E-2</v>
      </c>
      <c r="Q222" s="3">
        <v>0.19345939132314605</v>
      </c>
      <c r="R222" s="3">
        <v>210.02237653016823</v>
      </c>
      <c r="S222" s="3">
        <v>53.677626276935825</v>
      </c>
      <c r="U222" s="3">
        <v>53.123529286106759</v>
      </c>
      <c r="V222" s="3">
        <v>-0.55409699082906627</v>
      </c>
      <c r="X222" s="3">
        <v>53.234645217821381</v>
      </c>
      <c r="Y222" s="3">
        <v>-0.44298105911444452</v>
      </c>
      <c r="AA222" s="3">
        <v>1</v>
      </c>
      <c r="AB222" s="3">
        <v>0</v>
      </c>
      <c r="AC222" s="3">
        <v>0</v>
      </c>
    </row>
    <row r="223" spans="2:29" x14ac:dyDescent="0.2">
      <c r="B223" s="3" t="s">
        <v>461</v>
      </c>
      <c r="C223" s="3" t="s">
        <v>462</v>
      </c>
      <c r="D223" s="8">
        <v>42174</v>
      </c>
      <c r="E223" s="3">
        <v>1825</v>
      </c>
      <c r="F223" s="3" t="s">
        <v>25</v>
      </c>
      <c r="G223" s="3" t="s">
        <v>26</v>
      </c>
      <c r="H223" s="3">
        <v>189.5</v>
      </c>
      <c r="I223" s="3">
        <v>190.95</v>
      </c>
      <c r="J223" s="3">
        <v>192.4</v>
      </c>
      <c r="K223" s="3">
        <v>58.5</v>
      </c>
      <c r="L223" s="3">
        <v>59.5</v>
      </c>
      <c r="M223" s="3">
        <v>60.5</v>
      </c>
      <c r="N223" s="3">
        <v>1</v>
      </c>
      <c r="O223" s="3">
        <v>4.0948077749919827E-3</v>
      </c>
      <c r="P223" s="3">
        <v>2.4396700533650673E-2</v>
      </c>
      <c r="Q223" s="3">
        <v>0.18866945134662794</v>
      </c>
      <c r="R223" s="3">
        <v>190.9300339989245</v>
      </c>
      <c r="S223" s="3">
        <v>59.519966042915257</v>
      </c>
      <c r="U223" s="3">
        <v>58.964883722310304</v>
      </c>
      <c r="V223" s="3">
        <v>-0.55508232060495288</v>
      </c>
      <c r="X223" s="3">
        <v>58.86804889515895</v>
      </c>
      <c r="Y223" s="3">
        <v>-0.65191714775630771</v>
      </c>
      <c r="AA223" s="3">
        <v>1</v>
      </c>
      <c r="AB223" s="3">
        <v>0</v>
      </c>
      <c r="AC223" s="3">
        <v>0</v>
      </c>
    </row>
    <row r="224" spans="2:29" x14ac:dyDescent="0.2">
      <c r="B224" s="3" t="s">
        <v>463</v>
      </c>
      <c r="C224" s="3" t="s">
        <v>464</v>
      </c>
      <c r="D224" s="8">
        <v>42174</v>
      </c>
      <c r="E224" s="3">
        <v>1850</v>
      </c>
      <c r="F224" s="3" t="s">
        <v>25</v>
      </c>
      <c r="G224" s="3" t="s">
        <v>26</v>
      </c>
      <c r="H224" s="3">
        <v>171</v>
      </c>
      <c r="I224" s="3">
        <v>172.35</v>
      </c>
      <c r="J224" s="3">
        <v>173.7</v>
      </c>
      <c r="K224" s="3">
        <v>64.8</v>
      </c>
      <c r="L224" s="3">
        <v>65.75</v>
      </c>
      <c r="M224" s="3">
        <v>66.7</v>
      </c>
      <c r="N224" s="3">
        <v>1</v>
      </c>
      <c r="O224" s="3">
        <v>4.0948077749919827E-3</v>
      </c>
      <c r="P224" s="3">
        <v>2.4396700533650673E-2</v>
      </c>
      <c r="Q224" s="3">
        <v>0.18361139250780917</v>
      </c>
      <c r="R224" s="3">
        <v>172.28769020254572</v>
      </c>
      <c r="S224" s="3">
        <v>65.812304543759751</v>
      </c>
      <c r="U224" s="3">
        <v>65.163339215672806</v>
      </c>
      <c r="V224" s="3">
        <v>-0.64896532808694474</v>
      </c>
      <c r="X224" s="3">
        <v>65.067249119515665</v>
      </c>
      <c r="Y224" s="3">
        <v>-0.74505542424408588</v>
      </c>
      <c r="AA224" s="3">
        <v>1</v>
      </c>
      <c r="AB224" s="3">
        <v>0</v>
      </c>
      <c r="AC224" s="3">
        <v>0</v>
      </c>
    </row>
    <row r="225" spans="2:29" x14ac:dyDescent="0.2">
      <c r="B225" s="3" t="s">
        <v>465</v>
      </c>
      <c r="C225" s="3" t="s">
        <v>466</v>
      </c>
      <c r="D225" s="8">
        <v>42174</v>
      </c>
      <c r="E225" s="3">
        <v>1875</v>
      </c>
      <c r="F225" s="3" t="s">
        <v>25</v>
      </c>
      <c r="G225" s="3" t="s">
        <v>26</v>
      </c>
      <c r="H225" s="3">
        <v>153</v>
      </c>
      <c r="I225" s="3">
        <v>154.35</v>
      </c>
      <c r="J225" s="3">
        <v>155.69999999999999</v>
      </c>
      <c r="K225" s="3">
        <v>71.7</v>
      </c>
      <c r="L225" s="3">
        <v>72.900000000000006</v>
      </c>
      <c r="M225" s="3">
        <v>74.099999999999994</v>
      </c>
      <c r="N225" s="3">
        <v>1</v>
      </c>
      <c r="O225" s="3">
        <v>4.0948077749919827E-3</v>
      </c>
      <c r="P225" s="3">
        <v>2.4396700533650673E-2</v>
      </c>
      <c r="Q225" s="3">
        <v>0.17873103084709552</v>
      </c>
      <c r="R225" s="3">
        <v>154.39516058462186</v>
      </c>
      <c r="S225" s="3">
        <v>72.854457223058716</v>
      </c>
      <c r="U225" s="3">
        <v>71.786903295567868</v>
      </c>
      <c r="V225" s="3">
        <v>-1.0675539274908488</v>
      </c>
      <c r="X225" s="3">
        <v>71.883310312022132</v>
      </c>
      <c r="Y225" s="3">
        <v>-0.97114691103658402</v>
      </c>
      <c r="AA225" s="3">
        <v>1</v>
      </c>
      <c r="AB225" s="3">
        <v>0</v>
      </c>
      <c r="AC225" s="3">
        <v>0</v>
      </c>
    </row>
    <row r="226" spans="2:29" x14ac:dyDescent="0.2">
      <c r="B226" s="3" t="s">
        <v>467</v>
      </c>
      <c r="C226" s="3" t="s">
        <v>468</v>
      </c>
      <c r="D226" s="8">
        <v>42174</v>
      </c>
      <c r="E226" s="3">
        <v>1900</v>
      </c>
      <c r="F226" s="3" t="s">
        <v>25</v>
      </c>
      <c r="G226" s="3" t="s">
        <v>26</v>
      </c>
      <c r="H226" s="3">
        <v>135.80000000000001</v>
      </c>
      <c r="I226" s="3">
        <v>137.1</v>
      </c>
      <c r="J226" s="3">
        <v>138.4</v>
      </c>
      <c r="K226" s="3">
        <v>79.400000000000006</v>
      </c>
      <c r="L226" s="3">
        <v>80.599999999999994</v>
      </c>
      <c r="M226" s="3">
        <v>81.8</v>
      </c>
      <c r="N226" s="3">
        <v>1</v>
      </c>
      <c r="O226" s="3">
        <v>4.0948077749919827E-3</v>
      </c>
      <c r="P226" s="3">
        <v>2.4396700533650673E-2</v>
      </c>
      <c r="Q226" s="3">
        <v>0.1737416764204619</v>
      </c>
      <c r="R226" s="3">
        <v>137.15300166652605</v>
      </c>
      <c r="S226" s="3">
        <v>80.546980602186068</v>
      </c>
      <c r="U226" s="3">
        <v>80.094042152593602</v>
      </c>
      <c r="V226" s="3">
        <v>-0.45293844959246599</v>
      </c>
      <c r="X226" s="3">
        <v>79.405185719690223</v>
      </c>
      <c r="Y226" s="3">
        <v>-1.1417948824958444</v>
      </c>
      <c r="AA226" s="3">
        <v>1</v>
      </c>
      <c r="AB226" s="3">
        <v>0</v>
      </c>
      <c r="AC226" s="3">
        <v>0</v>
      </c>
    </row>
    <row r="227" spans="2:29" x14ac:dyDescent="0.2">
      <c r="B227" s="3" t="s">
        <v>469</v>
      </c>
      <c r="C227" s="3" t="s">
        <v>470</v>
      </c>
      <c r="D227" s="8">
        <v>42174</v>
      </c>
      <c r="E227" s="3">
        <v>1925</v>
      </c>
      <c r="F227" s="3" t="s">
        <v>25</v>
      </c>
      <c r="G227" s="3" t="s">
        <v>26</v>
      </c>
      <c r="H227" s="3">
        <v>119.4</v>
      </c>
      <c r="I227" s="3">
        <v>120.65</v>
      </c>
      <c r="J227" s="3">
        <v>121.9</v>
      </c>
      <c r="K227" s="3">
        <v>87.8</v>
      </c>
      <c r="L227" s="3">
        <v>89</v>
      </c>
      <c r="M227" s="3">
        <v>90.2</v>
      </c>
      <c r="N227" s="3">
        <v>1</v>
      </c>
      <c r="O227" s="3">
        <v>4.0948077749919827E-3</v>
      </c>
      <c r="P227" s="3">
        <v>2.4396700533650673E-2</v>
      </c>
      <c r="Q227" s="3">
        <v>0.16870602881723645</v>
      </c>
      <c r="R227" s="3">
        <v>120.66008294403366</v>
      </c>
      <c r="S227" s="3">
        <v>88.98874417691718</v>
      </c>
      <c r="U227" s="3">
        <v>87.803973454260515</v>
      </c>
      <c r="V227" s="3">
        <v>-1.1847707226566655</v>
      </c>
      <c r="X227" s="3">
        <v>87.717686154698939</v>
      </c>
      <c r="Y227" s="3">
        <v>-1.2710580222182415</v>
      </c>
      <c r="AA227" s="3">
        <v>1</v>
      </c>
      <c r="AB227" s="3">
        <v>1</v>
      </c>
      <c r="AC227" s="3">
        <v>0</v>
      </c>
    </row>
    <row r="228" spans="2:29" x14ac:dyDescent="0.2">
      <c r="B228" s="3" t="s">
        <v>471</v>
      </c>
      <c r="C228" s="3" t="s">
        <v>472</v>
      </c>
      <c r="D228" s="8">
        <v>42174</v>
      </c>
      <c r="E228" s="3">
        <v>1950</v>
      </c>
      <c r="F228" s="3" t="s">
        <v>25</v>
      </c>
      <c r="G228" s="3" t="s">
        <v>26</v>
      </c>
      <c r="H228" s="3">
        <v>103.8</v>
      </c>
      <c r="I228" s="3">
        <v>105</v>
      </c>
      <c r="J228" s="3">
        <v>106.2</v>
      </c>
      <c r="K228" s="3">
        <v>97</v>
      </c>
      <c r="L228" s="3">
        <v>98.05</v>
      </c>
      <c r="M228" s="3">
        <v>99.1</v>
      </c>
      <c r="N228" s="3">
        <v>1</v>
      </c>
      <c r="O228" s="3">
        <v>4.0948077749919827E-3</v>
      </c>
      <c r="P228" s="3">
        <v>2.4396700533650673E-2</v>
      </c>
      <c r="Q228" s="3">
        <v>0.16347728342533657</v>
      </c>
      <c r="R228" s="3">
        <v>104.89332961546313</v>
      </c>
      <c r="S228" s="3">
        <v>98.156673145569584</v>
      </c>
      <c r="U228" s="3">
        <v>97.338443613223575</v>
      </c>
      <c r="V228" s="3">
        <v>-0.81822953234600959</v>
      </c>
      <c r="X228" s="3">
        <v>96.93669786314031</v>
      </c>
      <c r="Y228" s="3">
        <v>-1.2199752824292744</v>
      </c>
      <c r="AA228" s="3">
        <v>1</v>
      </c>
      <c r="AB228" s="3">
        <v>1</v>
      </c>
      <c r="AC228" s="3">
        <v>0</v>
      </c>
    </row>
    <row r="229" spans="2:29" x14ac:dyDescent="0.2">
      <c r="B229" s="3" t="s">
        <v>473</v>
      </c>
      <c r="C229" s="3" t="s">
        <v>474</v>
      </c>
      <c r="D229" s="8">
        <v>42174</v>
      </c>
      <c r="E229" s="3">
        <v>1975</v>
      </c>
      <c r="F229" s="3" t="s">
        <v>25</v>
      </c>
      <c r="G229" s="3" t="s">
        <v>26</v>
      </c>
      <c r="H229" s="3">
        <v>89.2</v>
      </c>
      <c r="I229" s="3">
        <v>90.3</v>
      </c>
      <c r="J229" s="3">
        <v>91.4</v>
      </c>
      <c r="K229" s="3">
        <v>107.3</v>
      </c>
      <c r="L229" s="3">
        <v>108.4</v>
      </c>
      <c r="M229" s="3">
        <v>109.5</v>
      </c>
      <c r="N229" s="3">
        <v>1</v>
      </c>
      <c r="O229" s="3">
        <v>4.0948077749919827E-3</v>
      </c>
      <c r="P229" s="3">
        <v>2.4396700533650673E-2</v>
      </c>
      <c r="Q229" s="3">
        <v>0.15858238481667047</v>
      </c>
      <c r="R229" s="3">
        <v>90.25096964725617</v>
      </c>
      <c r="S229" s="3">
        <v>108.44899547458613</v>
      </c>
      <c r="U229" s="3">
        <v>107.62153181455076</v>
      </c>
      <c r="V229" s="3">
        <v>-0.82746366003536309</v>
      </c>
      <c r="X229" s="3">
        <v>107.16098147221733</v>
      </c>
      <c r="Y229" s="3">
        <v>-1.2880140023687972</v>
      </c>
      <c r="AA229" s="3">
        <v>1</v>
      </c>
      <c r="AB229" s="3">
        <v>1</v>
      </c>
      <c r="AC229" s="3">
        <v>0</v>
      </c>
    </row>
    <row r="230" spans="2:29" x14ac:dyDescent="0.2">
      <c r="B230" s="3" t="s">
        <v>475</v>
      </c>
      <c r="C230" s="3" t="s">
        <v>476</v>
      </c>
      <c r="D230" s="8">
        <v>42174</v>
      </c>
      <c r="E230" s="3">
        <v>2000</v>
      </c>
      <c r="F230" s="3" t="s">
        <v>25</v>
      </c>
      <c r="G230" s="3" t="s">
        <v>26</v>
      </c>
      <c r="H230" s="3">
        <v>75.599999999999994</v>
      </c>
      <c r="I230" s="3">
        <v>76.650000000000006</v>
      </c>
      <c r="J230" s="3">
        <v>77.7</v>
      </c>
      <c r="K230" s="3">
        <v>118.5</v>
      </c>
      <c r="L230" s="3">
        <v>119.65</v>
      </c>
      <c r="M230" s="3">
        <v>120.8</v>
      </c>
      <c r="N230" s="3">
        <v>1</v>
      </c>
      <c r="O230" s="3">
        <v>4.0948077749919827E-3</v>
      </c>
      <c r="P230" s="3">
        <v>2.4396700533650673E-2</v>
      </c>
      <c r="Q230" s="3">
        <v>0.15366311398780561</v>
      </c>
      <c r="R230" s="3">
        <v>76.583643732023233</v>
      </c>
      <c r="S230" s="3">
        <v>119.71635185657601</v>
      </c>
      <c r="U230" s="3">
        <v>118.76661482915783</v>
      </c>
      <c r="V230" s="3">
        <v>-0.94973702741818045</v>
      </c>
      <c r="X230" s="3">
        <v>118.46763219075022</v>
      </c>
      <c r="Y230" s="3">
        <v>-1.2487196658257886</v>
      </c>
      <c r="AA230" s="3">
        <v>1</v>
      </c>
      <c r="AB230" s="3">
        <v>1</v>
      </c>
      <c r="AC230" s="3">
        <v>0</v>
      </c>
    </row>
    <row r="231" spans="2:29" x14ac:dyDescent="0.2">
      <c r="B231" s="3" t="s">
        <v>477</v>
      </c>
      <c r="C231" s="3" t="s">
        <v>478</v>
      </c>
      <c r="D231" s="8">
        <v>42174</v>
      </c>
      <c r="E231" s="3">
        <v>2025</v>
      </c>
      <c r="F231" s="3" t="s">
        <v>25</v>
      </c>
      <c r="G231" s="3" t="s">
        <v>26</v>
      </c>
      <c r="H231" s="3">
        <v>63.1</v>
      </c>
      <c r="I231" s="3">
        <v>64.05</v>
      </c>
      <c r="J231" s="3">
        <v>65</v>
      </c>
      <c r="K231" s="3">
        <v>130.80000000000001</v>
      </c>
      <c r="L231" s="3">
        <v>132.15</v>
      </c>
      <c r="M231" s="3">
        <v>133.5</v>
      </c>
      <c r="N231" s="3">
        <v>1</v>
      </c>
      <c r="O231" s="3">
        <v>4.0948077749919827E-3</v>
      </c>
      <c r="P231" s="3">
        <v>2.4396700533650673E-2</v>
      </c>
      <c r="Q231" s="3">
        <v>0.14889499312961119</v>
      </c>
      <c r="R231" s="3">
        <v>64.06617951644364</v>
      </c>
      <c r="S231" s="3">
        <v>132.13356993822003</v>
      </c>
      <c r="U231" s="3">
        <v>130.89803225920556</v>
      </c>
      <c r="V231" s="3">
        <v>-1.2355376790144703</v>
      </c>
      <c r="X231" s="3">
        <v>130.92561409240133</v>
      </c>
      <c r="Y231" s="3">
        <v>-1.2079558458187023</v>
      </c>
      <c r="AA231" s="3">
        <v>1</v>
      </c>
      <c r="AB231" s="3">
        <v>0</v>
      </c>
      <c r="AC231" s="3">
        <v>0</v>
      </c>
    </row>
    <row r="232" spans="2:29" x14ac:dyDescent="0.2">
      <c r="B232" s="3" t="s">
        <v>479</v>
      </c>
      <c r="C232" s="3" t="s">
        <v>480</v>
      </c>
      <c r="D232" s="8">
        <v>42174</v>
      </c>
      <c r="E232" s="3">
        <v>2050</v>
      </c>
      <c r="F232" s="3" t="s">
        <v>25</v>
      </c>
      <c r="G232" s="3" t="s">
        <v>26</v>
      </c>
      <c r="H232" s="3">
        <v>52</v>
      </c>
      <c r="I232" s="3">
        <v>52.8</v>
      </c>
      <c r="J232" s="3">
        <v>53.6</v>
      </c>
      <c r="K232" s="3">
        <v>144.4</v>
      </c>
      <c r="L232" s="3">
        <v>145.69999999999999</v>
      </c>
      <c r="M232" s="3">
        <v>147</v>
      </c>
      <c r="N232" s="3">
        <v>1</v>
      </c>
      <c r="O232" s="3">
        <v>4.0948077749919827E-3</v>
      </c>
      <c r="P232" s="3">
        <v>2.4396700533650673E-2</v>
      </c>
      <c r="Q232" s="3">
        <v>0.14427215562095591</v>
      </c>
      <c r="R232" s="3">
        <v>52.748961231547014</v>
      </c>
      <c r="S232" s="3">
        <v>145.75103395054612</v>
      </c>
      <c r="U232" s="3">
        <v>144.14592333803736</v>
      </c>
      <c r="V232" s="3">
        <v>-1.6051106125087529</v>
      </c>
      <c r="X232" s="3">
        <v>144.6053875191412</v>
      </c>
      <c r="Y232" s="3">
        <v>-1.1456464314049128</v>
      </c>
      <c r="AA232" s="3">
        <v>1</v>
      </c>
      <c r="AB232" s="3">
        <v>0</v>
      </c>
      <c r="AC232" s="3">
        <v>1</v>
      </c>
    </row>
    <row r="233" spans="2:29" x14ac:dyDescent="0.2">
      <c r="B233" s="3" t="s">
        <v>481</v>
      </c>
      <c r="C233" s="3" t="s">
        <v>482</v>
      </c>
      <c r="D233" s="8">
        <v>42174</v>
      </c>
      <c r="E233" s="3">
        <v>2075</v>
      </c>
      <c r="F233" s="3" t="s">
        <v>25</v>
      </c>
      <c r="G233" s="3" t="s">
        <v>26</v>
      </c>
      <c r="H233" s="3">
        <v>41.8</v>
      </c>
      <c r="I233" s="3">
        <v>42.65</v>
      </c>
      <c r="J233" s="3">
        <v>43.5</v>
      </c>
      <c r="K233" s="3">
        <v>159.30000000000001</v>
      </c>
      <c r="L233" s="3">
        <v>160.6</v>
      </c>
      <c r="M233" s="3">
        <v>161.9</v>
      </c>
      <c r="N233" s="3">
        <v>1</v>
      </c>
      <c r="O233" s="3">
        <v>4.0948077749919827E-3</v>
      </c>
      <c r="P233" s="3">
        <v>2.4396700533650673E-2</v>
      </c>
      <c r="Q233" s="3">
        <v>0.13977139077930403</v>
      </c>
      <c r="R233" s="3">
        <v>42.656623757954662</v>
      </c>
      <c r="S233" s="3">
        <v>160.59337877417715</v>
      </c>
      <c r="U233" s="3">
        <v>159.40441871822452</v>
      </c>
      <c r="V233" s="3">
        <v>-1.1889600559526343</v>
      </c>
      <c r="X233" s="3">
        <v>159.55153567935588</v>
      </c>
      <c r="Y233" s="3">
        <v>-1.0418430948212745</v>
      </c>
      <c r="AA233" s="3">
        <v>1</v>
      </c>
      <c r="AB233" s="3">
        <v>0</v>
      </c>
      <c r="AC233" s="3">
        <v>0</v>
      </c>
    </row>
    <row r="234" spans="2:29" x14ac:dyDescent="0.2">
      <c r="B234" s="3" t="s">
        <v>483</v>
      </c>
      <c r="C234" s="3" t="s">
        <v>484</v>
      </c>
      <c r="D234" s="8">
        <v>42174</v>
      </c>
      <c r="E234" s="3">
        <v>2100</v>
      </c>
      <c r="F234" s="3" t="s">
        <v>25</v>
      </c>
      <c r="G234" s="3" t="s">
        <v>26</v>
      </c>
      <c r="H234" s="3">
        <v>33.4</v>
      </c>
      <c r="I234" s="3">
        <v>34.049999999999997</v>
      </c>
      <c r="J234" s="3">
        <v>34.700000000000003</v>
      </c>
      <c r="K234" s="3">
        <v>175.3</v>
      </c>
      <c r="L234" s="3">
        <v>176.7</v>
      </c>
      <c r="M234" s="3">
        <v>178.1</v>
      </c>
      <c r="N234" s="3">
        <v>1</v>
      </c>
      <c r="O234" s="3">
        <v>4.0948077749919827E-3</v>
      </c>
      <c r="P234" s="3">
        <v>2.4396700533650673E-2</v>
      </c>
      <c r="Q234" s="3">
        <v>0.13564397231289455</v>
      </c>
      <c r="R234" s="3">
        <v>33.939211272358079</v>
      </c>
      <c r="S234" s="3">
        <v>176.81064858580385</v>
      </c>
      <c r="U234" s="3">
        <v>175.14040890635772</v>
      </c>
      <c r="V234" s="3">
        <v>-1.6702396794461265</v>
      </c>
      <c r="X234" s="3">
        <v>175.79741088711492</v>
      </c>
      <c r="Y234" s="3">
        <v>-1.0132376986889255</v>
      </c>
      <c r="AA234" s="3">
        <v>1</v>
      </c>
      <c r="AB234" s="3">
        <v>0</v>
      </c>
      <c r="AC234" s="3">
        <v>1</v>
      </c>
    </row>
    <row r="235" spans="2:29" x14ac:dyDescent="0.2">
      <c r="B235" s="3" t="s">
        <v>485</v>
      </c>
      <c r="C235" s="3" t="s">
        <v>486</v>
      </c>
      <c r="D235" s="8">
        <v>42174</v>
      </c>
      <c r="E235" s="3">
        <v>2125</v>
      </c>
      <c r="F235" s="3" t="s">
        <v>25</v>
      </c>
      <c r="G235" s="3" t="s">
        <v>26</v>
      </c>
      <c r="H235" s="3">
        <v>25.8</v>
      </c>
      <c r="I235" s="3">
        <v>26.45</v>
      </c>
      <c r="J235" s="3">
        <v>27.1</v>
      </c>
      <c r="K235" s="3">
        <v>192.8</v>
      </c>
      <c r="L235" s="3">
        <v>194.2</v>
      </c>
      <c r="M235" s="3">
        <v>195.6</v>
      </c>
      <c r="N235" s="3">
        <v>1</v>
      </c>
      <c r="O235" s="3">
        <v>4.0948077749919827E-3</v>
      </c>
      <c r="P235" s="3">
        <v>2.4396700533650673E-2</v>
      </c>
      <c r="Q235" s="3">
        <v>0.13160216754366899</v>
      </c>
      <c r="R235" s="3">
        <v>26.4217572299371</v>
      </c>
      <c r="S235" s="3">
        <v>194.22787684060586</v>
      </c>
      <c r="U235" s="3">
        <v>192.84959707466788</v>
      </c>
      <c r="V235" s="3">
        <v>-1.3782797659379753</v>
      </c>
      <c r="X235" s="3">
        <v>193.35228124691386</v>
      </c>
      <c r="Y235" s="3">
        <v>-0.87559559369199746</v>
      </c>
      <c r="AA235" s="3">
        <v>1</v>
      </c>
      <c r="AB235" s="3">
        <v>0</v>
      </c>
      <c r="AC235" s="3">
        <v>0</v>
      </c>
    </row>
    <row r="236" spans="2:29" x14ac:dyDescent="0.2">
      <c r="B236" s="3" t="s">
        <v>487</v>
      </c>
      <c r="C236" s="3" t="s">
        <v>488</v>
      </c>
      <c r="D236" s="8">
        <v>42174</v>
      </c>
      <c r="E236" s="3">
        <v>2150</v>
      </c>
      <c r="F236" s="3" t="s">
        <v>25</v>
      </c>
      <c r="G236" s="3" t="s">
        <v>26</v>
      </c>
      <c r="H236" s="3">
        <v>19.600000000000001</v>
      </c>
      <c r="I236" s="3">
        <v>20.2</v>
      </c>
      <c r="J236" s="3">
        <v>20.8</v>
      </c>
      <c r="K236" s="3">
        <v>211.2</v>
      </c>
      <c r="L236" s="3">
        <v>212.9</v>
      </c>
      <c r="M236" s="3">
        <v>214.6</v>
      </c>
      <c r="N236" s="3">
        <v>1</v>
      </c>
      <c r="O236" s="3">
        <v>4.0948077749919827E-3</v>
      </c>
      <c r="P236" s="3">
        <v>2.4396700533650673E-2</v>
      </c>
      <c r="Q236" s="3">
        <v>0.12789405557726108</v>
      </c>
      <c r="R236" s="3">
        <v>20.179594908386775</v>
      </c>
      <c r="S236" s="3">
        <v>212.92039681627853</v>
      </c>
      <c r="U236" s="3">
        <v>211.76806765431283</v>
      </c>
      <c r="V236" s="3">
        <v>-1.1523291619656959</v>
      </c>
      <c r="X236" s="3">
        <v>212.1909509266552</v>
      </c>
      <c r="Y236" s="3">
        <v>-0.72944588962332091</v>
      </c>
      <c r="AA236" s="3">
        <v>1</v>
      </c>
      <c r="AB236" s="3">
        <v>0</v>
      </c>
      <c r="AC236" s="3">
        <v>0</v>
      </c>
    </row>
    <row r="237" spans="2:29" x14ac:dyDescent="0.2">
      <c r="B237" s="3" t="s">
        <v>489</v>
      </c>
      <c r="C237" s="3" t="s">
        <v>490</v>
      </c>
      <c r="D237" s="8">
        <v>42174</v>
      </c>
      <c r="E237" s="3">
        <v>2175</v>
      </c>
      <c r="F237" s="3" t="s">
        <v>25</v>
      </c>
      <c r="G237" s="3" t="s">
        <v>26</v>
      </c>
      <c r="H237" s="3">
        <v>14.3</v>
      </c>
      <c r="I237" s="3">
        <v>15</v>
      </c>
      <c r="J237" s="3">
        <v>15.7</v>
      </c>
      <c r="K237" s="3">
        <v>231.2</v>
      </c>
      <c r="L237" s="3">
        <v>232.85</v>
      </c>
      <c r="M237" s="3">
        <v>234.5</v>
      </c>
      <c r="N237" s="3">
        <v>1</v>
      </c>
      <c r="O237" s="3">
        <v>4.0948077749919827E-3</v>
      </c>
      <c r="P237" s="3">
        <v>2.4396700533650673E-2</v>
      </c>
      <c r="Q237" s="3">
        <v>0.12444043201695815</v>
      </c>
      <c r="R237" s="3">
        <v>15.087182714436778</v>
      </c>
      <c r="S237" s="3">
        <v>232.7626669195522</v>
      </c>
      <c r="U237" s="3">
        <v>231.84634049163745</v>
      </c>
      <c r="V237" s="3">
        <v>-0.91632642791475405</v>
      </c>
      <c r="X237" s="3">
        <v>232.1538239972962</v>
      </c>
      <c r="Y237" s="3">
        <v>-0.60884292225600234</v>
      </c>
      <c r="AA237" s="3">
        <v>1</v>
      </c>
      <c r="AB237" s="3">
        <v>0</v>
      </c>
      <c r="AC237" s="3">
        <v>0</v>
      </c>
    </row>
    <row r="238" spans="2:29" x14ac:dyDescent="0.2">
      <c r="B238" s="3" t="s">
        <v>491</v>
      </c>
      <c r="C238" s="3" t="s">
        <v>492</v>
      </c>
      <c r="D238" s="8">
        <v>42174</v>
      </c>
      <c r="E238" s="3">
        <v>2200</v>
      </c>
      <c r="F238" s="3" t="s">
        <v>25</v>
      </c>
      <c r="G238" s="3" t="s">
        <v>26</v>
      </c>
      <c r="H238" s="3">
        <v>10.5</v>
      </c>
      <c r="I238" s="3">
        <v>11.05</v>
      </c>
      <c r="J238" s="3">
        <v>11.6</v>
      </c>
      <c r="K238" s="3">
        <v>252.1</v>
      </c>
      <c r="L238" s="3">
        <v>253.8</v>
      </c>
      <c r="M238" s="3">
        <v>255.5</v>
      </c>
      <c r="N238" s="3">
        <v>1</v>
      </c>
      <c r="O238" s="3">
        <v>4.0948077749919827E-3</v>
      </c>
      <c r="P238" s="3">
        <v>2.4396700533650673E-2</v>
      </c>
      <c r="Q238" s="3">
        <v>0.12151035198483667</v>
      </c>
      <c r="R238" s="3">
        <v>11.119825350685488</v>
      </c>
      <c r="S238" s="3">
        <v>253.72999185302365</v>
      </c>
      <c r="U238" s="3">
        <v>252.98117506610873</v>
      </c>
      <c r="V238" s="3">
        <v>-0.74881678691491516</v>
      </c>
      <c r="X238" s="3">
        <v>253.09986696910127</v>
      </c>
      <c r="Y238" s="3">
        <v>-0.63012488392237742</v>
      </c>
      <c r="AA238" s="3">
        <v>1</v>
      </c>
      <c r="AB238" s="3">
        <v>0</v>
      </c>
      <c r="AC238" s="3">
        <v>0</v>
      </c>
    </row>
    <row r="239" spans="2:29" x14ac:dyDescent="0.2">
      <c r="B239" s="3" t="s">
        <v>493</v>
      </c>
      <c r="C239" s="3" t="s">
        <v>494</v>
      </c>
      <c r="D239" s="8">
        <v>42174</v>
      </c>
      <c r="E239" s="3">
        <v>2225</v>
      </c>
      <c r="F239" s="3" t="s">
        <v>25</v>
      </c>
      <c r="G239" s="3" t="s">
        <v>26</v>
      </c>
      <c r="H239" s="3">
        <v>7.6</v>
      </c>
      <c r="I239" s="3">
        <v>8.0500000000000007</v>
      </c>
      <c r="J239" s="3">
        <v>8.5</v>
      </c>
      <c r="K239" s="3">
        <v>274</v>
      </c>
      <c r="L239" s="3">
        <v>275.7</v>
      </c>
      <c r="M239" s="3">
        <v>277.39999999999998</v>
      </c>
      <c r="N239" s="3">
        <v>1</v>
      </c>
      <c r="O239" s="3">
        <v>4.0948077749919827E-3</v>
      </c>
      <c r="P239" s="3">
        <v>2.4396700533650673E-2</v>
      </c>
      <c r="Q239" s="3">
        <v>0.11909258037588623</v>
      </c>
      <c r="R239" s="3">
        <v>8.1026588538128692</v>
      </c>
      <c r="S239" s="3">
        <v>275.6475076533743</v>
      </c>
      <c r="U239" s="3">
        <v>275.02795081594411</v>
      </c>
      <c r="V239" s="3">
        <v>-0.61955683743019563</v>
      </c>
      <c r="X239" s="3">
        <v>274.895472585329</v>
      </c>
      <c r="Y239" s="3">
        <v>-0.75203506804530207</v>
      </c>
      <c r="AA239" s="3">
        <v>1</v>
      </c>
      <c r="AB239" s="3">
        <v>0</v>
      </c>
      <c r="AC239" s="3">
        <v>0</v>
      </c>
    </row>
    <row r="240" spans="2:29" x14ac:dyDescent="0.2">
      <c r="B240" s="3" t="s">
        <v>495</v>
      </c>
      <c r="C240" s="3" t="s">
        <v>496</v>
      </c>
      <c r="D240" s="8">
        <v>42174</v>
      </c>
      <c r="E240" s="3">
        <v>2250</v>
      </c>
      <c r="F240" s="3" t="s">
        <v>25</v>
      </c>
      <c r="G240" s="3" t="s">
        <v>26</v>
      </c>
      <c r="H240" s="3">
        <v>5.5</v>
      </c>
      <c r="I240" s="3">
        <v>5.85</v>
      </c>
      <c r="J240" s="3">
        <v>6.2</v>
      </c>
      <c r="K240" s="3">
        <v>296.7</v>
      </c>
      <c r="L240" s="3">
        <v>298.35000000000002</v>
      </c>
      <c r="M240" s="3">
        <v>300</v>
      </c>
      <c r="N240" s="3">
        <v>1</v>
      </c>
      <c r="O240" s="3">
        <v>4.0948077749919827E-3</v>
      </c>
      <c r="P240" s="3">
        <v>2.4396700533650673E-2</v>
      </c>
      <c r="Q240" s="3">
        <v>0.11718120544928867</v>
      </c>
      <c r="R240" s="3">
        <v>5.8602020572615743</v>
      </c>
      <c r="S240" s="3">
        <v>298.33973315404614</v>
      </c>
      <c r="U240" s="3">
        <v>297.8220633110239</v>
      </c>
      <c r="V240" s="3">
        <v>-0.51766984302224728</v>
      </c>
      <c r="X240" s="3">
        <v>297.37654342784919</v>
      </c>
      <c r="Y240" s="3">
        <v>-0.96318972619695842</v>
      </c>
      <c r="AA240" s="3">
        <v>1</v>
      </c>
      <c r="AB240" s="3">
        <v>0</v>
      </c>
      <c r="AC240" s="3">
        <v>0</v>
      </c>
    </row>
    <row r="241" spans="2:29" x14ac:dyDescent="0.2">
      <c r="B241" s="3" t="s">
        <v>497</v>
      </c>
      <c r="C241" s="3" t="s">
        <v>498</v>
      </c>
      <c r="D241" s="8">
        <v>42174</v>
      </c>
      <c r="E241" s="3">
        <v>2275</v>
      </c>
      <c r="F241" s="3" t="s">
        <v>25</v>
      </c>
      <c r="G241" s="3" t="s">
        <v>26</v>
      </c>
      <c r="H241" s="3">
        <v>3.8</v>
      </c>
      <c r="I241" s="3">
        <v>4.3</v>
      </c>
      <c r="J241" s="3">
        <v>4.8</v>
      </c>
      <c r="K241" s="3">
        <v>320.10000000000002</v>
      </c>
      <c r="L241" s="3">
        <v>321.7</v>
      </c>
      <c r="M241" s="3">
        <v>323.3</v>
      </c>
      <c r="N241" s="3">
        <v>1</v>
      </c>
      <c r="O241" s="3">
        <v>4.0948077749919827E-3</v>
      </c>
      <c r="P241" s="3">
        <v>2.4396700533650673E-2</v>
      </c>
      <c r="Q241" s="3">
        <v>0.11613758092147419</v>
      </c>
      <c r="R241" s="3">
        <v>4.2928926254604107</v>
      </c>
      <c r="S241" s="3">
        <v>321.70710601946848</v>
      </c>
      <c r="U241" s="3">
        <v>321.31758005123515</v>
      </c>
      <c r="V241" s="3">
        <v>-0.38952596823332897</v>
      </c>
      <c r="X241" s="3">
        <v>320.43016635601521</v>
      </c>
      <c r="Y241" s="3">
        <v>-1.2769396634532768</v>
      </c>
      <c r="AA241" s="3">
        <v>1</v>
      </c>
      <c r="AB241" s="3">
        <v>0</v>
      </c>
      <c r="AC241" s="3">
        <v>0</v>
      </c>
    </row>
    <row r="242" spans="2:29" x14ac:dyDescent="0.2">
      <c r="B242" s="3" t="s">
        <v>499</v>
      </c>
      <c r="C242" s="3" t="s">
        <v>500</v>
      </c>
      <c r="D242" s="8">
        <v>42174</v>
      </c>
      <c r="E242" s="3">
        <v>2300</v>
      </c>
      <c r="F242" s="3" t="s">
        <v>25</v>
      </c>
      <c r="G242" s="3" t="s">
        <v>26</v>
      </c>
      <c r="H242" s="3">
        <v>2.65</v>
      </c>
      <c r="I242" s="3">
        <v>2.98</v>
      </c>
      <c r="J242" s="3">
        <v>3.3</v>
      </c>
      <c r="K242" s="3">
        <v>343.9</v>
      </c>
      <c r="L242" s="3">
        <v>345.45</v>
      </c>
      <c r="M242" s="3">
        <v>347</v>
      </c>
      <c r="N242" s="3">
        <v>1</v>
      </c>
      <c r="O242" s="3">
        <v>4.0948077749919827E-3</v>
      </c>
      <c r="P242" s="3">
        <v>2.4396700533650673E-2</v>
      </c>
      <c r="Q242" s="3">
        <v>0.11472726465717122</v>
      </c>
      <c r="R242" s="3">
        <v>3.0402045395945692</v>
      </c>
      <c r="S242" s="3">
        <v>345.38910023082531</v>
      </c>
      <c r="U242" s="3">
        <v>345.10482664973864</v>
      </c>
      <c r="V242" s="3">
        <v>-0.28427358108666567</v>
      </c>
      <c r="X242" s="3">
        <v>343.93885169447577</v>
      </c>
      <c r="Y242" s="3">
        <v>-1.4502485363495339</v>
      </c>
      <c r="AA242" s="3">
        <v>1</v>
      </c>
      <c r="AB242" s="3">
        <v>0</v>
      </c>
      <c r="AC242" s="3">
        <v>0</v>
      </c>
    </row>
    <row r="243" spans="2:29" x14ac:dyDescent="0.2">
      <c r="B243" s="3" t="s">
        <v>501</v>
      </c>
      <c r="C243" s="3" t="s">
        <v>502</v>
      </c>
      <c r="D243" s="8">
        <v>42174</v>
      </c>
      <c r="E243" s="3">
        <v>2400</v>
      </c>
      <c r="F243" s="3" t="s">
        <v>25</v>
      </c>
      <c r="G243" s="3" t="s">
        <v>26</v>
      </c>
      <c r="H243" s="3">
        <v>0.55000000000000004</v>
      </c>
      <c r="I243" s="3">
        <v>0.8</v>
      </c>
      <c r="J243" s="3">
        <v>1.05</v>
      </c>
      <c r="K243" s="3">
        <v>441.7</v>
      </c>
      <c r="L243" s="3">
        <v>443.15</v>
      </c>
      <c r="M243" s="3">
        <v>444.6</v>
      </c>
      <c r="N243" s="3">
        <v>0</v>
      </c>
      <c r="O243" s="3">
        <v>4.0948077749919827E-3</v>
      </c>
      <c r="P243" s="3">
        <v>2.4396700533650673E-2</v>
      </c>
      <c r="Q243" s="3">
        <v>0.11472726465717122</v>
      </c>
      <c r="R243" s="3">
        <v>0.8970729782024911</v>
      </c>
      <c r="S243" s="3">
        <v>442.98469785832617</v>
      </c>
      <c r="U243" s="3">
        <v>442.85492912024637</v>
      </c>
      <c r="V243" s="3">
        <v>-0.12976873807980382</v>
      </c>
      <c r="X243" s="3">
        <v>0</v>
      </c>
      <c r="Y243" s="3">
        <v>0</v>
      </c>
      <c r="AA243" s="3">
        <v>0</v>
      </c>
      <c r="AB243" s="3">
        <v>0</v>
      </c>
      <c r="AC243" s="3">
        <v>0</v>
      </c>
    </row>
    <row r="244" spans="2:29" x14ac:dyDescent="0.2">
      <c r="B244" s="3" t="s">
        <v>503</v>
      </c>
      <c r="C244" s="3" t="s">
        <v>504</v>
      </c>
      <c r="D244" s="8">
        <v>42174</v>
      </c>
      <c r="E244" s="3">
        <v>2500</v>
      </c>
      <c r="F244" s="3" t="s">
        <v>25</v>
      </c>
      <c r="G244" s="3" t="s">
        <v>26</v>
      </c>
      <c r="H244" s="3">
        <v>0.05</v>
      </c>
      <c r="I244" s="3">
        <v>0.28000000000000003</v>
      </c>
      <c r="J244" s="3">
        <v>0.5</v>
      </c>
      <c r="K244" s="3">
        <v>540.9</v>
      </c>
      <c r="L244" s="3">
        <v>542.35</v>
      </c>
      <c r="M244" s="3">
        <v>543.79999999999995</v>
      </c>
      <c r="N244" s="3">
        <v>0</v>
      </c>
      <c r="O244" s="3">
        <v>4.0948077749919827E-3</v>
      </c>
      <c r="P244" s="3">
        <v>2.4396700533650673E-2</v>
      </c>
      <c r="Q244" s="3">
        <v>0.11472726465717122</v>
      </c>
      <c r="R244" s="3">
        <v>0.23493188111729069</v>
      </c>
      <c r="S244" s="3">
        <v>542.06128595013342</v>
      </c>
      <c r="U244" s="3">
        <v>542.05035231943918</v>
      </c>
      <c r="V244" s="3">
        <v>-1.0933630694239582E-2</v>
      </c>
      <c r="X244" s="3">
        <v>0</v>
      </c>
      <c r="Y244" s="3">
        <v>0</v>
      </c>
      <c r="AA244" s="3">
        <v>0</v>
      </c>
      <c r="AB244" s="3">
        <v>0</v>
      </c>
      <c r="AC244" s="3">
        <v>0</v>
      </c>
    </row>
    <row r="245" spans="2:29" x14ac:dyDescent="0.2">
      <c r="B245" s="3" t="s">
        <v>505</v>
      </c>
      <c r="C245" s="3" t="s">
        <v>506</v>
      </c>
      <c r="D245" s="8">
        <v>42265</v>
      </c>
      <c r="E245" s="3">
        <v>600</v>
      </c>
      <c r="F245" s="3" t="s">
        <v>25</v>
      </c>
      <c r="G245" s="3" t="s">
        <v>26</v>
      </c>
      <c r="H245" s="3">
        <v>1343.6</v>
      </c>
      <c r="I245" s="3">
        <v>1345.2</v>
      </c>
      <c r="J245" s="3">
        <v>1346.8</v>
      </c>
      <c r="K245" s="3">
        <v>0.05</v>
      </c>
      <c r="L245" s="3">
        <v>0.45</v>
      </c>
      <c r="M245" s="3">
        <v>0.85</v>
      </c>
      <c r="N245" s="3">
        <v>0</v>
      </c>
      <c r="O245" s="3">
        <v>4.3298448989156383E-3</v>
      </c>
      <c r="P245" s="3">
        <v>2.2757934185956327E-2</v>
      </c>
      <c r="Q245" s="3">
        <v>0.30570225880041513</v>
      </c>
      <c r="R245" s="3">
        <v>1344.9086737979433</v>
      </c>
      <c r="S245" s="3">
        <v>1.4721574982757106E-3</v>
      </c>
      <c r="U245" s="3">
        <v>0.61450835353775801</v>
      </c>
      <c r="V245" s="3">
        <v>0.61303619603948234</v>
      </c>
      <c r="X245" s="3">
        <v>0</v>
      </c>
      <c r="Y245" s="3">
        <v>0</v>
      </c>
      <c r="AA245" s="3">
        <v>0</v>
      </c>
      <c r="AB245" s="3">
        <v>0</v>
      </c>
      <c r="AC245" s="3">
        <v>0</v>
      </c>
    </row>
    <row r="246" spans="2:29" x14ac:dyDescent="0.2">
      <c r="B246" s="3" t="s">
        <v>507</v>
      </c>
      <c r="C246" s="3" t="s">
        <v>508</v>
      </c>
      <c r="D246" s="8">
        <v>42265</v>
      </c>
      <c r="E246" s="3">
        <v>700</v>
      </c>
      <c r="F246" s="3" t="s">
        <v>25</v>
      </c>
      <c r="G246" s="3" t="s">
        <v>26</v>
      </c>
      <c r="H246" s="3">
        <v>1244.5</v>
      </c>
      <c r="I246" s="3">
        <v>1246</v>
      </c>
      <c r="J246" s="3">
        <v>1247.5</v>
      </c>
      <c r="K246" s="3">
        <v>0.3</v>
      </c>
      <c r="L246" s="3">
        <v>0.67</v>
      </c>
      <c r="M246" s="3">
        <v>1.05</v>
      </c>
      <c r="N246" s="3">
        <v>0</v>
      </c>
      <c r="O246" s="3">
        <v>4.3298448989156383E-3</v>
      </c>
      <c r="P246" s="3">
        <v>2.2757934185956327E-2</v>
      </c>
      <c r="Q246" s="3">
        <v>0.30570225880041513</v>
      </c>
      <c r="R246" s="3">
        <v>1245.3069471316674</v>
      </c>
      <c r="S246" s="3">
        <v>1.5610084046255385E-2</v>
      </c>
      <c r="U246" s="3">
        <v>0.56558709636328786</v>
      </c>
      <c r="V246" s="3">
        <v>0.54997701231703244</v>
      </c>
      <c r="X246" s="3">
        <v>0</v>
      </c>
      <c r="Y246" s="3">
        <v>0</v>
      </c>
      <c r="AA246" s="3">
        <v>0</v>
      </c>
      <c r="AB246" s="3">
        <v>0</v>
      </c>
      <c r="AC246" s="3">
        <v>0</v>
      </c>
    </row>
    <row r="247" spans="2:29" x14ac:dyDescent="0.2">
      <c r="B247" s="3" t="s">
        <v>509</v>
      </c>
      <c r="C247" s="3" t="s">
        <v>510</v>
      </c>
      <c r="D247" s="8">
        <v>42265</v>
      </c>
      <c r="E247" s="3">
        <v>750</v>
      </c>
      <c r="F247" s="3" t="s">
        <v>25</v>
      </c>
      <c r="G247" s="3" t="s">
        <v>26</v>
      </c>
      <c r="H247" s="3">
        <v>1194.5999999999999</v>
      </c>
      <c r="I247" s="3">
        <v>1196.25</v>
      </c>
      <c r="J247" s="3">
        <v>1197.9000000000001</v>
      </c>
      <c r="K247" s="3">
        <v>0.5</v>
      </c>
      <c r="L247" s="3">
        <v>0.88</v>
      </c>
      <c r="M247" s="3">
        <v>1.25</v>
      </c>
      <c r="N247" s="3">
        <v>0</v>
      </c>
      <c r="O247" s="3">
        <v>4.3298448989156383E-3</v>
      </c>
      <c r="P247" s="3">
        <v>2.2757934185956327E-2</v>
      </c>
      <c r="Q247" s="3">
        <v>0.30570225880041513</v>
      </c>
      <c r="R247" s="3">
        <v>1195.5247011118659</v>
      </c>
      <c r="S247" s="3">
        <v>4.1296360656661646E-2</v>
      </c>
      <c r="U247" s="3">
        <v>0.81292851675721067</v>
      </c>
      <c r="V247" s="3">
        <v>0.77163215610054903</v>
      </c>
      <c r="X247" s="3">
        <v>0</v>
      </c>
      <c r="Y247" s="3">
        <v>0</v>
      </c>
      <c r="AA247" s="3">
        <v>0</v>
      </c>
      <c r="AB247" s="3">
        <v>0</v>
      </c>
      <c r="AC247" s="3">
        <v>0</v>
      </c>
    </row>
    <row r="248" spans="2:29" x14ac:dyDescent="0.2">
      <c r="B248" s="3" t="s">
        <v>511</v>
      </c>
      <c r="C248" s="3" t="s">
        <v>512</v>
      </c>
      <c r="D248" s="8">
        <v>42265</v>
      </c>
      <c r="E248" s="3">
        <v>800</v>
      </c>
      <c r="F248" s="3" t="s">
        <v>25</v>
      </c>
      <c r="G248" s="3" t="s">
        <v>26</v>
      </c>
      <c r="H248" s="3">
        <v>1145.0999999999999</v>
      </c>
      <c r="I248" s="3">
        <v>1146.75</v>
      </c>
      <c r="J248" s="3">
        <v>1148.4000000000001</v>
      </c>
      <c r="K248" s="3">
        <v>0.65</v>
      </c>
      <c r="L248" s="3">
        <v>1.1000000000000001</v>
      </c>
      <c r="M248" s="3">
        <v>1.55</v>
      </c>
      <c r="N248" s="3">
        <v>0</v>
      </c>
      <c r="O248" s="3">
        <v>4.3298448989156383E-3</v>
      </c>
      <c r="P248" s="3">
        <v>2.2757934185956327E-2</v>
      </c>
      <c r="Q248" s="3">
        <v>0.30570225880041513</v>
      </c>
      <c r="R248" s="3">
        <v>1145.7734230139297</v>
      </c>
      <c r="S248" s="3">
        <v>9.7950559132531589E-2</v>
      </c>
      <c r="U248" s="3">
        <v>0.59135877551238991</v>
      </c>
      <c r="V248" s="3">
        <v>0.49340821637985832</v>
      </c>
      <c r="X248" s="3">
        <v>0</v>
      </c>
      <c r="Y248" s="3">
        <v>0</v>
      </c>
      <c r="AA248" s="3">
        <v>0</v>
      </c>
      <c r="AB248" s="3">
        <v>0</v>
      </c>
      <c r="AC248" s="3">
        <v>0</v>
      </c>
    </row>
    <row r="249" spans="2:29" x14ac:dyDescent="0.2">
      <c r="B249" s="3" t="s">
        <v>513</v>
      </c>
      <c r="C249" s="3" t="s">
        <v>514</v>
      </c>
      <c r="D249" s="8">
        <v>42265</v>
      </c>
      <c r="E249" s="3">
        <v>825</v>
      </c>
      <c r="F249" s="3" t="s">
        <v>25</v>
      </c>
      <c r="G249" s="3" t="s">
        <v>26</v>
      </c>
      <c r="H249" s="3">
        <v>1120.5999999999999</v>
      </c>
      <c r="I249" s="3">
        <v>1122.1500000000001</v>
      </c>
      <c r="J249" s="3">
        <v>1123.7</v>
      </c>
      <c r="K249" s="3">
        <v>0.85</v>
      </c>
      <c r="L249" s="3">
        <v>1.28</v>
      </c>
      <c r="M249" s="3">
        <v>1.7</v>
      </c>
      <c r="N249" s="3">
        <v>0</v>
      </c>
      <c r="O249" s="3">
        <v>4.3298448989156383E-3</v>
      </c>
      <c r="P249" s="3">
        <v>2.2757934185956327E-2</v>
      </c>
      <c r="Q249" s="3">
        <v>0.30570225880041513</v>
      </c>
      <c r="R249" s="3">
        <v>1120.9170719787398</v>
      </c>
      <c r="S249" s="3">
        <v>0.14556567214860139</v>
      </c>
      <c r="U249" s="3">
        <v>1.1317185469517881</v>
      </c>
      <c r="V249" s="3">
        <v>0.9861528748031867</v>
      </c>
      <c r="X249" s="3">
        <v>0</v>
      </c>
      <c r="Y249" s="3">
        <v>0</v>
      </c>
      <c r="AA249" s="3">
        <v>0</v>
      </c>
      <c r="AB249" s="3">
        <v>0</v>
      </c>
      <c r="AC249" s="3">
        <v>0</v>
      </c>
    </row>
    <row r="250" spans="2:29" x14ac:dyDescent="0.2">
      <c r="B250" s="3" t="s">
        <v>515</v>
      </c>
      <c r="C250" s="3" t="s">
        <v>516</v>
      </c>
      <c r="D250" s="8">
        <v>42265</v>
      </c>
      <c r="E250" s="3">
        <v>850</v>
      </c>
      <c r="F250" s="3" t="s">
        <v>25</v>
      </c>
      <c r="G250" s="3" t="s">
        <v>26</v>
      </c>
      <c r="H250" s="3">
        <v>1095.5999999999999</v>
      </c>
      <c r="I250" s="3">
        <v>1097.3</v>
      </c>
      <c r="J250" s="3">
        <v>1099</v>
      </c>
      <c r="K250" s="3">
        <v>1.1000000000000001</v>
      </c>
      <c r="L250" s="3">
        <v>1.5</v>
      </c>
      <c r="M250" s="3">
        <v>1.9</v>
      </c>
      <c r="N250" s="3">
        <v>1</v>
      </c>
      <c r="O250" s="3">
        <v>4.3298448989156383E-3</v>
      </c>
      <c r="P250" s="3">
        <v>2.2757934185956327E-2</v>
      </c>
      <c r="Q250" s="3">
        <v>0.30570225880041513</v>
      </c>
      <c r="R250" s="3">
        <v>1096.0792856467101</v>
      </c>
      <c r="S250" s="3">
        <v>0.21174548832464124</v>
      </c>
      <c r="U250" s="3">
        <v>0.99781175132238786</v>
      </c>
      <c r="V250" s="3">
        <v>0.78606626299774662</v>
      </c>
      <c r="X250" s="3">
        <v>1.1246159567872513</v>
      </c>
      <c r="Y250" s="3">
        <v>0.91287046846261011</v>
      </c>
      <c r="AA250" s="3">
        <v>1</v>
      </c>
      <c r="AB250" s="3">
        <v>0</v>
      </c>
      <c r="AC250" s="3">
        <v>1</v>
      </c>
    </row>
    <row r="251" spans="2:29" x14ac:dyDescent="0.2">
      <c r="B251" s="3" t="s">
        <v>517</v>
      </c>
      <c r="C251" s="3" t="s">
        <v>518</v>
      </c>
      <c r="D251" s="8">
        <v>42265</v>
      </c>
      <c r="E251" s="3">
        <v>875</v>
      </c>
      <c r="F251" s="3" t="s">
        <v>25</v>
      </c>
      <c r="G251" s="3" t="s">
        <v>26</v>
      </c>
      <c r="H251" s="3">
        <v>1070.9000000000001</v>
      </c>
      <c r="I251" s="3">
        <v>1072.5999999999999</v>
      </c>
      <c r="J251" s="3">
        <v>1074.3</v>
      </c>
      <c r="K251" s="3">
        <v>1.3</v>
      </c>
      <c r="L251" s="3">
        <v>1.7</v>
      </c>
      <c r="M251" s="3">
        <v>2.1</v>
      </c>
      <c r="N251" s="3">
        <v>1</v>
      </c>
      <c r="O251" s="3">
        <v>4.3298448989156383E-3</v>
      </c>
      <c r="P251" s="3">
        <v>2.2757934185956327E-2</v>
      </c>
      <c r="Q251" s="3">
        <v>0.30570225880041513</v>
      </c>
      <c r="R251" s="3">
        <v>1071.2655362279529</v>
      </c>
      <c r="S251" s="3">
        <v>0.30196221777357168</v>
      </c>
      <c r="U251" s="3">
        <v>1.356283796858861</v>
      </c>
      <c r="V251" s="3">
        <v>1.0543215790852893</v>
      </c>
      <c r="X251" s="3">
        <v>1.3111571305295986</v>
      </c>
      <c r="Y251" s="3">
        <v>1.0091949127560269</v>
      </c>
      <c r="AA251" s="3">
        <v>1</v>
      </c>
      <c r="AB251" s="3">
        <v>0</v>
      </c>
      <c r="AC251" s="3">
        <v>0</v>
      </c>
    </row>
    <row r="252" spans="2:29" x14ac:dyDescent="0.2">
      <c r="B252" s="3" t="s">
        <v>519</v>
      </c>
      <c r="C252" s="3" t="s">
        <v>520</v>
      </c>
      <c r="D252" s="8">
        <v>42265</v>
      </c>
      <c r="E252" s="3">
        <v>900</v>
      </c>
      <c r="F252" s="3" t="s">
        <v>25</v>
      </c>
      <c r="G252" s="3" t="s">
        <v>26</v>
      </c>
      <c r="H252" s="3">
        <v>1046.4000000000001</v>
      </c>
      <c r="I252" s="3">
        <v>1048</v>
      </c>
      <c r="J252" s="3">
        <v>1049.5999999999999</v>
      </c>
      <c r="K252" s="3">
        <v>1.6</v>
      </c>
      <c r="L252" s="3">
        <v>1.95</v>
      </c>
      <c r="M252" s="3">
        <v>2.2999999999999998</v>
      </c>
      <c r="N252" s="3">
        <v>1</v>
      </c>
      <c r="O252" s="3">
        <v>4.3298448989156383E-3</v>
      </c>
      <c r="P252" s="3">
        <v>2.2757934185956327E-2</v>
      </c>
      <c r="Q252" s="3">
        <v>0.30570225880041513</v>
      </c>
      <c r="R252" s="3">
        <v>1046.4823636122715</v>
      </c>
      <c r="S252" s="3">
        <v>0.42275575029784651</v>
      </c>
      <c r="U252" s="3">
        <v>1.6059120544850884</v>
      </c>
      <c r="V252" s="3">
        <v>1.1831563041872419</v>
      </c>
      <c r="X252" s="3">
        <v>1.5217260854897703</v>
      </c>
      <c r="Y252" s="3">
        <v>1.0989703351919238</v>
      </c>
      <c r="AA252" s="3">
        <v>1</v>
      </c>
      <c r="AB252" s="3">
        <v>1</v>
      </c>
      <c r="AC252" s="3">
        <v>0</v>
      </c>
    </row>
    <row r="253" spans="2:29" x14ac:dyDescent="0.2">
      <c r="B253" s="3" t="s">
        <v>521</v>
      </c>
      <c r="C253" s="3" t="s">
        <v>522</v>
      </c>
      <c r="D253" s="8">
        <v>42265</v>
      </c>
      <c r="E253" s="3">
        <v>925</v>
      </c>
      <c r="F253" s="3" t="s">
        <v>25</v>
      </c>
      <c r="G253" s="3" t="s">
        <v>26</v>
      </c>
      <c r="H253" s="3">
        <v>1021.8</v>
      </c>
      <c r="I253" s="3">
        <v>1023.4</v>
      </c>
      <c r="J253" s="3">
        <v>1025</v>
      </c>
      <c r="K253" s="3">
        <v>1.9</v>
      </c>
      <c r="L253" s="3">
        <v>2.2200000000000002</v>
      </c>
      <c r="M253" s="3">
        <v>2.5499999999999998</v>
      </c>
      <c r="N253" s="3">
        <v>1</v>
      </c>
      <c r="O253" s="3">
        <v>4.3298448989156383E-3</v>
      </c>
      <c r="P253" s="3">
        <v>2.2757934185956327E-2</v>
      </c>
      <c r="Q253" s="3">
        <v>0.30570225880041513</v>
      </c>
      <c r="R253" s="3">
        <v>1021.7374541354734</v>
      </c>
      <c r="S253" s="3">
        <v>0.58181242170610226</v>
      </c>
      <c r="U253" s="3">
        <v>1.7707880363219601</v>
      </c>
      <c r="V253" s="3">
        <v>1.1889756146158579</v>
      </c>
      <c r="X253" s="3">
        <v>1.7572196401647961</v>
      </c>
      <c r="Y253" s="3">
        <v>1.1754072184586939</v>
      </c>
      <c r="AA253" s="3">
        <v>1</v>
      </c>
      <c r="AB253" s="3">
        <v>1</v>
      </c>
      <c r="AC253" s="3">
        <v>1</v>
      </c>
    </row>
    <row r="254" spans="2:29" x14ac:dyDescent="0.2">
      <c r="B254" s="3" t="s">
        <v>523</v>
      </c>
      <c r="C254" s="3" t="s">
        <v>524</v>
      </c>
      <c r="D254" s="8">
        <v>42265</v>
      </c>
      <c r="E254" s="3">
        <v>950</v>
      </c>
      <c r="F254" s="3" t="s">
        <v>25</v>
      </c>
      <c r="G254" s="3" t="s">
        <v>26</v>
      </c>
      <c r="H254" s="3">
        <v>997.1</v>
      </c>
      <c r="I254" s="3">
        <v>998.9</v>
      </c>
      <c r="J254" s="3">
        <v>1000.7</v>
      </c>
      <c r="K254" s="3">
        <v>2.15</v>
      </c>
      <c r="L254" s="3">
        <v>2.48</v>
      </c>
      <c r="M254" s="3">
        <v>2.8</v>
      </c>
      <c r="N254" s="3">
        <v>1</v>
      </c>
      <c r="O254" s="3">
        <v>4.3298448989156383E-3</v>
      </c>
      <c r="P254" s="3">
        <v>2.2757934185956327E-2</v>
      </c>
      <c r="Q254" s="3">
        <v>0.30570225880041513</v>
      </c>
      <c r="R254" s="3">
        <v>997.03970154495676</v>
      </c>
      <c r="S254" s="3">
        <v>0.78802597939515628</v>
      </c>
      <c r="U254" s="3">
        <v>1.8854221250999217</v>
      </c>
      <c r="V254" s="3">
        <v>1.0973961457047654</v>
      </c>
      <c r="X254" s="3">
        <v>2.0246016349149891</v>
      </c>
      <c r="Y254" s="3">
        <v>1.2365756555198328</v>
      </c>
      <c r="AA254" s="3">
        <v>1</v>
      </c>
      <c r="AB254" s="3">
        <v>1</v>
      </c>
      <c r="AC254" s="3">
        <v>1</v>
      </c>
    </row>
    <row r="255" spans="2:29" x14ac:dyDescent="0.2">
      <c r="B255" s="3" t="s">
        <v>525</v>
      </c>
      <c r="C255" s="3" t="s">
        <v>526</v>
      </c>
      <c r="D255" s="8">
        <v>42265</v>
      </c>
      <c r="E255" s="3">
        <v>975</v>
      </c>
      <c r="F255" s="3" t="s">
        <v>25</v>
      </c>
      <c r="G255" s="3" t="s">
        <v>26</v>
      </c>
      <c r="H255" s="3">
        <v>972.5</v>
      </c>
      <c r="I255" s="3">
        <v>974.3</v>
      </c>
      <c r="J255" s="3">
        <v>976.1</v>
      </c>
      <c r="K255" s="3">
        <v>2.4</v>
      </c>
      <c r="L255" s="3">
        <v>2.75</v>
      </c>
      <c r="M255" s="3">
        <v>3.1</v>
      </c>
      <c r="N255" s="3">
        <v>1</v>
      </c>
      <c r="O255" s="3">
        <v>4.3298448989156383E-3</v>
      </c>
      <c r="P255" s="3">
        <v>2.2757934185956327E-2</v>
      </c>
      <c r="Q255" s="3">
        <v>0.30570225880041513</v>
      </c>
      <c r="R255" s="3">
        <v>972.39924714465667</v>
      </c>
      <c r="S255" s="3">
        <v>1.0515377273009427</v>
      </c>
      <c r="U255" s="3">
        <v>2.2651525280801934</v>
      </c>
      <c r="V255" s="3">
        <v>1.2136148007792507</v>
      </c>
      <c r="X255" s="3">
        <v>2.3245146147044919</v>
      </c>
      <c r="Y255" s="3">
        <v>1.2729768874035492</v>
      </c>
      <c r="AA255" s="3">
        <v>1</v>
      </c>
      <c r="AB255" s="3">
        <v>1</v>
      </c>
      <c r="AC255" s="3">
        <v>1</v>
      </c>
    </row>
    <row r="256" spans="2:29" x14ac:dyDescent="0.2">
      <c r="B256" s="3" t="s">
        <v>527</v>
      </c>
      <c r="C256" s="3" t="s">
        <v>528</v>
      </c>
      <c r="D256" s="8">
        <v>42265</v>
      </c>
      <c r="E256" s="3">
        <v>1000</v>
      </c>
      <c r="F256" s="3" t="s">
        <v>25</v>
      </c>
      <c r="G256" s="3" t="s">
        <v>26</v>
      </c>
      <c r="H256" s="3">
        <v>947.9</v>
      </c>
      <c r="I256" s="3">
        <v>949.6</v>
      </c>
      <c r="J256" s="3">
        <v>951.3</v>
      </c>
      <c r="K256" s="3">
        <v>2.7</v>
      </c>
      <c r="L256" s="3">
        <v>3.1</v>
      </c>
      <c r="M256" s="3">
        <v>3.5</v>
      </c>
      <c r="N256" s="3">
        <v>1</v>
      </c>
      <c r="O256" s="3">
        <v>4.3298448989156383E-3</v>
      </c>
      <c r="P256" s="3">
        <v>2.2757934185956327E-2</v>
      </c>
      <c r="Q256" s="3">
        <v>0.30570225880041513</v>
      </c>
      <c r="R256" s="3">
        <v>947.82749685204851</v>
      </c>
      <c r="S256" s="3">
        <v>1.3837535828989314</v>
      </c>
      <c r="U256" s="3">
        <v>2.5791652989513523</v>
      </c>
      <c r="V256" s="3">
        <v>1.1954117160524209</v>
      </c>
      <c r="X256" s="3">
        <v>2.6633855478950843</v>
      </c>
      <c r="Y256" s="3">
        <v>1.2796319649961529</v>
      </c>
      <c r="AA256" s="3">
        <v>1</v>
      </c>
      <c r="AB256" s="3">
        <v>1</v>
      </c>
      <c r="AC256" s="3">
        <v>1</v>
      </c>
    </row>
    <row r="257" spans="2:29" x14ac:dyDescent="0.2">
      <c r="B257" s="3" t="s">
        <v>529</v>
      </c>
      <c r="C257" s="3" t="s">
        <v>530</v>
      </c>
      <c r="D257" s="8">
        <v>42265</v>
      </c>
      <c r="E257" s="3">
        <v>1025</v>
      </c>
      <c r="F257" s="3" t="s">
        <v>25</v>
      </c>
      <c r="G257" s="3" t="s">
        <v>26</v>
      </c>
      <c r="H257" s="3">
        <v>923.4</v>
      </c>
      <c r="I257" s="3">
        <v>925.1</v>
      </c>
      <c r="J257" s="3">
        <v>926.8</v>
      </c>
      <c r="K257" s="3">
        <v>3.1</v>
      </c>
      <c r="L257" s="3">
        <v>3.5</v>
      </c>
      <c r="M257" s="3">
        <v>3.9</v>
      </c>
      <c r="N257" s="3">
        <v>1</v>
      </c>
      <c r="O257" s="3">
        <v>4.3298448989156383E-3</v>
      </c>
      <c r="P257" s="3">
        <v>2.2757934185956327E-2</v>
      </c>
      <c r="Q257" s="3">
        <v>0.30570225880041513</v>
      </c>
      <c r="R257" s="3">
        <v>923.33711373469112</v>
      </c>
      <c r="S257" s="3">
        <v>1.7973366137473654</v>
      </c>
      <c r="U257" s="3">
        <v>3.0473881333216468</v>
      </c>
      <c r="V257" s="3">
        <v>1.2500515195742814</v>
      </c>
      <c r="X257" s="3">
        <v>3.042956953785545</v>
      </c>
      <c r="Y257" s="3">
        <v>1.2456203400381796</v>
      </c>
      <c r="AA257" s="3">
        <v>1</v>
      </c>
      <c r="AB257" s="3">
        <v>1</v>
      </c>
      <c r="AC257" s="3">
        <v>1</v>
      </c>
    </row>
    <row r="258" spans="2:29" x14ac:dyDescent="0.2">
      <c r="B258" s="3" t="s">
        <v>531</v>
      </c>
      <c r="C258" s="3" t="s">
        <v>532</v>
      </c>
      <c r="D258" s="8">
        <v>42265</v>
      </c>
      <c r="E258" s="3">
        <v>1050</v>
      </c>
      <c r="F258" s="3" t="s">
        <v>25</v>
      </c>
      <c r="G258" s="3" t="s">
        <v>26</v>
      </c>
      <c r="H258" s="3">
        <v>898.8</v>
      </c>
      <c r="I258" s="3">
        <v>900.55</v>
      </c>
      <c r="J258" s="3">
        <v>902.3</v>
      </c>
      <c r="K258" s="3">
        <v>3.5</v>
      </c>
      <c r="L258" s="3">
        <v>3.9</v>
      </c>
      <c r="M258" s="3">
        <v>4.3</v>
      </c>
      <c r="N258" s="3">
        <v>1</v>
      </c>
      <c r="O258" s="3">
        <v>4.3298448989156383E-3</v>
      </c>
      <c r="P258" s="3">
        <v>2.2757934185956327E-2</v>
      </c>
      <c r="Q258" s="3">
        <v>0.30570225880041513</v>
      </c>
      <c r="R258" s="3">
        <v>898.94198546076495</v>
      </c>
      <c r="S258" s="3">
        <v>2.3061744880271675</v>
      </c>
      <c r="U258" s="3">
        <v>3.467679668519736</v>
      </c>
      <c r="V258" s="3">
        <v>1.1615051804925685</v>
      </c>
      <c r="X258" s="3">
        <v>3.4709600498325939</v>
      </c>
      <c r="Y258" s="3">
        <v>1.1647855618054264</v>
      </c>
      <c r="AA258" s="3">
        <v>1</v>
      </c>
      <c r="AB258" s="3">
        <v>1</v>
      </c>
      <c r="AC258" s="3">
        <v>1</v>
      </c>
    </row>
    <row r="259" spans="2:29" x14ac:dyDescent="0.2">
      <c r="B259" s="3" t="s">
        <v>533</v>
      </c>
      <c r="C259" s="3" t="s">
        <v>534</v>
      </c>
      <c r="D259" s="8">
        <v>42265</v>
      </c>
      <c r="E259" s="3">
        <v>1075</v>
      </c>
      <c r="F259" s="3" t="s">
        <v>25</v>
      </c>
      <c r="G259" s="3" t="s">
        <v>26</v>
      </c>
      <c r="H259" s="3">
        <v>874.4</v>
      </c>
      <c r="I259" s="3">
        <v>876.15</v>
      </c>
      <c r="J259" s="3">
        <v>877.9</v>
      </c>
      <c r="K259" s="3">
        <v>4</v>
      </c>
      <c r="L259" s="3">
        <v>4.4000000000000004</v>
      </c>
      <c r="M259" s="3">
        <v>4.8</v>
      </c>
      <c r="N259" s="3">
        <v>1</v>
      </c>
      <c r="O259" s="3">
        <v>4.3298448989156383E-3</v>
      </c>
      <c r="P259" s="3">
        <v>2.2757934185956327E-2</v>
      </c>
      <c r="Q259" s="3">
        <v>0.30570225880041513</v>
      </c>
      <c r="R259" s="3">
        <v>874.65716695060723</v>
      </c>
      <c r="S259" s="3">
        <v>2.9253221260754003</v>
      </c>
      <c r="U259" s="3">
        <v>3.9148042412799668</v>
      </c>
      <c r="V259" s="3">
        <v>0.98948211520456653</v>
      </c>
      <c r="X259" s="3">
        <v>3.9509207689670038</v>
      </c>
      <c r="Y259" s="3">
        <v>1.0255986428916035</v>
      </c>
      <c r="AA259" s="3">
        <v>1</v>
      </c>
      <c r="AB259" s="3">
        <v>1</v>
      </c>
      <c r="AC259" s="3">
        <v>1</v>
      </c>
    </row>
    <row r="260" spans="2:29" x14ac:dyDescent="0.2">
      <c r="B260" s="3" t="s">
        <v>535</v>
      </c>
      <c r="C260" s="3" t="s">
        <v>536</v>
      </c>
      <c r="D260" s="8">
        <v>42265</v>
      </c>
      <c r="E260" s="3">
        <v>1100</v>
      </c>
      <c r="F260" s="3" t="s">
        <v>25</v>
      </c>
      <c r="G260" s="3" t="s">
        <v>26</v>
      </c>
      <c r="H260" s="3">
        <v>849.9</v>
      </c>
      <c r="I260" s="3">
        <v>851.75</v>
      </c>
      <c r="J260" s="3">
        <v>853.6</v>
      </c>
      <c r="K260" s="3">
        <v>4.5</v>
      </c>
      <c r="L260" s="3">
        <v>4.95</v>
      </c>
      <c r="M260" s="3">
        <v>5.4</v>
      </c>
      <c r="N260" s="3">
        <v>1</v>
      </c>
      <c r="O260" s="3">
        <v>4.3298448989156383E-3</v>
      </c>
      <c r="P260" s="3">
        <v>2.2757934185956327E-2</v>
      </c>
      <c r="Q260" s="3">
        <v>0.30570225880041513</v>
      </c>
      <c r="R260" s="3">
        <v>850.49879931395753</v>
      </c>
      <c r="S260" s="3">
        <v>3.6709206376319372</v>
      </c>
      <c r="U260" s="3">
        <v>4.4615578969534226</v>
      </c>
      <c r="V260" s="3">
        <v>0.79063725932148543</v>
      </c>
      <c r="X260" s="3">
        <v>4.4836453474402997</v>
      </c>
      <c r="Y260" s="3">
        <v>0.81272470980836253</v>
      </c>
      <c r="AA260" s="3">
        <v>1</v>
      </c>
      <c r="AB260" s="3">
        <v>1</v>
      </c>
      <c r="AC260" s="3">
        <v>1</v>
      </c>
    </row>
    <row r="261" spans="2:29" x14ac:dyDescent="0.2">
      <c r="B261" s="3" t="s">
        <v>537</v>
      </c>
      <c r="C261" s="3" t="s">
        <v>538</v>
      </c>
      <c r="D261" s="8">
        <v>42265</v>
      </c>
      <c r="E261" s="3">
        <v>1125</v>
      </c>
      <c r="F261" s="3" t="s">
        <v>25</v>
      </c>
      <c r="G261" s="3" t="s">
        <v>26</v>
      </c>
      <c r="H261" s="3">
        <v>825.5</v>
      </c>
      <c r="I261" s="3">
        <v>827.35</v>
      </c>
      <c r="J261" s="3">
        <v>829.2</v>
      </c>
      <c r="K261" s="3">
        <v>5.0999999999999996</v>
      </c>
      <c r="L261" s="3">
        <v>5.55</v>
      </c>
      <c r="M261" s="3">
        <v>6</v>
      </c>
      <c r="N261" s="3">
        <v>1</v>
      </c>
      <c r="O261" s="3">
        <v>4.3298448989156383E-3</v>
      </c>
      <c r="P261" s="3">
        <v>2.2757934185956327E-2</v>
      </c>
      <c r="Q261" s="3">
        <v>0.30570225880041513</v>
      </c>
      <c r="R261" s="3">
        <v>826.48400686797982</v>
      </c>
      <c r="S261" s="3">
        <v>4.5600943398601359</v>
      </c>
      <c r="U261" s="3">
        <v>5.028676457872848</v>
      </c>
      <c r="V261" s="3">
        <v>0.4685821180127121</v>
      </c>
      <c r="X261" s="3">
        <v>5.0665929900722748</v>
      </c>
      <c r="Y261" s="3">
        <v>0.50649865021213891</v>
      </c>
      <c r="AA261" s="3">
        <v>1</v>
      </c>
      <c r="AB261" s="3">
        <v>1</v>
      </c>
      <c r="AC261" s="3">
        <v>1</v>
      </c>
    </row>
    <row r="262" spans="2:29" x14ac:dyDescent="0.2">
      <c r="B262" s="3" t="s">
        <v>539</v>
      </c>
      <c r="C262" s="3" t="s">
        <v>540</v>
      </c>
      <c r="D262" s="8">
        <v>42265</v>
      </c>
      <c r="E262" s="3">
        <v>1150</v>
      </c>
      <c r="F262" s="3" t="s">
        <v>25</v>
      </c>
      <c r="G262" s="3" t="s">
        <v>26</v>
      </c>
      <c r="H262" s="3">
        <v>801.2</v>
      </c>
      <c r="I262" s="3">
        <v>803.1</v>
      </c>
      <c r="J262" s="3">
        <v>805</v>
      </c>
      <c r="K262" s="3">
        <v>5.7</v>
      </c>
      <c r="L262" s="3">
        <v>6.15</v>
      </c>
      <c r="M262" s="3">
        <v>6.6</v>
      </c>
      <c r="N262" s="3">
        <v>1</v>
      </c>
      <c r="O262" s="3">
        <v>4.3298448989156383E-3</v>
      </c>
      <c r="P262" s="3">
        <v>2.2757934185956327E-2</v>
      </c>
      <c r="Q262" s="3">
        <v>0.30570225880041513</v>
      </c>
      <c r="R262" s="3">
        <v>802.63077463019204</v>
      </c>
      <c r="S262" s="3">
        <v>5.6108282502781179</v>
      </c>
      <c r="U262" s="3">
        <v>5.6597593113124276</v>
      </c>
      <c r="V262" s="3">
        <v>4.8931061034309664E-2</v>
      </c>
      <c r="X262" s="3">
        <v>5.7078994628826223</v>
      </c>
      <c r="Y262" s="3">
        <v>9.7071212604504353E-2</v>
      </c>
      <c r="AA262" s="3">
        <v>1</v>
      </c>
      <c r="AB262" s="3">
        <v>0</v>
      </c>
      <c r="AC262" s="3">
        <v>1</v>
      </c>
    </row>
    <row r="263" spans="2:29" x14ac:dyDescent="0.2">
      <c r="B263" s="3" t="s">
        <v>541</v>
      </c>
      <c r="C263" s="3" t="s">
        <v>542</v>
      </c>
      <c r="D263" s="8">
        <v>42265</v>
      </c>
      <c r="E263" s="3">
        <v>1175</v>
      </c>
      <c r="F263" s="3" t="s">
        <v>25</v>
      </c>
      <c r="G263" s="3" t="s">
        <v>26</v>
      </c>
      <c r="H263" s="3">
        <v>777</v>
      </c>
      <c r="I263" s="3">
        <v>778.9</v>
      </c>
      <c r="J263" s="3">
        <v>780.8</v>
      </c>
      <c r="K263" s="3">
        <v>6.4</v>
      </c>
      <c r="L263" s="3">
        <v>6.9</v>
      </c>
      <c r="M263" s="3">
        <v>7.4</v>
      </c>
      <c r="N263" s="3">
        <v>1</v>
      </c>
      <c r="O263" s="3">
        <v>4.3298448989156383E-3</v>
      </c>
      <c r="P263" s="3">
        <v>2.2757934185956327E-2</v>
      </c>
      <c r="Q263" s="3">
        <v>0.30570225880041513</v>
      </c>
      <c r="R263" s="3">
        <v>778.95780915311821</v>
      </c>
      <c r="S263" s="3">
        <v>6.8418289214103822</v>
      </c>
      <c r="U263" s="3">
        <v>6.4493561223356437</v>
      </c>
      <c r="V263" s="3">
        <v>-0.39247279907473853</v>
      </c>
      <c r="X263" s="3">
        <v>6.4136893539186355</v>
      </c>
      <c r="Y263" s="3">
        <v>-0.42813956749174675</v>
      </c>
      <c r="AA263" s="3">
        <v>1</v>
      </c>
      <c r="AB263" s="3">
        <v>0</v>
      </c>
      <c r="AC263" s="3">
        <v>0</v>
      </c>
    </row>
    <row r="264" spans="2:29" x14ac:dyDescent="0.2">
      <c r="B264" s="3" t="s">
        <v>543</v>
      </c>
      <c r="C264" s="3" t="s">
        <v>544</v>
      </c>
      <c r="D264" s="8">
        <v>42265</v>
      </c>
      <c r="E264" s="3">
        <v>1200</v>
      </c>
      <c r="F264" s="3" t="s">
        <v>25</v>
      </c>
      <c r="G264" s="3" t="s">
        <v>26</v>
      </c>
      <c r="H264" s="3">
        <v>752.9</v>
      </c>
      <c r="I264" s="3">
        <v>754.75</v>
      </c>
      <c r="J264" s="3">
        <v>756.6</v>
      </c>
      <c r="K264" s="3">
        <v>7.2</v>
      </c>
      <c r="L264" s="3">
        <v>7.7</v>
      </c>
      <c r="M264" s="3">
        <v>8.1999999999999993</v>
      </c>
      <c r="N264" s="3">
        <v>1</v>
      </c>
      <c r="O264" s="3">
        <v>4.3298448989156383E-3</v>
      </c>
      <c r="P264" s="3">
        <v>2.2757934185956327E-2</v>
      </c>
      <c r="Q264" s="3">
        <v>0.30085154534620345</v>
      </c>
      <c r="R264" s="3">
        <v>754.83357399041711</v>
      </c>
      <c r="S264" s="3">
        <v>7.6215599069151949</v>
      </c>
      <c r="U264" s="3">
        <v>7.0484474230548813</v>
      </c>
      <c r="V264" s="3">
        <v>-0.57311248386031366</v>
      </c>
      <c r="X264" s="3">
        <v>7.1904314864655756</v>
      </c>
      <c r="Y264" s="3">
        <v>-0.4311284204496193</v>
      </c>
      <c r="AA264" s="3">
        <v>1</v>
      </c>
      <c r="AB264" s="3">
        <v>1</v>
      </c>
      <c r="AC264" s="3">
        <v>1</v>
      </c>
    </row>
    <row r="265" spans="2:29" x14ac:dyDescent="0.2">
      <c r="B265" s="3" t="s">
        <v>545</v>
      </c>
      <c r="C265" s="3" t="s">
        <v>546</v>
      </c>
      <c r="D265" s="8">
        <v>42265</v>
      </c>
      <c r="E265" s="3">
        <v>1225</v>
      </c>
      <c r="F265" s="3" t="s">
        <v>25</v>
      </c>
      <c r="G265" s="3" t="s">
        <v>26</v>
      </c>
      <c r="H265" s="3">
        <v>728.8</v>
      </c>
      <c r="I265" s="3">
        <v>730.7</v>
      </c>
      <c r="J265" s="3">
        <v>732.6</v>
      </c>
      <c r="K265" s="3">
        <v>8</v>
      </c>
      <c r="L265" s="3">
        <v>8.5500000000000007</v>
      </c>
      <c r="M265" s="3">
        <v>9.1</v>
      </c>
      <c r="N265" s="3">
        <v>1</v>
      </c>
      <c r="O265" s="3">
        <v>4.3298448989156383E-3</v>
      </c>
      <c r="P265" s="3">
        <v>2.2757934185956327E-2</v>
      </c>
      <c r="Q265" s="3">
        <v>0.29600083189199178</v>
      </c>
      <c r="R265" s="3">
        <v>730.77882091438801</v>
      </c>
      <c r="S265" s="3">
        <v>8.4707729790919899</v>
      </c>
      <c r="U265" s="3">
        <v>8.0693239204933889</v>
      </c>
      <c r="V265" s="3">
        <v>-0.40144905859860103</v>
      </c>
      <c r="X265" s="3">
        <v>8.0469561889244137</v>
      </c>
      <c r="Y265" s="3">
        <v>-0.42381679016757623</v>
      </c>
      <c r="AA265" s="3">
        <v>1</v>
      </c>
      <c r="AB265" s="3">
        <v>0</v>
      </c>
      <c r="AC265" s="3">
        <v>0</v>
      </c>
    </row>
    <row r="266" spans="2:29" x14ac:dyDescent="0.2">
      <c r="B266" s="3" t="s">
        <v>547</v>
      </c>
      <c r="C266" s="3" t="s">
        <v>548</v>
      </c>
      <c r="D266" s="8">
        <v>42265</v>
      </c>
      <c r="E266" s="3">
        <v>1250</v>
      </c>
      <c r="F266" s="3" t="s">
        <v>25</v>
      </c>
      <c r="G266" s="3" t="s">
        <v>26</v>
      </c>
      <c r="H266" s="3">
        <v>704.7</v>
      </c>
      <c r="I266" s="3">
        <v>706.65</v>
      </c>
      <c r="J266" s="3">
        <v>708.6</v>
      </c>
      <c r="K266" s="3">
        <v>8.8000000000000007</v>
      </c>
      <c r="L266" s="3">
        <v>9.4</v>
      </c>
      <c r="M266" s="3">
        <v>10</v>
      </c>
      <c r="N266" s="3">
        <v>1</v>
      </c>
      <c r="O266" s="3">
        <v>4.3298448989156383E-3</v>
      </c>
      <c r="P266" s="3">
        <v>2.2757934185956327E-2</v>
      </c>
      <c r="Q266" s="3">
        <v>0.29085775054489632</v>
      </c>
      <c r="R266" s="3">
        <v>706.75315950987442</v>
      </c>
      <c r="S266" s="3">
        <v>9.3490777227843864</v>
      </c>
      <c r="U266" s="3">
        <v>8.7882247859195104</v>
      </c>
      <c r="V266" s="3">
        <v>-0.56085293686487603</v>
      </c>
      <c r="X266" s="3">
        <v>8.9938854067838481</v>
      </c>
      <c r="Y266" s="3">
        <v>-0.35519231600053836</v>
      </c>
      <c r="AA266" s="3">
        <v>1</v>
      </c>
      <c r="AB266" s="3">
        <v>0</v>
      </c>
      <c r="AC266" s="3">
        <v>1</v>
      </c>
    </row>
    <row r="267" spans="2:29" x14ac:dyDescent="0.2">
      <c r="B267" s="3" t="s">
        <v>549</v>
      </c>
      <c r="C267" s="3" t="s">
        <v>550</v>
      </c>
      <c r="D267" s="8">
        <v>42265</v>
      </c>
      <c r="E267" s="3">
        <v>1275</v>
      </c>
      <c r="F267" s="3" t="s">
        <v>25</v>
      </c>
      <c r="G267" s="3" t="s">
        <v>26</v>
      </c>
      <c r="H267" s="3">
        <v>680.7</v>
      </c>
      <c r="I267" s="3">
        <v>682.7</v>
      </c>
      <c r="J267" s="3">
        <v>684.7</v>
      </c>
      <c r="K267" s="3">
        <v>9.6999999999999993</v>
      </c>
      <c r="L267" s="3">
        <v>10.4</v>
      </c>
      <c r="M267" s="3">
        <v>11.1</v>
      </c>
      <c r="N267" s="3">
        <v>1</v>
      </c>
      <c r="O267" s="3">
        <v>4.3298448989156383E-3</v>
      </c>
      <c r="P267" s="3">
        <v>2.2757934185956327E-2</v>
      </c>
      <c r="Q267" s="3">
        <v>0.28571466919780086</v>
      </c>
      <c r="R267" s="3">
        <v>682.79988904096786</v>
      </c>
      <c r="S267" s="3">
        <v>10.299773402083702</v>
      </c>
      <c r="U267" s="3">
        <v>10.140005666816137</v>
      </c>
      <c r="V267" s="3">
        <v>-0.1597677352675646</v>
      </c>
      <c r="X267" s="3">
        <v>10.037074359177213</v>
      </c>
      <c r="Y267" s="3">
        <v>-0.2626990429064886</v>
      </c>
      <c r="AA267" s="3">
        <v>1</v>
      </c>
      <c r="AB267" s="3">
        <v>0</v>
      </c>
      <c r="AC267" s="3">
        <v>0</v>
      </c>
    </row>
    <row r="268" spans="2:29" x14ac:dyDescent="0.2">
      <c r="B268" s="3" t="s">
        <v>551</v>
      </c>
      <c r="C268" s="3" t="s">
        <v>552</v>
      </c>
      <c r="D268" s="8">
        <v>42265</v>
      </c>
      <c r="E268" s="3">
        <v>1300</v>
      </c>
      <c r="F268" s="3" t="s">
        <v>25</v>
      </c>
      <c r="G268" s="3" t="s">
        <v>26</v>
      </c>
      <c r="H268" s="3">
        <v>656.9</v>
      </c>
      <c r="I268" s="3">
        <v>658.95</v>
      </c>
      <c r="J268" s="3">
        <v>661</v>
      </c>
      <c r="K268" s="3">
        <v>10.7</v>
      </c>
      <c r="L268" s="3">
        <v>11.4</v>
      </c>
      <c r="M268" s="3">
        <v>12.1</v>
      </c>
      <c r="N268" s="3">
        <v>1</v>
      </c>
      <c r="O268" s="3">
        <v>4.3298448989156383E-3</v>
      </c>
      <c r="P268" s="3">
        <v>2.2757934185956327E-2</v>
      </c>
      <c r="Q268" s="3">
        <v>0.28092191263438515</v>
      </c>
      <c r="R268" s="3">
        <v>658.98843771408178</v>
      </c>
      <c r="S268" s="3">
        <v>11.392288223403497</v>
      </c>
      <c r="U268" s="3">
        <v>11.096521614987864</v>
      </c>
      <c r="V268" s="3">
        <v>-0.29576660841563296</v>
      </c>
      <c r="X268" s="3">
        <v>11.183257443597903</v>
      </c>
      <c r="Y268" s="3">
        <v>-0.20903077980559459</v>
      </c>
      <c r="AA268" s="3">
        <v>1</v>
      </c>
      <c r="AB268" s="3">
        <v>0</v>
      </c>
      <c r="AC268" s="3">
        <v>0</v>
      </c>
    </row>
    <row r="269" spans="2:29" x14ac:dyDescent="0.2">
      <c r="B269" s="3" t="s">
        <v>553</v>
      </c>
      <c r="C269" s="3" t="s">
        <v>554</v>
      </c>
      <c r="D269" s="8">
        <v>42265</v>
      </c>
      <c r="E269" s="3">
        <v>1325</v>
      </c>
      <c r="F269" s="3" t="s">
        <v>25</v>
      </c>
      <c r="G269" s="3" t="s">
        <v>26</v>
      </c>
      <c r="H269" s="3">
        <v>633.20000000000005</v>
      </c>
      <c r="I269" s="3">
        <v>635.25</v>
      </c>
      <c r="J269" s="3">
        <v>637.29999999999995</v>
      </c>
      <c r="K269" s="3">
        <v>11.8</v>
      </c>
      <c r="L269" s="3">
        <v>12.6</v>
      </c>
      <c r="M269" s="3">
        <v>13.4</v>
      </c>
      <c r="N269" s="3">
        <v>1</v>
      </c>
      <c r="O269" s="3">
        <v>4.3298448989156383E-3</v>
      </c>
      <c r="P269" s="3">
        <v>2.2757934185956327E-2</v>
      </c>
      <c r="Q269" s="3">
        <v>0.27612915607096944</v>
      </c>
      <c r="R269" s="3">
        <v>635.27108283591042</v>
      </c>
      <c r="S269" s="3">
        <v>12.578899493438286</v>
      </c>
      <c r="U269" s="3">
        <v>12.424458377065321</v>
      </c>
      <c r="V269" s="3">
        <v>-0.15444111637296487</v>
      </c>
      <c r="X269" s="3">
        <v>12.440447608154201</v>
      </c>
      <c r="Y269" s="3">
        <v>-0.13845188528408414</v>
      </c>
      <c r="AA269" s="3">
        <v>1</v>
      </c>
      <c r="AB269" s="3">
        <v>0</v>
      </c>
      <c r="AC269" s="3">
        <v>0</v>
      </c>
    </row>
    <row r="270" spans="2:29" x14ac:dyDescent="0.2">
      <c r="B270" s="3" t="s">
        <v>555</v>
      </c>
      <c r="C270" s="3" t="s">
        <v>556</v>
      </c>
      <c r="D270" s="8">
        <v>42265</v>
      </c>
      <c r="E270" s="3">
        <v>1350</v>
      </c>
      <c r="F270" s="3" t="s">
        <v>25</v>
      </c>
      <c r="G270" s="3" t="s">
        <v>26</v>
      </c>
      <c r="H270" s="3">
        <v>609.6</v>
      </c>
      <c r="I270" s="3">
        <v>611.79999999999995</v>
      </c>
      <c r="J270" s="3">
        <v>614</v>
      </c>
      <c r="K270" s="3">
        <v>13.1</v>
      </c>
      <c r="L270" s="3">
        <v>13.95</v>
      </c>
      <c r="M270" s="3">
        <v>14.8</v>
      </c>
      <c r="N270" s="3">
        <v>1</v>
      </c>
      <c r="O270" s="3">
        <v>4.3298448989156383E-3</v>
      </c>
      <c r="P270" s="3">
        <v>2.2757934185956327E-2</v>
      </c>
      <c r="Q270" s="3">
        <v>0.27159187043797628</v>
      </c>
      <c r="R270" s="3">
        <v>611.70995904006031</v>
      </c>
      <c r="S270" s="3">
        <v>13.921741845793775</v>
      </c>
      <c r="U270" s="3">
        <v>13.707891695226294</v>
      </c>
      <c r="V270" s="3">
        <v>-0.21385015056748102</v>
      </c>
      <c r="X270" s="3">
        <v>13.811164007641475</v>
      </c>
      <c r="Y270" s="3">
        <v>-0.1105778381523006</v>
      </c>
      <c r="AA270" s="3">
        <v>1</v>
      </c>
      <c r="AB270" s="3">
        <v>0</v>
      </c>
      <c r="AC270" s="3">
        <v>0</v>
      </c>
    </row>
    <row r="271" spans="2:29" x14ac:dyDescent="0.2">
      <c r="B271" s="3" t="s">
        <v>557</v>
      </c>
      <c r="C271" s="3" t="s">
        <v>558</v>
      </c>
      <c r="D271" s="8">
        <v>42265</v>
      </c>
      <c r="E271" s="3">
        <v>1375</v>
      </c>
      <c r="F271" s="3" t="s">
        <v>25</v>
      </c>
      <c r="G271" s="3" t="s">
        <v>26</v>
      </c>
      <c r="H271" s="3">
        <v>586.1</v>
      </c>
      <c r="I271" s="3">
        <v>588.20000000000005</v>
      </c>
      <c r="J271" s="3">
        <v>590.29999999999995</v>
      </c>
      <c r="K271" s="3">
        <v>14.6</v>
      </c>
      <c r="L271" s="3">
        <v>15.45</v>
      </c>
      <c r="M271" s="3">
        <v>16.3</v>
      </c>
      <c r="N271" s="3">
        <v>1</v>
      </c>
      <c r="O271" s="3">
        <v>4.3298448989156383E-3</v>
      </c>
      <c r="P271" s="3">
        <v>2.2757934185956327E-2</v>
      </c>
      <c r="Q271" s="3">
        <v>0.26705458480498312</v>
      </c>
      <c r="R271" s="3">
        <v>588.26690954946798</v>
      </c>
      <c r="S271" s="3">
        <v>15.382658503407413</v>
      </c>
      <c r="U271" s="3">
        <v>14.913650134717045</v>
      </c>
      <c r="V271" s="3">
        <v>-0.46900836869036766</v>
      </c>
      <c r="X271" s="3">
        <v>15.305427048870561</v>
      </c>
      <c r="Y271" s="3">
        <v>-7.7231454536851984E-2</v>
      </c>
      <c r="AA271" s="3">
        <v>1</v>
      </c>
      <c r="AB271" s="3">
        <v>0</v>
      </c>
      <c r="AC271" s="3">
        <v>0</v>
      </c>
    </row>
    <row r="272" spans="2:29" x14ac:dyDescent="0.2">
      <c r="B272" s="3" t="s">
        <v>559</v>
      </c>
      <c r="C272" s="3" t="s">
        <v>560</v>
      </c>
      <c r="D272" s="8">
        <v>42265</v>
      </c>
      <c r="E272" s="3">
        <v>1400</v>
      </c>
      <c r="F272" s="3" t="s">
        <v>25</v>
      </c>
      <c r="G272" s="3" t="s">
        <v>26</v>
      </c>
      <c r="H272" s="3">
        <v>562.9</v>
      </c>
      <c r="I272" s="3">
        <v>564.95000000000005</v>
      </c>
      <c r="J272" s="3">
        <v>567</v>
      </c>
      <c r="K272" s="3">
        <v>16.2</v>
      </c>
      <c r="L272" s="3">
        <v>17.100000000000001</v>
      </c>
      <c r="M272" s="3">
        <v>18</v>
      </c>
      <c r="N272" s="3">
        <v>1</v>
      </c>
      <c r="O272" s="3">
        <v>4.3298448989156383E-3</v>
      </c>
      <c r="P272" s="3">
        <v>2.2757934185956327E-2</v>
      </c>
      <c r="Q272" s="3">
        <v>0.26282213093587814</v>
      </c>
      <c r="R272" s="3">
        <v>565.02773926547093</v>
      </c>
      <c r="S272" s="3">
        <v>17.047454367616439</v>
      </c>
      <c r="U272" s="3">
        <v>16.63702562436174</v>
      </c>
      <c r="V272" s="3">
        <v>-0.41042874325469825</v>
      </c>
      <c r="X272" s="3">
        <v>16.939314199949742</v>
      </c>
      <c r="Y272" s="3">
        <v>-0.1081401676666971</v>
      </c>
      <c r="AA272" s="3">
        <v>1</v>
      </c>
      <c r="AB272" s="3">
        <v>0</v>
      </c>
      <c r="AC272" s="3">
        <v>0</v>
      </c>
    </row>
    <row r="273" spans="2:29" x14ac:dyDescent="0.2">
      <c r="B273" s="3" t="s">
        <v>561</v>
      </c>
      <c r="C273" s="3" t="s">
        <v>562</v>
      </c>
      <c r="D273" s="8">
        <v>42265</v>
      </c>
      <c r="E273" s="3">
        <v>1425</v>
      </c>
      <c r="F273" s="3" t="s">
        <v>25</v>
      </c>
      <c r="G273" s="3" t="s">
        <v>26</v>
      </c>
      <c r="H273" s="3">
        <v>539.79999999999995</v>
      </c>
      <c r="I273" s="3">
        <v>541.95000000000005</v>
      </c>
      <c r="J273" s="3">
        <v>544.1</v>
      </c>
      <c r="K273" s="3">
        <v>17.899999999999999</v>
      </c>
      <c r="L273" s="3">
        <v>18.850000000000001</v>
      </c>
      <c r="M273" s="3">
        <v>19.8</v>
      </c>
      <c r="N273" s="3">
        <v>1</v>
      </c>
      <c r="O273" s="3">
        <v>4.3298448989156383E-3</v>
      </c>
      <c r="P273" s="3">
        <v>2.2757934185956327E-2</v>
      </c>
      <c r="Q273" s="3">
        <v>0.25858967706677316</v>
      </c>
      <c r="R273" s="3">
        <v>541.93793961417759</v>
      </c>
      <c r="S273" s="3">
        <v>18.861620864529158</v>
      </c>
      <c r="U273" s="3">
        <v>18.322769467530975</v>
      </c>
      <c r="V273" s="3">
        <v>-0.53885139699818296</v>
      </c>
      <c r="X273" s="3">
        <v>18.717880648659481</v>
      </c>
      <c r="Y273" s="3">
        <v>-0.143740215869677</v>
      </c>
      <c r="AA273" s="3">
        <v>1</v>
      </c>
      <c r="AB273" s="3">
        <v>0</v>
      </c>
      <c r="AC273" s="3">
        <v>0</v>
      </c>
    </row>
    <row r="274" spans="2:29" x14ac:dyDescent="0.2">
      <c r="B274" s="3" t="s">
        <v>563</v>
      </c>
      <c r="C274" s="3" t="s">
        <v>564</v>
      </c>
      <c r="D274" s="8">
        <v>42265</v>
      </c>
      <c r="E274" s="3">
        <v>1450</v>
      </c>
      <c r="F274" s="3" t="s">
        <v>25</v>
      </c>
      <c r="G274" s="3" t="s">
        <v>26</v>
      </c>
      <c r="H274" s="3">
        <v>516.79999999999995</v>
      </c>
      <c r="I274" s="3">
        <v>519</v>
      </c>
      <c r="J274" s="3">
        <v>521.20000000000005</v>
      </c>
      <c r="K274" s="3">
        <v>19.8</v>
      </c>
      <c r="L274" s="3">
        <v>20.8</v>
      </c>
      <c r="M274" s="3">
        <v>21.8</v>
      </c>
      <c r="N274" s="3">
        <v>1</v>
      </c>
      <c r="O274" s="3">
        <v>4.3298448989156383E-3</v>
      </c>
      <c r="P274" s="3">
        <v>2.2757934185956327E-2</v>
      </c>
      <c r="Q274" s="3">
        <v>0.25412432004091529</v>
      </c>
      <c r="R274" s="3">
        <v>518.94146803830017</v>
      </c>
      <c r="S274" s="3">
        <v>20.769115436857646</v>
      </c>
      <c r="U274" s="3">
        <v>20.661495149337497</v>
      </c>
      <c r="V274" s="3">
        <v>-0.10762028752014885</v>
      </c>
      <c r="X274" s="3">
        <v>20.66212375337194</v>
      </c>
      <c r="Y274" s="3">
        <v>-0.10699168348570609</v>
      </c>
      <c r="AA274" s="3">
        <v>1</v>
      </c>
      <c r="AB274" s="3">
        <v>0</v>
      </c>
      <c r="AC274" s="3">
        <v>0</v>
      </c>
    </row>
    <row r="275" spans="2:29" x14ac:dyDescent="0.2">
      <c r="B275" s="3" t="s">
        <v>565</v>
      </c>
      <c r="C275" s="3" t="s">
        <v>566</v>
      </c>
      <c r="D275" s="8">
        <v>42265</v>
      </c>
      <c r="E275" s="3">
        <v>1475</v>
      </c>
      <c r="F275" s="3" t="s">
        <v>25</v>
      </c>
      <c r="G275" s="3" t="s">
        <v>26</v>
      </c>
      <c r="H275" s="3">
        <v>494</v>
      </c>
      <c r="I275" s="3">
        <v>496</v>
      </c>
      <c r="J275" s="3">
        <v>498</v>
      </c>
      <c r="K275" s="3">
        <v>21.9</v>
      </c>
      <c r="L275" s="3">
        <v>22.95</v>
      </c>
      <c r="M275" s="3">
        <v>24</v>
      </c>
      <c r="N275" s="3">
        <v>1</v>
      </c>
      <c r="O275" s="3">
        <v>4.3298448989156383E-3</v>
      </c>
      <c r="P275" s="3">
        <v>2.2757934185956327E-2</v>
      </c>
      <c r="Q275" s="3">
        <v>0.24965896301505741</v>
      </c>
      <c r="R275" s="3">
        <v>496.10902013767191</v>
      </c>
      <c r="S275" s="3">
        <v>22.840633684435545</v>
      </c>
      <c r="U275" s="3">
        <v>22.254570517570983</v>
      </c>
      <c r="V275" s="3">
        <v>-0.58606316686456239</v>
      </c>
      <c r="X275" s="3">
        <v>22.771437036830083</v>
      </c>
      <c r="Y275" s="3">
        <v>-6.9196647605462402E-2</v>
      </c>
      <c r="AA275" s="3">
        <v>1</v>
      </c>
      <c r="AB275" s="3">
        <v>0</v>
      </c>
      <c r="AC275" s="3">
        <v>0</v>
      </c>
    </row>
    <row r="276" spans="2:29" x14ac:dyDescent="0.2">
      <c r="B276" s="3" t="s">
        <v>567</v>
      </c>
      <c r="C276" s="3" t="s">
        <v>568</v>
      </c>
      <c r="D276" s="8">
        <v>42265</v>
      </c>
      <c r="E276" s="3">
        <v>1500</v>
      </c>
      <c r="F276" s="3" t="s">
        <v>25</v>
      </c>
      <c r="G276" s="3" t="s">
        <v>26</v>
      </c>
      <c r="H276" s="3">
        <v>471.4</v>
      </c>
      <c r="I276" s="3">
        <v>473.5</v>
      </c>
      <c r="J276" s="3">
        <v>475.6</v>
      </c>
      <c r="K276" s="3">
        <v>24.1</v>
      </c>
      <c r="L276" s="3">
        <v>25.2</v>
      </c>
      <c r="M276" s="3">
        <v>26.3</v>
      </c>
      <c r="N276" s="3">
        <v>1</v>
      </c>
      <c r="O276" s="3">
        <v>4.3298448989156383E-3</v>
      </c>
      <c r="P276" s="3">
        <v>2.2757934185956327E-2</v>
      </c>
      <c r="Q276" s="3">
        <v>0.24542497598933785</v>
      </c>
      <c r="R276" s="3">
        <v>473.53116972356065</v>
      </c>
      <c r="S276" s="3">
        <v>25.16674941853006</v>
      </c>
      <c r="U276" s="3">
        <v>24.554093382759277</v>
      </c>
      <c r="V276" s="3">
        <v>-0.61265603577078309</v>
      </c>
      <c r="X276" s="3">
        <v>25.059750346236719</v>
      </c>
      <c r="Y276" s="3">
        <v>-0.10699907229334116</v>
      </c>
      <c r="AA276" s="3">
        <v>1</v>
      </c>
      <c r="AB276" s="3">
        <v>0</v>
      </c>
      <c r="AC276" s="3">
        <v>0</v>
      </c>
    </row>
    <row r="277" spans="2:29" x14ac:dyDescent="0.2">
      <c r="B277" s="3" t="s">
        <v>569</v>
      </c>
      <c r="C277" s="3" t="s">
        <v>570</v>
      </c>
      <c r="D277" s="8">
        <v>42265</v>
      </c>
      <c r="E277" s="3">
        <v>1525</v>
      </c>
      <c r="F277" s="3" t="s">
        <v>25</v>
      </c>
      <c r="G277" s="3" t="s">
        <v>26</v>
      </c>
      <c r="H277" s="3">
        <v>449</v>
      </c>
      <c r="I277" s="3">
        <v>451.15</v>
      </c>
      <c r="J277" s="3">
        <v>453.3</v>
      </c>
      <c r="K277" s="3">
        <v>26.5</v>
      </c>
      <c r="L277" s="3">
        <v>27.7</v>
      </c>
      <c r="M277" s="3">
        <v>28.9</v>
      </c>
      <c r="N277" s="3">
        <v>1</v>
      </c>
      <c r="O277" s="3">
        <v>4.3298448989156383E-3</v>
      </c>
      <c r="P277" s="3">
        <v>2.2757934185956327E-2</v>
      </c>
      <c r="Q277" s="3">
        <v>0.24119098896361829</v>
      </c>
      <c r="R277" s="3">
        <v>451.15552536271275</v>
      </c>
      <c r="S277" s="3">
        <v>27.695071205888098</v>
      </c>
      <c r="U277" s="3">
        <v>27.671706936956525</v>
      </c>
      <c r="V277" s="3">
        <v>-2.3364268931572951E-2</v>
      </c>
      <c r="X277" s="3">
        <v>27.542621057556268</v>
      </c>
      <c r="Y277" s="3">
        <v>-0.15245014833183035</v>
      </c>
      <c r="AA277" s="3">
        <v>1</v>
      </c>
      <c r="AB277" s="3">
        <v>0</v>
      </c>
      <c r="AC277" s="3">
        <v>0</v>
      </c>
    </row>
    <row r="278" spans="2:29" x14ac:dyDescent="0.2">
      <c r="B278" s="3" t="s">
        <v>571</v>
      </c>
      <c r="C278" s="3" t="s">
        <v>572</v>
      </c>
      <c r="D278" s="8">
        <v>42265</v>
      </c>
      <c r="E278" s="3">
        <v>1550</v>
      </c>
      <c r="F278" s="3" t="s">
        <v>25</v>
      </c>
      <c r="G278" s="3" t="s">
        <v>26</v>
      </c>
      <c r="H278" s="3">
        <v>426.7</v>
      </c>
      <c r="I278" s="3">
        <v>428.9</v>
      </c>
      <c r="J278" s="3">
        <v>431.1</v>
      </c>
      <c r="K278" s="3">
        <v>29.2</v>
      </c>
      <c r="L278" s="3">
        <v>30.4</v>
      </c>
      <c r="M278" s="3">
        <v>31.6</v>
      </c>
      <c r="N278" s="3">
        <v>1</v>
      </c>
      <c r="O278" s="3">
        <v>4.3298448989156383E-3</v>
      </c>
      <c r="P278" s="3">
        <v>2.2757934185956327E-2</v>
      </c>
      <c r="Q278" s="3">
        <v>0.23680247465471541</v>
      </c>
      <c r="R278" s="3">
        <v>428.9392606978995</v>
      </c>
      <c r="S278" s="3">
        <v>30.382772689280984</v>
      </c>
      <c r="U278" s="3">
        <v>29.967192183616532</v>
      </c>
      <c r="V278" s="3">
        <v>-0.41558050566445104</v>
      </c>
      <c r="X278" s="3">
        <v>30.230237369465087</v>
      </c>
      <c r="Y278" s="3">
        <v>-0.15253531981589674</v>
      </c>
      <c r="AA278" s="3">
        <v>1</v>
      </c>
      <c r="AB278" s="3">
        <v>0</v>
      </c>
      <c r="AC278" s="3">
        <v>0</v>
      </c>
    </row>
    <row r="279" spans="2:29" x14ac:dyDescent="0.2">
      <c r="B279" s="3" t="s">
        <v>573</v>
      </c>
      <c r="C279" s="3" t="s">
        <v>574</v>
      </c>
      <c r="D279" s="8">
        <v>42265</v>
      </c>
      <c r="E279" s="3">
        <v>1575</v>
      </c>
      <c r="F279" s="3" t="s">
        <v>25</v>
      </c>
      <c r="G279" s="3" t="s">
        <v>26</v>
      </c>
      <c r="H279" s="3">
        <v>404.8</v>
      </c>
      <c r="I279" s="3">
        <v>407</v>
      </c>
      <c r="J279" s="3">
        <v>409.2</v>
      </c>
      <c r="K279" s="3">
        <v>32</v>
      </c>
      <c r="L279" s="3">
        <v>33.25</v>
      </c>
      <c r="M279" s="3">
        <v>34.5</v>
      </c>
      <c r="N279" s="3">
        <v>1</v>
      </c>
      <c r="O279" s="3">
        <v>4.3298448989156383E-3</v>
      </c>
      <c r="P279" s="3">
        <v>2.2757934185956327E-2</v>
      </c>
      <c r="Q279" s="3">
        <v>0.23241396034581252</v>
      </c>
      <c r="R279" s="3">
        <v>406.95122351641544</v>
      </c>
      <c r="S279" s="3">
        <v>33.298701656002891</v>
      </c>
      <c r="U279" s="3">
        <v>33.14380007992213</v>
      </c>
      <c r="V279" s="3">
        <v>-0.15490157608076061</v>
      </c>
      <c r="X279" s="3">
        <v>33.138914900858701</v>
      </c>
      <c r="Y279" s="3">
        <v>-0.15978675514418939</v>
      </c>
      <c r="AA279" s="3">
        <v>1</v>
      </c>
      <c r="AB279" s="3">
        <v>0</v>
      </c>
      <c r="AC279" s="3">
        <v>0</v>
      </c>
    </row>
    <row r="280" spans="2:29" x14ac:dyDescent="0.2">
      <c r="B280" s="3" t="s">
        <v>575</v>
      </c>
      <c r="C280" s="3" t="s">
        <v>576</v>
      </c>
      <c r="D280" s="8">
        <v>42265</v>
      </c>
      <c r="E280" s="3">
        <v>1600</v>
      </c>
      <c r="F280" s="3" t="s">
        <v>25</v>
      </c>
      <c r="G280" s="3" t="s">
        <v>26</v>
      </c>
      <c r="H280" s="3">
        <v>383</v>
      </c>
      <c r="I280" s="3">
        <v>385.35</v>
      </c>
      <c r="J280" s="3">
        <v>387.7</v>
      </c>
      <c r="K280" s="3">
        <v>35.1</v>
      </c>
      <c r="L280" s="3">
        <v>36.4</v>
      </c>
      <c r="M280" s="3">
        <v>37.700000000000003</v>
      </c>
      <c r="N280" s="3">
        <v>1</v>
      </c>
      <c r="O280" s="3">
        <v>4.3298448989156383E-3</v>
      </c>
      <c r="P280" s="3">
        <v>2.2757934185956327E-2</v>
      </c>
      <c r="Q280" s="3">
        <v>0.22811612762215078</v>
      </c>
      <c r="R280" s="3">
        <v>385.24906822396383</v>
      </c>
      <c r="S280" s="3">
        <v>36.500512511757336</v>
      </c>
      <c r="U280" s="3">
        <v>36.363595842285349</v>
      </c>
      <c r="V280" s="3">
        <v>-0.13691666947198655</v>
      </c>
      <c r="X280" s="3">
        <v>36.293100288750544</v>
      </c>
      <c r="Y280" s="3">
        <v>-0.20741222300679141</v>
      </c>
      <c r="AA280" s="3">
        <v>1</v>
      </c>
      <c r="AB280" s="3">
        <v>0</v>
      </c>
      <c r="AC280" s="3">
        <v>0</v>
      </c>
    </row>
    <row r="281" spans="2:29" x14ac:dyDescent="0.2">
      <c r="B281" s="3" t="s">
        <v>577</v>
      </c>
      <c r="C281" s="3" t="s">
        <v>578</v>
      </c>
      <c r="D281" s="8">
        <v>42265</v>
      </c>
      <c r="E281" s="3">
        <v>1625</v>
      </c>
      <c r="F281" s="3" t="s">
        <v>25</v>
      </c>
      <c r="G281" s="3" t="s">
        <v>26</v>
      </c>
      <c r="H281" s="3">
        <v>361.6</v>
      </c>
      <c r="I281" s="3">
        <v>363.9</v>
      </c>
      <c r="J281" s="3">
        <v>366.2</v>
      </c>
      <c r="K281" s="3">
        <v>38.5</v>
      </c>
      <c r="L281" s="3">
        <v>39.9</v>
      </c>
      <c r="M281" s="3">
        <v>41.3</v>
      </c>
      <c r="N281" s="3">
        <v>1</v>
      </c>
      <c r="O281" s="3">
        <v>4.3298448989156383E-3</v>
      </c>
      <c r="P281" s="3">
        <v>2.2757934185956327E-2</v>
      </c>
      <c r="Q281" s="3">
        <v>0.22382652439571821</v>
      </c>
      <c r="R281" s="3">
        <v>363.82227807166032</v>
      </c>
      <c r="S281" s="3">
        <v>39.977688507659423</v>
      </c>
      <c r="U281" s="3">
        <v>39.629370662291308</v>
      </c>
      <c r="V281" s="3">
        <v>-0.34831784536811483</v>
      </c>
      <c r="X281" s="3">
        <v>39.708720407730787</v>
      </c>
      <c r="Y281" s="3">
        <v>-0.26896809992863524</v>
      </c>
      <c r="AA281" s="3">
        <v>1</v>
      </c>
      <c r="AB281" s="3">
        <v>0</v>
      </c>
      <c r="AC281" s="3">
        <v>0</v>
      </c>
    </row>
    <row r="282" spans="2:29" x14ac:dyDescent="0.2">
      <c r="B282" s="3" t="s">
        <v>579</v>
      </c>
      <c r="C282" s="3" t="s">
        <v>580</v>
      </c>
      <c r="D282" s="8">
        <v>42265</v>
      </c>
      <c r="E282" s="3">
        <v>1650</v>
      </c>
      <c r="F282" s="3" t="s">
        <v>25</v>
      </c>
      <c r="G282" s="3" t="s">
        <v>26</v>
      </c>
      <c r="H282" s="3">
        <v>340.5</v>
      </c>
      <c r="I282" s="3">
        <v>342.7</v>
      </c>
      <c r="J282" s="3">
        <v>344.9</v>
      </c>
      <c r="K282" s="3">
        <v>42.2</v>
      </c>
      <c r="L282" s="3">
        <v>43.65</v>
      </c>
      <c r="M282" s="3">
        <v>45.1</v>
      </c>
      <c r="N282" s="3">
        <v>1</v>
      </c>
      <c r="O282" s="3">
        <v>4.3298448989156383E-3</v>
      </c>
      <c r="P282" s="3">
        <v>2.2757934185956327E-2</v>
      </c>
      <c r="Q282" s="3">
        <v>0.21944495772818692</v>
      </c>
      <c r="R282" s="3">
        <v>342.64512065732083</v>
      </c>
      <c r="S282" s="3">
        <v>43.704497241526042</v>
      </c>
      <c r="U282" s="3">
        <v>42.948994642516368</v>
      </c>
      <c r="V282" s="3">
        <v>-0.75550259900967376</v>
      </c>
      <c r="X282" s="3">
        <v>43.399709509738436</v>
      </c>
      <c r="Y282" s="3">
        <v>-0.30478773178760576</v>
      </c>
      <c r="AA282" s="3">
        <v>1</v>
      </c>
      <c r="AB282" s="3">
        <v>0</v>
      </c>
      <c r="AC282" s="3">
        <v>0</v>
      </c>
    </row>
    <row r="283" spans="2:29" x14ac:dyDescent="0.2">
      <c r="B283" s="3" t="s">
        <v>581</v>
      </c>
      <c r="C283" s="3" t="s">
        <v>582</v>
      </c>
      <c r="D283" s="8">
        <v>42265</v>
      </c>
      <c r="E283" s="3">
        <v>1675</v>
      </c>
      <c r="F283" s="3" t="s">
        <v>25</v>
      </c>
      <c r="G283" s="3" t="s">
        <v>26</v>
      </c>
      <c r="H283" s="3">
        <v>320</v>
      </c>
      <c r="I283" s="3">
        <v>322.05</v>
      </c>
      <c r="J283" s="3">
        <v>324.10000000000002</v>
      </c>
      <c r="K283" s="3">
        <v>46.3</v>
      </c>
      <c r="L283" s="3">
        <v>47.9</v>
      </c>
      <c r="M283" s="3">
        <v>49.5</v>
      </c>
      <c r="N283" s="3">
        <v>1</v>
      </c>
      <c r="O283" s="3">
        <v>4.3298448989156383E-3</v>
      </c>
      <c r="P283" s="3">
        <v>2.2757934185956327E-2</v>
      </c>
      <c r="Q283" s="3">
        <v>0.21548153485522117</v>
      </c>
      <c r="R283" s="3">
        <v>321.99367414101152</v>
      </c>
      <c r="S283" s="3">
        <v>47.957016873422901</v>
      </c>
      <c r="U283" s="3">
        <v>47.367820660107043</v>
      </c>
      <c r="V283" s="3">
        <v>-0.58919621331585859</v>
      </c>
      <c r="X283" s="3">
        <v>47.412826421724141</v>
      </c>
      <c r="Y283" s="3">
        <v>-0.54419045169876057</v>
      </c>
      <c r="AA283" s="3">
        <v>1</v>
      </c>
      <c r="AB283" s="3">
        <v>0</v>
      </c>
      <c r="AC283" s="3">
        <v>0</v>
      </c>
    </row>
    <row r="284" spans="2:29" x14ac:dyDescent="0.2">
      <c r="B284" s="3" t="s">
        <v>583</v>
      </c>
      <c r="C284" s="3" t="s">
        <v>584</v>
      </c>
      <c r="D284" s="8">
        <v>42265</v>
      </c>
      <c r="E284" s="3">
        <v>1700</v>
      </c>
      <c r="F284" s="3" t="s">
        <v>25</v>
      </c>
      <c r="G284" s="3" t="s">
        <v>26</v>
      </c>
      <c r="H284" s="3">
        <v>299.3</v>
      </c>
      <c r="I284" s="3">
        <v>301.45</v>
      </c>
      <c r="J284" s="3">
        <v>303.60000000000002</v>
      </c>
      <c r="K284" s="3">
        <v>50.7</v>
      </c>
      <c r="L284" s="3">
        <v>52.5</v>
      </c>
      <c r="M284" s="3">
        <v>54.3</v>
      </c>
      <c r="N284" s="3">
        <v>1</v>
      </c>
      <c r="O284" s="3">
        <v>4.3298448989156383E-3</v>
      </c>
      <c r="P284" s="3">
        <v>2.2757934185956327E-2</v>
      </c>
      <c r="Q284" s="3">
        <v>0.21121649460445724</v>
      </c>
      <c r="R284" s="3">
        <v>301.54133138807356</v>
      </c>
      <c r="S284" s="3">
        <v>52.408640268690874</v>
      </c>
      <c r="U284" s="3">
        <v>51.922238784025751</v>
      </c>
      <c r="V284" s="3">
        <v>-0.48640148466512301</v>
      </c>
      <c r="X284" s="3">
        <v>51.765047643639342</v>
      </c>
      <c r="Y284" s="3">
        <v>-0.64359262505153225</v>
      </c>
      <c r="AA284" s="3">
        <v>1</v>
      </c>
      <c r="AB284" s="3">
        <v>0</v>
      </c>
      <c r="AC284" s="3">
        <v>0</v>
      </c>
    </row>
    <row r="285" spans="2:29" x14ac:dyDescent="0.2">
      <c r="B285" s="3" t="s">
        <v>585</v>
      </c>
      <c r="C285" s="3" t="s">
        <v>586</v>
      </c>
      <c r="D285" s="8">
        <v>42265</v>
      </c>
      <c r="E285" s="3">
        <v>1725</v>
      </c>
      <c r="F285" s="3" t="s">
        <v>25</v>
      </c>
      <c r="G285" s="3" t="s">
        <v>26</v>
      </c>
      <c r="H285" s="3">
        <v>279.60000000000002</v>
      </c>
      <c r="I285" s="3">
        <v>281.60000000000002</v>
      </c>
      <c r="J285" s="3">
        <v>283.60000000000002</v>
      </c>
      <c r="K285" s="3">
        <v>55.6</v>
      </c>
      <c r="L285" s="3">
        <v>57.4</v>
      </c>
      <c r="M285" s="3">
        <v>59.2</v>
      </c>
      <c r="N285" s="3">
        <v>1</v>
      </c>
      <c r="O285" s="3">
        <v>4.3298448989156383E-3</v>
      </c>
      <c r="P285" s="3">
        <v>2.2757934185956327E-2</v>
      </c>
      <c r="Q285" s="3">
        <v>0.20722361081073798</v>
      </c>
      <c r="R285" s="3">
        <v>281.61404118254541</v>
      </c>
      <c r="S285" s="3">
        <v>57.385316211368718</v>
      </c>
      <c r="U285" s="3">
        <v>56.630729155127881</v>
      </c>
      <c r="V285" s="3">
        <v>-0.75458705624083677</v>
      </c>
      <c r="X285" s="3">
        <v>56.476959638058695</v>
      </c>
      <c r="Y285" s="3">
        <v>-0.90835657331002295</v>
      </c>
      <c r="AA285" s="3">
        <v>1</v>
      </c>
      <c r="AB285" s="3">
        <v>0</v>
      </c>
      <c r="AC285" s="3">
        <v>0</v>
      </c>
    </row>
    <row r="286" spans="2:29" x14ac:dyDescent="0.2">
      <c r="B286" s="3" t="s">
        <v>587</v>
      </c>
      <c r="C286" s="3" t="s">
        <v>588</v>
      </c>
      <c r="D286" s="8">
        <v>42265</v>
      </c>
      <c r="E286" s="3">
        <v>1750</v>
      </c>
      <c r="F286" s="3" t="s">
        <v>25</v>
      </c>
      <c r="G286" s="3" t="s">
        <v>26</v>
      </c>
      <c r="H286" s="3">
        <v>260</v>
      </c>
      <c r="I286" s="3">
        <v>262</v>
      </c>
      <c r="J286" s="3">
        <v>264</v>
      </c>
      <c r="K286" s="3">
        <v>60.7</v>
      </c>
      <c r="L286" s="3">
        <v>62.6</v>
      </c>
      <c r="M286" s="3">
        <v>64.5</v>
      </c>
      <c r="N286" s="3">
        <v>1</v>
      </c>
      <c r="O286" s="3">
        <v>4.3298448989156383E-3</v>
      </c>
      <c r="P286" s="3">
        <v>2.2757934185956327E-2</v>
      </c>
      <c r="Q286" s="3">
        <v>0.20299182191542475</v>
      </c>
      <c r="R286" s="3">
        <v>261.96226669890098</v>
      </c>
      <c r="S286" s="3">
        <v>62.637507875930226</v>
      </c>
      <c r="U286" s="3">
        <v>61.517970473643913</v>
      </c>
      <c r="V286" s="3">
        <v>-1.119537402286312</v>
      </c>
      <c r="X286" s="3">
        <v>61.57980552263102</v>
      </c>
      <c r="Y286" s="3">
        <v>-1.0577023532992058</v>
      </c>
      <c r="AA286" s="3">
        <v>1</v>
      </c>
      <c r="AB286" s="3">
        <v>0</v>
      </c>
      <c r="AC286" s="3">
        <v>0</v>
      </c>
    </row>
    <row r="287" spans="2:29" x14ac:dyDescent="0.2">
      <c r="B287" s="3" t="s">
        <v>589</v>
      </c>
      <c r="C287" s="3" t="s">
        <v>590</v>
      </c>
      <c r="D287" s="8">
        <v>42265</v>
      </c>
      <c r="E287" s="3">
        <v>1775</v>
      </c>
      <c r="F287" s="3" t="s">
        <v>25</v>
      </c>
      <c r="G287" s="3" t="s">
        <v>26</v>
      </c>
      <c r="H287" s="3">
        <v>240.7</v>
      </c>
      <c r="I287" s="3">
        <v>242.5</v>
      </c>
      <c r="J287" s="3">
        <v>244.3</v>
      </c>
      <c r="K287" s="3">
        <v>66.400000000000006</v>
      </c>
      <c r="L287" s="3">
        <v>68.25</v>
      </c>
      <c r="M287" s="3">
        <v>70.099999999999994</v>
      </c>
      <c r="N287" s="3">
        <v>1</v>
      </c>
      <c r="O287" s="3">
        <v>4.3298448989156383E-3</v>
      </c>
      <c r="P287" s="3">
        <v>2.2757934185956327E-2</v>
      </c>
      <c r="Q287" s="3">
        <v>0.19849830359500853</v>
      </c>
      <c r="R287" s="3">
        <v>242.58539961665201</v>
      </c>
      <c r="S287" s="3">
        <v>68.1646069418872</v>
      </c>
      <c r="U287" s="3">
        <v>67.717716826972747</v>
      </c>
      <c r="V287" s="3">
        <v>-0.44689011491445285</v>
      </c>
      <c r="X287" s="3">
        <v>67.106256727053093</v>
      </c>
      <c r="Y287" s="3">
        <v>-1.0583502148341069</v>
      </c>
      <c r="AA287" s="3">
        <v>1</v>
      </c>
      <c r="AB287" s="3">
        <v>0</v>
      </c>
      <c r="AC287" s="3">
        <v>0</v>
      </c>
    </row>
    <row r="288" spans="2:29" x14ac:dyDescent="0.2">
      <c r="B288" s="3" t="s">
        <v>591</v>
      </c>
      <c r="C288" s="3" t="s">
        <v>592</v>
      </c>
      <c r="D288" s="8">
        <v>42265</v>
      </c>
      <c r="E288" s="3">
        <v>1800</v>
      </c>
      <c r="F288" s="3" t="s">
        <v>25</v>
      </c>
      <c r="G288" s="3" t="s">
        <v>26</v>
      </c>
      <c r="H288" s="3">
        <v>221.9</v>
      </c>
      <c r="I288" s="3">
        <v>223.6</v>
      </c>
      <c r="J288" s="3">
        <v>225.3</v>
      </c>
      <c r="K288" s="3">
        <v>72.400000000000006</v>
      </c>
      <c r="L288" s="3">
        <v>74.3</v>
      </c>
      <c r="M288" s="3">
        <v>76.2</v>
      </c>
      <c r="N288" s="3">
        <v>1</v>
      </c>
      <c r="O288" s="3">
        <v>4.3298448989156383E-3</v>
      </c>
      <c r="P288" s="3">
        <v>2.2757934185956327E-2</v>
      </c>
      <c r="Q288" s="3">
        <v>0.19407322659020376</v>
      </c>
      <c r="R288" s="3">
        <v>223.70840570517908</v>
      </c>
      <c r="S288" s="3">
        <v>74.191579178619918</v>
      </c>
      <c r="U288" s="3">
        <v>73.074331869465396</v>
      </c>
      <c r="V288" s="3">
        <v>-1.1172473091545214</v>
      </c>
      <c r="X288" s="3">
        <v>73.110046932838102</v>
      </c>
      <c r="Y288" s="3">
        <v>-1.0815322457818155</v>
      </c>
      <c r="AA288" s="3">
        <v>1</v>
      </c>
      <c r="AB288" s="3">
        <v>0</v>
      </c>
      <c r="AC288" s="3">
        <v>0</v>
      </c>
    </row>
    <row r="289" spans="2:29" x14ac:dyDescent="0.2">
      <c r="B289" s="3" t="s">
        <v>593</v>
      </c>
      <c r="C289" s="3" t="s">
        <v>594</v>
      </c>
      <c r="D289" s="8">
        <v>42265</v>
      </c>
      <c r="E289" s="3">
        <v>1825</v>
      </c>
      <c r="F289" s="3" t="s">
        <v>25</v>
      </c>
      <c r="G289" s="3" t="s">
        <v>26</v>
      </c>
      <c r="H289" s="3">
        <v>203.8</v>
      </c>
      <c r="I289" s="3">
        <v>205.3</v>
      </c>
      <c r="J289" s="3">
        <v>206.8</v>
      </c>
      <c r="K289" s="3">
        <v>79</v>
      </c>
      <c r="L289" s="3">
        <v>80.400000000000006</v>
      </c>
      <c r="M289" s="3">
        <v>81.8</v>
      </c>
      <c r="N289" s="3">
        <v>1</v>
      </c>
      <c r="O289" s="3">
        <v>4.3298448989156383E-3</v>
      </c>
      <c r="P289" s="3">
        <v>2.2757934185956327E-2</v>
      </c>
      <c r="Q289" s="3">
        <v>0.18938735056225817</v>
      </c>
      <c r="R289" s="3">
        <v>205.15641950142572</v>
      </c>
      <c r="S289" s="3">
        <v>80.543559123072782</v>
      </c>
      <c r="U289" s="3">
        <v>79.838151685025451</v>
      </c>
      <c r="V289" s="3">
        <v>-0.70540743804733097</v>
      </c>
      <c r="X289" s="3">
        <v>79.626554059293511</v>
      </c>
      <c r="Y289" s="3">
        <v>-0.91700506377927127</v>
      </c>
      <c r="AA289" s="3">
        <v>1</v>
      </c>
      <c r="AB289" s="3">
        <v>0</v>
      </c>
      <c r="AC289" s="3">
        <v>0</v>
      </c>
    </row>
    <row r="290" spans="2:29" x14ac:dyDescent="0.2">
      <c r="B290" s="3" t="s">
        <v>595</v>
      </c>
      <c r="C290" s="3" t="s">
        <v>596</v>
      </c>
      <c r="D290" s="8">
        <v>42265</v>
      </c>
      <c r="E290" s="3">
        <v>1850</v>
      </c>
      <c r="F290" s="3" t="s">
        <v>25</v>
      </c>
      <c r="G290" s="3" t="s">
        <v>26</v>
      </c>
      <c r="H290" s="3">
        <v>185.9</v>
      </c>
      <c r="I290" s="3">
        <v>187.45</v>
      </c>
      <c r="J290" s="3">
        <v>189</v>
      </c>
      <c r="K290" s="3">
        <v>86.2</v>
      </c>
      <c r="L290" s="3">
        <v>88.05</v>
      </c>
      <c r="M290" s="3">
        <v>89.9</v>
      </c>
      <c r="N290" s="3">
        <v>1</v>
      </c>
      <c r="O290" s="3">
        <v>4.3298448989156383E-3</v>
      </c>
      <c r="P290" s="3">
        <v>2.2757934185956327E-2</v>
      </c>
      <c r="Q290" s="3">
        <v>0.18540209715014286</v>
      </c>
      <c r="R290" s="3">
        <v>187.60403522593583</v>
      </c>
      <c r="S290" s="3">
        <v>87.895140995788552</v>
      </c>
      <c r="U290" s="3">
        <v>86.949403553015344</v>
      </c>
      <c r="V290" s="3">
        <v>-0.9457374427732077</v>
      </c>
      <c r="X290" s="3">
        <v>86.690096635889049</v>
      </c>
      <c r="Y290" s="3">
        <v>-1.2050443598995031</v>
      </c>
      <c r="AA290" s="3">
        <v>1</v>
      </c>
      <c r="AB290" s="3">
        <v>0</v>
      </c>
      <c r="AC290" s="3">
        <v>0</v>
      </c>
    </row>
    <row r="291" spans="2:29" x14ac:dyDescent="0.2">
      <c r="B291" s="3" t="s">
        <v>597</v>
      </c>
      <c r="C291" s="3" t="s">
        <v>598</v>
      </c>
      <c r="D291" s="8">
        <v>42265</v>
      </c>
      <c r="E291" s="3">
        <v>1875</v>
      </c>
      <c r="F291" s="3" t="s">
        <v>25</v>
      </c>
      <c r="G291" s="3" t="s">
        <v>26</v>
      </c>
      <c r="H291" s="3">
        <v>168.9</v>
      </c>
      <c r="I291" s="3">
        <v>170.35</v>
      </c>
      <c r="J291" s="3">
        <v>171.8</v>
      </c>
      <c r="K291" s="3">
        <v>93.9</v>
      </c>
      <c r="L291" s="3">
        <v>95.15</v>
      </c>
      <c r="M291" s="3">
        <v>96.4</v>
      </c>
      <c r="N291" s="3">
        <v>1</v>
      </c>
      <c r="O291" s="3">
        <v>4.3298448989156383E-3</v>
      </c>
      <c r="P291" s="3">
        <v>2.2757934185956327E-2</v>
      </c>
      <c r="Q291" s="3">
        <v>0.18070837855699995</v>
      </c>
      <c r="R291" s="3">
        <v>170.15242595327777</v>
      </c>
      <c r="S291" s="3">
        <v>95.347497871336714</v>
      </c>
      <c r="U291" s="3">
        <v>94.4583201941401</v>
      </c>
      <c r="V291" s="3">
        <v>-0.88917767719661356</v>
      </c>
      <c r="X291" s="3">
        <v>94.378769386810717</v>
      </c>
      <c r="Y291" s="3">
        <v>-0.96872848452599669</v>
      </c>
      <c r="AA291" s="3">
        <v>1</v>
      </c>
      <c r="AB291" s="3">
        <v>0</v>
      </c>
      <c r="AC291" s="3">
        <v>0</v>
      </c>
    </row>
    <row r="292" spans="2:29" x14ac:dyDescent="0.2">
      <c r="B292" s="3" t="s">
        <v>599</v>
      </c>
      <c r="C292" s="3" t="s">
        <v>600</v>
      </c>
      <c r="D292" s="8">
        <v>42265</v>
      </c>
      <c r="E292" s="3">
        <v>1900</v>
      </c>
      <c r="F292" s="3" t="s">
        <v>25</v>
      </c>
      <c r="G292" s="3" t="s">
        <v>26</v>
      </c>
      <c r="H292" s="3">
        <v>152.1</v>
      </c>
      <c r="I292" s="3">
        <v>153.65</v>
      </c>
      <c r="J292" s="3">
        <v>155.19999999999999</v>
      </c>
      <c r="K292" s="3">
        <v>102.2</v>
      </c>
      <c r="L292" s="3">
        <v>103.5</v>
      </c>
      <c r="M292" s="3">
        <v>104.8</v>
      </c>
      <c r="N292" s="3">
        <v>1</v>
      </c>
      <c r="O292" s="3">
        <v>4.3298448989156383E-3</v>
      </c>
      <c r="P292" s="3">
        <v>2.2757934185956327E-2</v>
      </c>
      <c r="Q292" s="3">
        <v>0.176313839341741</v>
      </c>
      <c r="R292" s="3">
        <v>153.52547928534648</v>
      </c>
      <c r="S292" s="3">
        <v>103.62451735161142</v>
      </c>
      <c r="U292" s="3">
        <v>103.51464891426841</v>
      </c>
      <c r="V292" s="3">
        <v>-0.10986843734301033</v>
      </c>
      <c r="X292" s="3">
        <v>102.72632486613068</v>
      </c>
      <c r="Y292" s="3">
        <v>-0.8981924854807346</v>
      </c>
      <c r="AA292" s="3">
        <v>1</v>
      </c>
      <c r="AB292" s="3">
        <v>0</v>
      </c>
      <c r="AC292" s="3">
        <v>0</v>
      </c>
    </row>
    <row r="293" spans="2:29" x14ac:dyDescent="0.2">
      <c r="B293" s="3" t="s">
        <v>601</v>
      </c>
      <c r="C293" s="3" t="s">
        <v>602</v>
      </c>
      <c r="D293" s="8">
        <v>42265</v>
      </c>
      <c r="E293" s="3">
        <v>1925</v>
      </c>
      <c r="F293" s="3" t="s">
        <v>25</v>
      </c>
      <c r="G293" s="3" t="s">
        <v>26</v>
      </c>
      <c r="H293" s="3">
        <v>136.30000000000001</v>
      </c>
      <c r="I293" s="3">
        <v>137.80000000000001</v>
      </c>
      <c r="J293" s="3">
        <v>139.30000000000001</v>
      </c>
      <c r="K293" s="3">
        <v>111.2</v>
      </c>
      <c r="L293" s="3">
        <v>112.5</v>
      </c>
      <c r="M293" s="3">
        <v>113.8</v>
      </c>
      <c r="N293" s="3">
        <v>1</v>
      </c>
      <c r="O293" s="3">
        <v>4.3298448989156383E-3</v>
      </c>
      <c r="P293" s="3">
        <v>2.2757934185956327E-2</v>
      </c>
      <c r="Q293" s="3">
        <v>0.17203373603728087</v>
      </c>
      <c r="R293" s="3">
        <v>137.64849294393787</v>
      </c>
      <c r="S293" s="3">
        <v>112.65149715840857</v>
      </c>
      <c r="U293" s="3">
        <v>111.98452258032438</v>
      </c>
      <c r="V293" s="3">
        <v>-0.66697457808419358</v>
      </c>
      <c r="X293" s="3">
        <v>111.78669393095635</v>
      </c>
      <c r="Y293" s="3">
        <v>-0.86480322745222793</v>
      </c>
      <c r="AA293" s="3">
        <v>1</v>
      </c>
      <c r="AB293" s="3">
        <v>0</v>
      </c>
      <c r="AC293" s="3">
        <v>0</v>
      </c>
    </row>
    <row r="294" spans="2:29" x14ac:dyDescent="0.2">
      <c r="B294" s="3" t="s">
        <v>603</v>
      </c>
      <c r="C294" s="3" t="s">
        <v>604</v>
      </c>
      <c r="D294" s="8">
        <v>42265</v>
      </c>
      <c r="E294" s="3">
        <v>1950</v>
      </c>
      <c r="F294" s="3" t="s">
        <v>25</v>
      </c>
      <c r="G294" s="3" t="s">
        <v>26</v>
      </c>
      <c r="H294" s="3">
        <v>121.2</v>
      </c>
      <c r="I294" s="3">
        <v>122.6</v>
      </c>
      <c r="J294" s="3">
        <v>124</v>
      </c>
      <c r="K294" s="3">
        <v>120.9</v>
      </c>
      <c r="L294" s="3">
        <v>122.2</v>
      </c>
      <c r="M294" s="3">
        <v>123.5</v>
      </c>
      <c r="N294" s="3">
        <v>1</v>
      </c>
      <c r="O294" s="3">
        <v>4.3298448989156383E-3</v>
      </c>
      <c r="P294" s="3">
        <v>2.2757934185956327E-2</v>
      </c>
      <c r="Q294" s="3">
        <v>0.16769736389598805</v>
      </c>
      <c r="R294" s="3">
        <v>122.4465153678567</v>
      </c>
      <c r="S294" s="3">
        <v>122.35348573053341</v>
      </c>
      <c r="U294" s="3">
        <v>122.09327013576558</v>
      </c>
      <c r="V294" s="3">
        <v>-0.26021559476782841</v>
      </c>
      <c r="X294" s="3">
        <v>121.60101470598485</v>
      </c>
      <c r="Y294" s="3">
        <v>-0.75247102454855508</v>
      </c>
      <c r="AA294" s="3">
        <v>1</v>
      </c>
      <c r="AB294" s="3">
        <v>0</v>
      </c>
      <c r="AC294" s="3">
        <v>0</v>
      </c>
    </row>
    <row r="295" spans="2:29" x14ac:dyDescent="0.2">
      <c r="B295" s="3" t="s">
        <v>605</v>
      </c>
      <c r="C295" s="3" t="s">
        <v>606</v>
      </c>
      <c r="D295" s="8">
        <v>42265</v>
      </c>
      <c r="E295" s="3">
        <v>1975</v>
      </c>
      <c r="F295" s="3" t="s">
        <v>25</v>
      </c>
      <c r="G295" s="3" t="s">
        <v>26</v>
      </c>
      <c r="H295" s="3">
        <v>106.9</v>
      </c>
      <c r="I295" s="3">
        <v>108.25</v>
      </c>
      <c r="J295" s="3">
        <v>109.6</v>
      </c>
      <c r="K295" s="3">
        <v>131.4</v>
      </c>
      <c r="L295" s="3">
        <v>132.75</v>
      </c>
      <c r="M295" s="3">
        <v>134.1</v>
      </c>
      <c r="N295" s="3">
        <v>1</v>
      </c>
      <c r="O295" s="3">
        <v>4.3298448989156383E-3</v>
      </c>
      <c r="P295" s="3">
        <v>2.2757934185956327E-2</v>
      </c>
      <c r="Q295" s="3">
        <v>0.1634814151837149</v>
      </c>
      <c r="R295" s="3">
        <v>108.09450523456644</v>
      </c>
      <c r="S295" s="3">
        <v>132.90544174544937</v>
      </c>
      <c r="U295" s="3">
        <v>132.8137978985115</v>
      </c>
      <c r="V295" s="3">
        <v>-9.1643846937870421E-2</v>
      </c>
      <c r="X295" s="3">
        <v>132.21270979334042</v>
      </c>
      <c r="Y295" s="3">
        <v>-0.69273195210894301</v>
      </c>
      <c r="AA295" s="3">
        <v>1</v>
      </c>
      <c r="AB295" s="3">
        <v>0</v>
      </c>
      <c r="AC295" s="3">
        <v>0</v>
      </c>
    </row>
    <row r="296" spans="2:29" x14ac:dyDescent="0.2">
      <c r="B296" s="3" t="s">
        <v>607</v>
      </c>
      <c r="C296" s="3" t="s">
        <v>608</v>
      </c>
      <c r="D296" s="8">
        <v>42265</v>
      </c>
      <c r="E296" s="3">
        <v>2000</v>
      </c>
      <c r="F296" s="3" t="s">
        <v>25</v>
      </c>
      <c r="G296" s="3" t="s">
        <v>26</v>
      </c>
      <c r="H296" s="3">
        <v>93.8</v>
      </c>
      <c r="I296" s="3">
        <v>94.9</v>
      </c>
      <c r="J296" s="3">
        <v>96</v>
      </c>
      <c r="K296" s="3">
        <v>142.69999999999999</v>
      </c>
      <c r="L296" s="3">
        <v>144.1</v>
      </c>
      <c r="M296" s="3">
        <v>145.5</v>
      </c>
      <c r="N296" s="3">
        <v>1</v>
      </c>
      <c r="O296" s="3">
        <v>4.3298448989156383E-3</v>
      </c>
      <c r="P296" s="3">
        <v>2.2757934185956327E-2</v>
      </c>
      <c r="Q296" s="3">
        <v>0.15939161319218922</v>
      </c>
      <c r="R296" s="3">
        <v>94.642540834587066</v>
      </c>
      <c r="S296" s="3">
        <v>144.35744349367565</v>
      </c>
      <c r="U296" s="3">
        <v>144.21625377614382</v>
      </c>
      <c r="V296" s="3">
        <v>-0.14118971753183018</v>
      </c>
      <c r="X296" s="3">
        <v>143.67583839467716</v>
      </c>
      <c r="Y296" s="3">
        <v>-0.68160509899848876</v>
      </c>
      <c r="AA296" s="3">
        <v>1</v>
      </c>
      <c r="AB296" s="3">
        <v>0</v>
      </c>
      <c r="AC296" s="3">
        <v>0</v>
      </c>
    </row>
    <row r="297" spans="2:29" x14ac:dyDescent="0.2">
      <c r="B297" s="3" t="s">
        <v>609</v>
      </c>
      <c r="C297" s="3" t="s">
        <v>610</v>
      </c>
      <c r="D297" s="8">
        <v>42265</v>
      </c>
      <c r="E297" s="3">
        <v>2025</v>
      </c>
      <c r="F297" s="3" t="s">
        <v>25</v>
      </c>
      <c r="G297" s="3" t="s">
        <v>26</v>
      </c>
      <c r="H297" s="3">
        <v>80.900000000000006</v>
      </c>
      <c r="I297" s="3">
        <v>82.1</v>
      </c>
      <c r="J297" s="3">
        <v>83.3</v>
      </c>
      <c r="K297" s="3">
        <v>155</v>
      </c>
      <c r="L297" s="3">
        <v>156.55000000000001</v>
      </c>
      <c r="M297" s="3">
        <v>158.1</v>
      </c>
      <c r="N297" s="3">
        <v>1</v>
      </c>
      <c r="O297" s="3">
        <v>4.3298448989156383E-3</v>
      </c>
      <c r="P297" s="3">
        <v>2.2757934185956327E-2</v>
      </c>
      <c r="Q297" s="3">
        <v>0.1552670649104885</v>
      </c>
      <c r="R297" s="3">
        <v>82.015475146509402</v>
      </c>
      <c r="S297" s="3">
        <v>156.63434395380386</v>
      </c>
      <c r="U297" s="3">
        <v>156.37596724715149</v>
      </c>
      <c r="V297" s="3">
        <v>-0.25837670665237056</v>
      </c>
      <c r="X297" s="3">
        <v>156.06490732989619</v>
      </c>
      <c r="Y297" s="3">
        <v>-0.56943662390767713</v>
      </c>
      <c r="AA297" s="3">
        <v>1</v>
      </c>
      <c r="AB297" s="3">
        <v>0</v>
      </c>
      <c r="AC297" s="3">
        <v>0</v>
      </c>
    </row>
    <row r="298" spans="2:29" x14ac:dyDescent="0.2">
      <c r="B298" s="3" t="s">
        <v>611</v>
      </c>
      <c r="C298" s="3" t="s">
        <v>612</v>
      </c>
      <c r="D298" s="8">
        <v>42265</v>
      </c>
      <c r="E298" s="3">
        <v>2050</v>
      </c>
      <c r="F298" s="3" t="s">
        <v>25</v>
      </c>
      <c r="G298" s="3" t="s">
        <v>26</v>
      </c>
      <c r="H298" s="3">
        <v>69.3</v>
      </c>
      <c r="I298" s="3">
        <v>70.45</v>
      </c>
      <c r="J298" s="3">
        <v>71.599999999999994</v>
      </c>
      <c r="K298" s="3">
        <v>168.3</v>
      </c>
      <c r="L298" s="3">
        <v>169.85</v>
      </c>
      <c r="M298" s="3">
        <v>171.4</v>
      </c>
      <c r="N298" s="3">
        <v>1</v>
      </c>
      <c r="O298" s="3">
        <v>4.3298448989156383E-3</v>
      </c>
      <c r="P298" s="3">
        <v>2.2757934185956327E-2</v>
      </c>
      <c r="Q298" s="3">
        <v>0.15129947513256931</v>
      </c>
      <c r="R298" s="3">
        <v>70.388580459051468</v>
      </c>
      <c r="S298" s="3">
        <v>169.91141541455227</v>
      </c>
      <c r="U298" s="3">
        <v>169.37141509503749</v>
      </c>
      <c r="V298" s="3">
        <v>-0.54000031951477467</v>
      </c>
      <c r="X298" s="3">
        <v>169.43106477394497</v>
      </c>
      <c r="Y298" s="3">
        <v>-0.48035064060729837</v>
      </c>
      <c r="AA298" s="3">
        <v>1</v>
      </c>
      <c r="AB298" s="3">
        <v>0</v>
      </c>
      <c r="AC298" s="3">
        <v>0</v>
      </c>
    </row>
    <row r="299" spans="2:29" x14ac:dyDescent="0.2">
      <c r="B299" s="3" t="s">
        <v>613</v>
      </c>
      <c r="C299" s="3" t="s">
        <v>614</v>
      </c>
      <c r="D299" s="8">
        <v>42265</v>
      </c>
      <c r="E299" s="3">
        <v>2075</v>
      </c>
      <c r="F299" s="3" t="s">
        <v>25</v>
      </c>
      <c r="G299" s="3" t="s">
        <v>26</v>
      </c>
      <c r="H299" s="3">
        <v>58.8</v>
      </c>
      <c r="I299" s="3">
        <v>59.85</v>
      </c>
      <c r="J299" s="3">
        <v>60.9</v>
      </c>
      <c r="K299" s="3">
        <v>182.6</v>
      </c>
      <c r="L299" s="3">
        <v>184.2</v>
      </c>
      <c r="M299" s="3">
        <v>185.8</v>
      </c>
      <c r="N299" s="3">
        <v>1</v>
      </c>
      <c r="O299" s="3">
        <v>4.3298448989156383E-3</v>
      </c>
      <c r="P299" s="3">
        <v>2.2757934185956327E-2</v>
      </c>
      <c r="Q299" s="3">
        <v>0.14752537506026503</v>
      </c>
      <c r="R299" s="3">
        <v>59.811599394987752</v>
      </c>
      <c r="S299" s="3">
        <v>184.23840049869409</v>
      </c>
      <c r="U299" s="3">
        <v>184.08541411947331</v>
      </c>
      <c r="V299" s="3">
        <v>-0.15298637922077774</v>
      </c>
      <c r="X299" s="3">
        <v>183.79733858877819</v>
      </c>
      <c r="Y299" s="3">
        <v>-0.44106190991590211</v>
      </c>
      <c r="AA299" s="3">
        <v>1</v>
      </c>
      <c r="AB299" s="3">
        <v>0</v>
      </c>
      <c r="AC299" s="3">
        <v>0</v>
      </c>
    </row>
    <row r="300" spans="2:29" x14ac:dyDescent="0.2">
      <c r="B300" s="3" t="s">
        <v>615</v>
      </c>
      <c r="C300" s="3" t="s">
        <v>616</v>
      </c>
      <c r="D300" s="8">
        <v>42265</v>
      </c>
      <c r="E300" s="3">
        <v>2100</v>
      </c>
      <c r="F300" s="3" t="s">
        <v>25</v>
      </c>
      <c r="G300" s="3" t="s">
        <v>26</v>
      </c>
      <c r="H300" s="3">
        <v>49.3</v>
      </c>
      <c r="I300" s="3">
        <v>50.3</v>
      </c>
      <c r="J300" s="3">
        <v>51.3</v>
      </c>
      <c r="K300" s="3">
        <v>197.9</v>
      </c>
      <c r="L300" s="3">
        <v>199.35</v>
      </c>
      <c r="M300" s="3">
        <v>200.8</v>
      </c>
      <c r="N300" s="3">
        <v>1</v>
      </c>
      <c r="O300" s="3">
        <v>4.3298448989156383E-3</v>
      </c>
      <c r="P300" s="3">
        <v>2.2757934185956327E-2</v>
      </c>
      <c r="Q300" s="3">
        <v>0.14373857193215422</v>
      </c>
      <c r="R300" s="3">
        <v>50.159531697608827</v>
      </c>
      <c r="S300" s="3">
        <v>199.49029894952128</v>
      </c>
      <c r="U300" s="3">
        <v>198.91084936193448</v>
      </c>
      <c r="V300" s="3">
        <v>-0.57944958758679377</v>
      </c>
      <c r="X300" s="3">
        <v>199.18459055270989</v>
      </c>
      <c r="Y300" s="3">
        <v>-0.30570839681138295</v>
      </c>
      <c r="AA300" s="3">
        <v>1</v>
      </c>
      <c r="AB300" s="3">
        <v>0</v>
      </c>
      <c r="AC300" s="3">
        <v>0</v>
      </c>
    </row>
    <row r="301" spans="2:29" x14ac:dyDescent="0.2">
      <c r="B301" s="3" t="s">
        <v>617</v>
      </c>
      <c r="C301" s="3" t="s">
        <v>618</v>
      </c>
      <c r="D301" s="8">
        <v>42265</v>
      </c>
      <c r="E301" s="3">
        <v>2125</v>
      </c>
      <c r="F301" s="3" t="s">
        <v>25</v>
      </c>
      <c r="G301" s="3" t="s">
        <v>26</v>
      </c>
      <c r="H301" s="3">
        <v>40.799999999999997</v>
      </c>
      <c r="I301" s="3">
        <v>41.7</v>
      </c>
      <c r="J301" s="13">
        <v>42.6</v>
      </c>
      <c r="K301" s="3">
        <v>214.2</v>
      </c>
      <c r="L301" s="3">
        <v>215.7</v>
      </c>
      <c r="M301" s="3">
        <v>217.2</v>
      </c>
      <c r="N301" s="3">
        <v>1</v>
      </c>
      <c r="O301" s="3">
        <v>4.3298448989156383E-3</v>
      </c>
      <c r="P301" s="3">
        <v>2.2757934185956327E-2</v>
      </c>
      <c r="Q301" s="3">
        <v>0.14015725311645513</v>
      </c>
      <c r="R301" s="3">
        <v>41.582604277683231</v>
      </c>
      <c r="S301" s="3">
        <v>215.81733767780156</v>
      </c>
      <c r="U301" s="3">
        <v>215.44060327986639</v>
      </c>
      <c r="V301" s="3">
        <v>-0.3767343979351665</v>
      </c>
      <c r="X301" s="3">
        <v>215.60418721750312</v>
      </c>
      <c r="Y301" s="3">
        <v>-0.21315046029843643</v>
      </c>
      <c r="AA301" s="3">
        <v>1</v>
      </c>
      <c r="AB301" s="3">
        <v>0</v>
      </c>
      <c r="AC301" s="3">
        <v>0</v>
      </c>
    </row>
    <row r="302" spans="2:29" x14ac:dyDescent="0.2">
      <c r="B302" s="3" t="s">
        <v>619</v>
      </c>
      <c r="C302" s="3" t="s">
        <v>620</v>
      </c>
      <c r="D302" s="8">
        <v>42265</v>
      </c>
      <c r="E302" s="3">
        <v>2150</v>
      </c>
      <c r="F302" s="3" t="s">
        <v>25</v>
      </c>
      <c r="G302" s="3" t="s">
        <v>26</v>
      </c>
      <c r="H302" s="3">
        <v>33.299999999999997</v>
      </c>
      <c r="I302" s="3">
        <v>34.15</v>
      </c>
      <c r="J302" s="3">
        <v>35</v>
      </c>
      <c r="K302" s="3">
        <v>231.6</v>
      </c>
      <c r="L302" s="3">
        <v>233.3</v>
      </c>
      <c r="M302" s="3">
        <v>235</v>
      </c>
      <c r="N302" s="3">
        <v>1</v>
      </c>
      <c r="O302" s="3">
        <v>4.3298448989156383E-3</v>
      </c>
      <c r="P302" s="3">
        <v>2.2757934185956327E-2</v>
      </c>
      <c r="Q302" s="3">
        <v>0.13694657748064748</v>
      </c>
      <c r="R302" s="3">
        <v>34.155389620396818</v>
      </c>
      <c r="S302" s="3">
        <v>233.29408916872103</v>
      </c>
      <c r="U302" s="3">
        <v>232.90094439912613</v>
      </c>
      <c r="V302" s="3">
        <v>-0.39314476959489753</v>
      </c>
      <c r="X302" s="3">
        <v>233.03873687544683</v>
      </c>
      <c r="Y302" s="3">
        <v>-0.25535229327419984</v>
      </c>
      <c r="AA302" s="3">
        <v>1</v>
      </c>
      <c r="AB302" s="3">
        <v>0</v>
      </c>
      <c r="AC302" s="3">
        <v>0</v>
      </c>
    </row>
    <row r="303" spans="2:29" x14ac:dyDescent="0.2">
      <c r="B303" s="3" t="s">
        <v>621</v>
      </c>
      <c r="C303" s="3" t="s">
        <v>622</v>
      </c>
      <c r="D303" s="8">
        <v>42265</v>
      </c>
      <c r="E303" s="3">
        <v>2175</v>
      </c>
      <c r="F303" s="3" t="s">
        <v>25</v>
      </c>
      <c r="G303" s="3" t="s">
        <v>26</v>
      </c>
      <c r="H303" s="3">
        <v>26.6</v>
      </c>
      <c r="I303" s="3">
        <v>27.55</v>
      </c>
      <c r="J303" s="3">
        <v>28.5</v>
      </c>
      <c r="K303" s="3">
        <v>250</v>
      </c>
      <c r="L303" s="3">
        <v>251.7</v>
      </c>
      <c r="M303" s="3">
        <v>253.4</v>
      </c>
      <c r="N303" s="3">
        <v>1</v>
      </c>
      <c r="O303" s="3">
        <v>4.3298448989156383E-3</v>
      </c>
      <c r="P303" s="3">
        <v>2.2757934185956327E-2</v>
      </c>
      <c r="Q303" s="3">
        <v>0.13370323188153424</v>
      </c>
      <c r="R303" s="3">
        <v>27.603652203339152</v>
      </c>
      <c r="S303" s="3">
        <v>251.64631789986925</v>
      </c>
      <c r="U303" s="3">
        <v>251.30397314191964</v>
      </c>
      <c r="V303" s="3">
        <v>-0.34234475794960417</v>
      </c>
      <c r="X303" s="3">
        <v>251.49807830781464</v>
      </c>
      <c r="Y303" s="3">
        <v>-0.14823959205460824</v>
      </c>
      <c r="AA303" s="3">
        <v>1</v>
      </c>
      <c r="AB303" s="3">
        <v>0</v>
      </c>
      <c r="AC303" s="3">
        <v>0</v>
      </c>
    </row>
    <row r="304" spans="2:29" x14ac:dyDescent="0.2">
      <c r="B304" s="3" t="s">
        <v>623</v>
      </c>
      <c r="C304" s="3" t="s">
        <v>624</v>
      </c>
      <c r="D304" s="8">
        <v>42265</v>
      </c>
      <c r="E304" s="3">
        <v>2200</v>
      </c>
      <c r="F304" s="3" t="s">
        <v>25</v>
      </c>
      <c r="G304" s="3" t="s">
        <v>26</v>
      </c>
      <c r="H304" s="3">
        <v>21.1</v>
      </c>
      <c r="I304" s="3">
        <v>21.95</v>
      </c>
      <c r="J304" s="3">
        <v>22.8</v>
      </c>
      <c r="K304" s="3">
        <v>269.39999999999998</v>
      </c>
      <c r="L304" s="3">
        <v>271.10000000000002</v>
      </c>
      <c r="M304" s="3">
        <v>272.8</v>
      </c>
      <c r="N304" s="3">
        <v>1</v>
      </c>
      <c r="O304" s="3">
        <v>4.3298448989156383E-3</v>
      </c>
      <c r="P304" s="3">
        <v>2.2757934185956327E-2</v>
      </c>
      <c r="Q304" s="3">
        <v>0.13072984238758123</v>
      </c>
      <c r="R304" s="3">
        <v>22.051343963411512</v>
      </c>
      <c r="S304" s="3">
        <v>270.99797580814788</v>
      </c>
      <c r="U304" s="3">
        <v>270.63846038211551</v>
      </c>
      <c r="V304" s="3">
        <v>-0.35951542603237385</v>
      </c>
      <c r="X304" s="3">
        <v>270.89328558475393</v>
      </c>
      <c r="Y304" s="3">
        <v>-0.10469022339395906</v>
      </c>
      <c r="AA304" s="3">
        <v>1</v>
      </c>
      <c r="AB304" s="3">
        <v>0</v>
      </c>
      <c r="AC304" s="3">
        <v>0</v>
      </c>
    </row>
    <row r="305" spans="2:29" x14ac:dyDescent="0.2">
      <c r="B305" s="3" t="s">
        <v>625</v>
      </c>
      <c r="C305" s="3" t="s">
        <v>626</v>
      </c>
      <c r="D305" s="8">
        <v>42265</v>
      </c>
      <c r="E305" s="3">
        <v>2225</v>
      </c>
      <c r="F305" s="3" t="s">
        <v>25</v>
      </c>
      <c r="G305" s="3" t="s">
        <v>26</v>
      </c>
      <c r="H305" s="3">
        <v>16.399999999999999</v>
      </c>
      <c r="I305" s="3">
        <v>17.2</v>
      </c>
      <c r="J305" s="3">
        <v>18</v>
      </c>
      <c r="K305" s="3">
        <v>289.5</v>
      </c>
      <c r="L305" s="3">
        <v>291.25</v>
      </c>
      <c r="M305" s="3">
        <v>293</v>
      </c>
      <c r="N305" s="3">
        <v>1</v>
      </c>
      <c r="O305" s="3">
        <v>4.3298448989156383E-3</v>
      </c>
      <c r="P305" s="3">
        <v>2.2757934185956327E-2</v>
      </c>
      <c r="Q305" s="3">
        <v>0.12774654126348234</v>
      </c>
      <c r="R305" s="3">
        <v>17.299592734926307</v>
      </c>
      <c r="S305" s="3">
        <v>291.15019072786845</v>
      </c>
      <c r="U305" s="3">
        <v>290.86715444131511</v>
      </c>
      <c r="V305" s="3">
        <v>-0.28303628655334023</v>
      </c>
      <c r="X305" s="3">
        <v>291.16196135600887</v>
      </c>
      <c r="Y305" s="3">
        <v>1.1770628140425288E-2</v>
      </c>
      <c r="AA305" s="3">
        <v>1</v>
      </c>
      <c r="AB305" s="3">
        <v>0</v>
      </c>
      <c r="AC305" s="3">
        <v>0</v>
      </c>
    </row>
    <row r="306" spans="2:29" x14ac:dyDescent="0.2">
      <c r="B306" s="3" t="s">
        <v>627</v>
      </c>
      <c r="C306" s="3" t="s">
        <v>628</v>
      </c>
      <c r="D306" s="8">
        <v>42265</v>
      </c>
      <c r="E306" s="3">
        <v>2250</v>
      </c>
      <c r="F306" s="3" t="s">
        <v>25</v>
      </c>
      <c r="G306" s="3" t="s">
        <v>26</v>
      </c>
      <c r="H306" s="3">
        <v>12.8</v>
      </c>
      <c r="I306" s="3">
        <v>13.45</v>
      </c>
      <c r="J306" s="3">
        <v>14.1</v>
      </c>
      <c r="K306" s="3">
        <v>310.7</v>
      </c>
      <c r="L306" s="3">
        <v>312.39999999999998</v>
      </c>
      <c r="M306" s="3">
        <v>314.10000000000002</v>
      </c>
      <c r="N306" s="3">
        <v>1</v>
      </c>
      <c r="O306" s="3">
        <v>4.3298448989156383E-3</v>
      </c>
      <c r="P306" s="3">
        <v>2.2757934185956327E-2</v>
      </c>
      <c r="Q306" s="3">
        <v>0.12541033421186062</v>
      </c>
      <c r="R306" s="3">
        <v>13.547633271735009</v>
      </c>
      <c r="S306" s="3">
        <v>312.30219741288306</v>
      </c>
      <c r="U306" s="3">
        <v>311.92727439749848</v>
      </c>
      <c r="V306" s="3">
        <v>-0.3749230153845815</v>
      </c>
      <c r="X306" s="3">
        <v>312.20402472191961</v>
      </c>
      <c r="Y306" s="3">
        <v>-9.8172690963451714E-2</v>
      </c>
      <c r="AA306" s="3">
        <v>1</v>
      </c>
      <c r="AB306" s="3">
        <v>0</v>
      </c>
      <c r="AC306" s="3">
        <v>0</v>
      </c>
    </row>
    <row r="307" spans="2:29" x14ac:dyDescent="0.2">
      <c r="B307" s="3" t="s">
        <v>629</v>
      </c>
      <c r="C307" s="3" t="s">
        <v>630</v>
      </c>
      <c r="D307" s="8">
        <v>42265</v>
      </c>
      <c r="E307" s="3">
        <v>2275</v>
      </c>
      <c r="F307" s="3" t="s">
        <v>25</v>
      </c>
      <c r="G307" s="3" t="s">
        <v>26</v>
      </c>
      <c r="H307" s="3">
        <v>9.8000000000000007</v>
      </c>
      <c r="I307" s="3">
        <v>10.35</v>
      </c>
      <c r="J307" s="3">
        <v>10.9</v>
      </c>
      <c r="K307" s="3">
        <v>332.6</v>
      </c>
      <c r="L307" s="3">
        <v>334.25</v>
      </c>
      <c r="M307" s="3">
        <v>335.9</v>
      </c>
      <c r="N307" s="3">
        <v>1</v>
      </c>
      <c r="O307" s="3">
        <v>4.3298448989156383E-3</v>
      </c>
      <c r="P307" s="3">
        <v>2.2757934185956327E-2</v>
      </c>
      <c r="Q307" s="3">
        <v>0.12320690780923282</v>
      </c>
      <c r="R307" s="3">
        <v>10.470379495156465</v>
      </c>
      <c r="S307" s="3">
        <v>334.12890978451082</v>
      </c>
      <c r="U307" s="3">
        <v>333.97495669257506</v>
      </c>
      <c r="V307" s="3">
        <v>-0.15395309193576168</v>
      </c>
      <c r="X307" s="3">
        <v>333.91702155408984</v>
      </c>
      <c r="Y307" s="3">
        <v>-0.21188823042098193</v>
      </c>
      <c r="AA307" s="3">
        <v>1</v>
      </c>
      <c r="AB307" s="3">
        <v>0</v>
      </c>
      <c r="AC307" s="3">
        <v>0</v>
      </c>
    </row>
    <row r="308" spans="2:29" x14ac:dyDescent="0.2">
      <c r="B308" s="3" t="s">
        <v>631</v>
      </c>
      <c r="C308" s="3" t="s">
        <v>632</v>
      </c>
      <c r="D308" s="8">
        <v>42265</v>
      </c>
      <c r="E308" s="3">
        <v>2300</v>
      </c>
      <c r="F308" s="3" t="s">
        <v>25</v>
      </c>
      <c r="G308" s="3" t="s">
        <v>26</v>
      </c>
      <c r="H308" s="3">
        <v>7.5</v>
      </c>
      <c r="I308" s="3">
        <v>7.9</v>
      </c>
      <c r="J308" s="3">
        <v>8.3000000000000007</v>
      </c>
      <c r="K308" s="3">
        <v>355.1</v>
      </c>
      <c r="L308" s="3">
        <v>356.7</v>
      </c>
      <c r="M308" s="3">
        <v>358.3</v>
      </c>
      <c r="N308" s="3">
        <v>1</v>
      </c>
      <c r="O308" s="3">
        <v>4.3298448989156383E-3</v>
      </c>
      <c r="P308" s="3">
        <v>2.2757934185956327E-2</v>
      </c>
      <c r="Q308" s="3">
        <v>0.12125329296747614</v>
      </c>
      <c r="R308" s="3">
        <v>8.0184058570253285</v>
      </c>
      <c r="S308" s="3">
        <v>356.58090229458526</v>
      </c>
      <c r="U308" s="3">
        <v>356.38007908905485</v>
      </c>
      <c r="V308" s="3">
        <v>-0.200823205530412</v>
      </c>
      <c r="X308" s="3">
        <v>356.20885260982789</v>
      </c>
      <c r="Y308" s="3">
        <v>-0.37204968475737132</v>
      </c>
      <c r="AA308" s="3">
        <v>1</v>
      </c>
      <c r="AB308" s="3">
        <v>0</v>
      </c>
      <c r="AC308" s="3">
        <v>0</v>
      </c>
    </row>
    <row r="309" spans="2:29" x14ac:dyDescent="0.2">
      <c r="B309" s="3" t="s">
        <v>633</v>
      </c>
      <c r="C309" s="3" t="s">
        <v>634</v>
      </c>
      <c r="D309" s="8">
        <v>42265</v>
      </c>
      <c r="E309" s="3">
        <v>2350</v>
      </c>
      <c r="F309" s="3" t="s">
        <v>25</v>
      </c>
      <c r="G309" s="3" t="s">
        <v>26</v>
      </c>
      <c r="H309" s="3">
        <v>4.2</v>
      </c>
      <c r="I309" s="3">
        <v>4.5</v>
      </c>
      <c r="J309" s="3">
        <v>4.8</v>
      </c>
      <c r="K309" s="3">
        <v>401.7</v>
      </c>
      <c r="L309" s="3">
        <v>403.2</v>
      </c>
      <c r="M309" s="3">
        <v>404.7</v>
      </c>
      <c r="N309" s="3">
        <v>1</v>
      </c>
      <c r="O309" s="3">
        <v>4.3298448989156383E-3</v>
      </c>
      <c r="P309" s="3">
        <v>2.2757934185956327E-2</v>
      </c>
      <c r="Q309" s="3">
        <v>0.11839336853790838</v>
      </c>
      <c r="R309" s="3">
        <v>4.6631850353488602</v>
      </c>
      <c r="S309" s="3">
        <v>403.03361376932116</v>
      </c>
      <c r="U309" s="3">
        <v>402.98349467392899</v>
      </c>
      <c r="V309" s="3">
        <v>-5.0119095392176405E-2</v>
      </c>
      <c r="X309" s="3">
        <v>402.23543945126858</v>
      </c>
      <c r="Y309" s="3">
        <v>-0.79817431805258821</v>
      </c>
      <c r="AA309" s="3">
        <v>1</v>
      </c>
      <c r="AB309" s="3">
        <v>0</v>
      </c>
      <c r="AC309" s="3">
        <v>0</v>
      </c>
    </row>
    <row r="310" spans="2:29" x14ac:dyDescent="0.2">
      <c r="B310" s="3" t="s">
        <v>635</v>
      </c>
      <c r="C310" s="3" t="s">
        <v>636</v>
      </c>
      <c r="D310" s="8">
        <v>42265</v>
      </c>
      <c r="E310" s="3">
        <v>2400</v>
      </c>
      <c r="F310" s="3" t="s">
        <v>25</v>
      </c>
      <c r="G310" s="3" t="s">
        <v>26</v>
      </c>
      <c r="H310" s="3">
        <v>2.2999999999999998</v>
      </c>
      <c r="I310" s="3">
        <v>2.5499999999999998</v>
      </c>
      <c r="J310" s="3">
        <v>2.8</v>
      </c>
      <c r="K310" s="3">
        <v>449.7</v>
      </c>
      <c r="L310" s="3">
        <v>451.1</v>
      </c>
      <c r="M310" s="3">
        <v>452.5</v>
      </c>
      <c r="N310" s="3">
        <v>1</v>
      </c>
      <c r="O310" s="3">
        <v>4.3298448989156383E-3</v>
      </c>
      <c r="P310" s="3">
        <v>2.2757934185956327E-2</v>
      </c>
      <c r="Q310" s="3">
        <v>0.11686378948662471</v>
      </c>
      <c r="R310" s="3">
        <v>2.7319561380702027</v>
      </c>
      <c r="S310" s="3">
        <v>450.91031716845396</v>
      </c>
      <c r="U310" s="3">
        <v>450.85244646178893</v>
      </c>
      <c r="V310" s="3">
        <v>-5.7870706665028138E-2</v>
      </c>
      <c r="X310" s="3">
        <v>449.65283735080413</v>
      </c>
      <c r="Y310" s="3">
        <v>-1.2574798176498234</v>
      </c>
      <c r="AA310" s="3">
        <v>1</v>
      </c>
      <c r="AB310" s="3">
        <v>1</v>
      </c>
      <c r="AC310" s="3">
        <v>0</v>
      </c>
    </row>
    <row r="311" spans="2:29" x14ac:dyDescent="0.2">
      <c r="B311" s="3" t="s">
        <v>637</v>
      </c>
      <c r="C311" s="3" t="s">
        <v>638</v>
      </c>
      <c r="D311" s="8">
        <v>42265</v>
      </c>
      <c r="E311" s="3">
        <v>2500</v>
      </c>
      <c r="F311" s="3" t="s">
        <v>25</v>
      </c>
      <c r="G311" s="3" t="s">
        <v>26</v>
      </c>
      <c r="H311" s="3">
        <v>0.5</v>
      </c>
      <c r="I311" s="3">
        <v>0.8</v>
      </c>
      <c r="J311" s="3">
        <v>1.1000000000000001</v>
      </c>
      <c r="K311" s="3">
        <v>547.79999999999995</v>
      </c>
      <c r="L311" s="3">
        <v>549.1</v>
      </c>
      <c r="M311" s="3">
        <v>550.4</v>
      </c>
      <c r="N311" s="3">
        <v>0</v>
      </c>
      <c r="O311" s="3">
        <v>4.3298448989156383E-3</v>
      </c>
      <c r="P311" s="3">
        <v>2.2757934185956327E-2</v>
      </c>
      <c r="Q311" s="3">
        <v>0.11686378948662471</v>
      </c>
      <c r="R311" s="3">
        <v>1.0113997046162808</v>
      </c>
      <c r="S311" s="3">
        <v>548.80562532782392</v>
      </c>
      <c r="U311" s="3">
        <v>548.6972106653526</v>
      </c>
      <c r="V311" s="3">
        <v>-0.10841466247131848</v>
      </c>
      <c r="X311" s="3">
        <v>0</v>
      </c>
      <c r="Y311" s="3">
        <v>0</v>
      </c>
      <c r="AA311" s="3">
        <v>0</v>
      </c>
      <c r="AB311" s="3">
        <v>0</v>
      </c>
      <c r="AC311" s="3">
        <v>0</v>
      </c>
    </row>
    <row r="312" spans="2:29" x14ac:dyDescent="0.2">
      <c r="B312" s="3" t="s">
        <v>1237</v>
      </c>
      <c r="C312" s="3" t="s">
        <v>1238</v>
      </c>
      <c r="D312" s="8">
        <v>42357</v>
      </c>
      <c r="E312" s="3">
        <v>200</v>
      </c>
      <c r="F312" s="3" t="s">
        <v>25</v>
      </c>
      <c r="G312" s="3" t="s">
        <v>26</v>
      </c>
      <c r="H312" s="3">
        <v>1733.8</v>
      </c>
      <c r="I312" s="3">
        <v>1735.25</v>
      </c>
      <c r="J312" s="3">
        <v>1736.7</v>
      </c>
      <c r="K312" s="3">
        <v>0.05</v>
      </c>
      <c r="L312" s="3">
        <v>0.1</v>
      </c>
      <c r="M312" s="3">
        <v>0.15</v>
      </c>
      <c r="N312" s="3">
        <v>0</v>
      </c>
      <c r="O312" s="3">
        <v>4.6560601464968668E-3</v>
      </c>
      <c r="P312" s="3">
        <v>2.165079489157816E-2</v>
      </c>
      <c r="Q312" s="3">
        <v>0.29172258773559512</v>
      </c>
      <c r="R312" s="3">
        <v>1734.9137104412632</v>
      </c>
      <c r="S312" s="3">
        <v>3.8504688884006151E-12</v>
      </c>
      <c r="U312" s="3">
        <v>0.99563325047915896</v>
      </c>
      <c r="V312" s="3">
        <v>0.99563325047530848</v>
      </c>
      <c r="X312" s="3">
        <v>0</v>
      </c>
      <c r="Y312" s="3">
        <v>0</v>
      </c>
      <c r="AA312" s="3">
        <v>0</v>
      </c>
      <c r="AB312" s="3">
        <v>0</v>
      </c>
      <c r="AC312" s="3">
        <v>0</v>
      </c>
    </row>
    <row r="313" spans="2:29" x14ac:dyDescent="0.2">
      <c r="B313" s="3" t="s">
        <v>639</v>
      </c>
      <c r="C313" s="3" t="s">
        <v>640</v>
      </c>
      <c r="D313" s="8">
        <v>42357</v>
      </c>
      <c r="E313" s="3">
        <v>300</v>
      </c>
      <c r="F313" s="3" t="s">
        <v>25</v>
      </c>
      <c r="G313" s="3" t="s">
        <v>26</v>
      </c>
      <c r="H313" s="3">
        <v>1634.3</v>
      </c>
      <c r="I313" s="3">
        <v>1635.9</v>
      </c>
      <c r="J313" s="3">
        <v>1637.5</v>
      </c>
      <c r="K313" s="3">
        <v>0.1</v>
      </c>
      <c r="L313" s="3">
        <v>0.37</v>
      </c>
      <c r="M313" s="3">
        <v>0.65</v>
      </c>
      <c r="N313" s="3">
        <v>0</v>
      </c>
      <c r="O313" s="3">
        <v>4.6560601464968668E-3</v>
      </c>
      <c r="P313" s="3">
        <v>2.165079489157816E-2</v>
      </c>
      <c r="Q313" s="3">
        <v>0.29172258773559512</v>
      </c>
      <c r="R313" s="3">
        <v>1635.4444183824942</v>
      </c>
      <c r="S313" s="3">
        <v>3.8420582290537108E-8</v>
      </c>
      <c r="U313" s="3">
        <v>0.54666162158923726</v>
      </c>
      <c r="V313" s="3">
        <v>0.54666158316865499</v>
      </c>
      <c r="X313" s="3">
        <v>0</v>
      </c>
      <c r="Y313" s="3">
        <v>0</v>
      </c>
      <c r="AA313" s="3">
        <v>0</v>
      </c>
      <c r="AB313" s="3">
        <v>0</v>
      </c>
      <c r="AC313" s="3">
        <v>0</v>
      </c>
    </row>
    <row r="314" spans="2:29" x14ac:dyDescent="0.2">
      <c r="B314" s="3" t="s">
        <v>641</v>
      </c>
      <c r="C314" s="3" t="s">
        <v>642</v>
      </c>
      <c r="D314" s="8">
        <v>42357</v>
      </c>
      <c r="E314" s="3">
        <v>400</v>
      </c>
      <c r="F314" s="3" t="s">
        <v>25</v>
      </c>
      <c r="G314" s="3" t="s">
        <v>26</v>
      </c>
      <c r="H314" s="3">
        <v>1534.4</v>
      </c>
      <c r="I314" s="3">
        <v>1536</v>
      </c>
      <c r="J314" s="3">
        <v>1537.6</v>
      </c>
      <c r="K314" s="3">
        <v>0.25</v>
      </c>
      <c r="L314" s="3">
        <v>0.28000000000000003</v>
      </c>
      <c r="M314" s="3">
        <v>0.3</v>
      </c>
      <c r="N314" s="3">
        <v>0</v>
      </c>
      <c r="O314" s="3">
        <v>4.6560601464968668E-3</v>
      </c>
      <c r="P314" s="3">
        <v>2.165079489157816E-2</v>
      </c>
      <c r="Q314" s="3">
        <v>0.29172258773559512</v>
      </c>
      <c r="R314" s="3">
        <v>1535.9751361631299</v>
      </c>
      <c r="S314" s="3">
        <v>9.9162417971988316E-6</v>
      </c>
      <c r="U314" s="3">
        <v>-0.61668938876300672</v>
      </c>
      <c r="V314" s="3">
        <v>-0.61669930500480397</v>
      </c>
      <c r="X314" s="3">
        <v>0</v>
      </c>
      <c r="Y314" s="3">
        <v>0</v>
      </c>
      <c r="AA314" s="3">
        <v>0</v>
      </c>
      <c r="AB314" s="3">
        <v>0</v>
      </c>
      <c r="AC314" s="3">
        <v>0</v>
      </c>
    </row>
    <row r="315" spans="2:29" x14ac:dyDescent="0.2">
      <c r="B315" s="3" t="s">
        <v>643</v>
      </c>
      <c r="C315" s="3" t="s">
        <v>644</v>
      </c>
      <c r="D315" s="8">
        <v>42357</v>
      </c>
      <c r="E315" s="3">
        <v>500</v>
      </c>
      <c r="F315" s="3" t="s">
        <v>25</v>
      </c>
      <c r="G315" s="3" t="s">
        <v>26</v>
      </c>
      <c r="H315" s="3">
        <v>1435.3</v>
      </c>
      <c r="I315" s="3">
        <v>1436.8</v>
      </c>
      <c r="J315" s="3">
        <v>1438.3</v>
      </c>
      <c r="K315" s="3">
        <v>0.05</v>
      </c>
      <c r="L315" s="3">
        <v>0.23</v>
      </c>
      <c r="M315" s="3">
        <v>0.4</v>
      </c>
      <c r="N315" s="3">
        <v>0</v>
      </c>
      <c r="O315" s="3">
        <v>4.6560601464968668E-3</v>
      </c>
      <c r="P315" s="3">
        <v>2.165079489157816E-2</v>
      </c>
      <c r="Q315" s="3">
        <v>0.29172258773559512</v>
      </c>
      <c r="R315" s="3">
        <v>1436.5062581330931</v>
      </c>
      <c r="S315" s="3">
        <v>4.2398339059477371E-4</v>
      </c>
      <c r="U315" s="3">
        <v>0.84044413799529138</v>
      </c>
      <c r="V315" s="3">
        <v>0.84002015460469659</v>
      </c>
      <c r="X315" s="3">
        <v>0</v>
      </c>
      <c r="Y315" s="3">
        <v>0</v>
      </c>
      <c r="AA315" s="3">
        <v>0</v>
      </c>
      <c r="AB315" s="3">
        <v>0</v>
      </c>
      <c r="AC315" s="3">
        <v>0</v>
      </c>
    </row>
    <row r="316" spans="2:29" x14ac:dyDescent="0.2">
      <c r="B316" s="3" t="s">
        <v>645</v>
      </c>
      <c r="C316" s="3" t="s">
        <v>646</v>
      </c>
      <c r="D316" s="8">
        <v>42357</v>
      </c>
      <c r="E316" s="3">
        <v>550</v>
      </c>
      <c r="F316" s="3" t="s">
        <v>25</v>
      </c>
      <c r="G316" s="3" t="s">
        <v>26</v>
      </c>
      <c r="H316" s="3">
        <v>1385.7</v>
      </c>
      <c r="I316" s="3">
        <v>1387.15</v>
      </c>
      <c r="J316" s="3">
        <v>1388.6</v>
      </c>
      <c r="K316" s="3">
        <v>0.05</v>
      </c>
      <c r="L316" s="3">
        <v>0.55000000000000004</v>
      </c>
      <c r="M316" s="3">
        <v>1.05</v>
      </c>
      <c r="N316" s="3">
        <v>0</v>
      </c>
      <c r="O316" s="3">
        <v>4.6560601464968668E-3</v>
      </c>
      <c r="P316" s="3">
        <v>2.165079489157816E-2</v>
      </c>
      <c r="Q316" s="3">
        <v>0.29172258773559512</v>
      </c>
      <c r="R316" s="3">
        <v>1386.7730121027821</v>
      </c>
      <c r="S316" s="3">
        <v>1.8240016720994789E-3</v>
      </c>
      <c r="U316" s="3">
        <v>0.86448133649378178</v>
      </c>
      <c r="V316" s="3">
        <v>0.86265733482168228</v>
      </c>
      <c r="X316" s="3">
        <v>0</v>
      </c>
      <c r="Y316" s="3">
        <v>0</v>
      </c>
      <c r="AA316" s="3">
        <v>0</v>
      </c>
      <c r="AB316" s="3">
        <v>0</v>
      </c>
      <c r="AC316" s="3">
        <v>0</v>
      </c>
    </row>
    <row r="317" spans="2:29" x14ac:dyDescent="0.2">
      <c r="B317" s="3" t="s">
        <v>647</v>
      </c>
      <c r="C317" s="3" t="s">
        <v>648</v>
      </c>
      <c r="D317" s="8">
        <v>42357</v>
      </c>
      <c r="E317" s="3">
        <v>600</v>
      </c>
      <c r="F317" s="3" t="s">
        <v>25</v>
      </c>
      <c r="G317" s="3" t="s">
        <v>26</v>
      </c>
      <c r="H317" s="3">
        <v>1336.1</v>
      </c>
      <c r="I317" s="3">
        <v>1337.6</v>
      </c>
      <c r="J317" s="3">
        <v>1339.1</v>
      </c>
      <c r="K317" s="3">
        <v>0.25</v>
      </c>
      <c r="L317" s="3">
        <v>0.75</v>
      </c>
      <c r="M317" s="3">
        <v>1.25</v>
      </c>
      <c r="N317" s="3">
        <v>0</v>
      </c>
      <c r="O317" s="3">
        <v>4.6560601464968668E-3</v>
      </c>
      <c r="P317" s="3">
        <v>2.165079489157816E-2</v>
      </c>
      <c r="Q317" s="3">
        <v>0.29172258773559512</v>
      </c>
      <c r="R317" s="3">
        <v>1337.042954161039</v>
      </c>
      <c r="S317" s="3">
        <v>6.4121085218473844E-3</v>
      </c>
      <c r="U317" s="3">
        <v>0.84639170766376992</v>
      </c>
      <c r="V317" s="3">
        <v>0.83997959914192255</v>
      </c>
      <c r="X317" s="3">
        <v>0</v>
      </c>
      <c r="Y317" s="3">
        <v>0</v>
      </c>
      <c r="AA317" s="3">
        <v>0</v>
      </c>
      <c r="AB317" s="3">
        <v>0</v>
      </c>
      <c r="AC317" s="3">
        <v>0</v>
      </c>
    </row>
    <row r="318" spans="2:29" x14ac:dyDescent="0.2">
      <c r="B318" s="3" t="s">
        <v>649</v>
      </c>
      <c r="C318" s="3" t="s">
        <v>650</v>
      </c>
      <c r="D318" s="8">
        <v>42357</v>
      </c>
      <c r="E318" s="3">
        <v>650</v>
      </c>
      <c r="F318" s="3" t="s">
        <v>25</v>
      </c>
      <c r="G318" s="3" t="s">
        <v>26</v>
      </c>
      <c r="H318" s="3">
        <v>1286.5999999999999</v>
      </c>
      <c r="I318" s="3">
        <v>1288.0999999999999</v>
      </c>
      <c r="J318" s="3">
        <v>1289.5999999999999</v>
      </c>
      <c r="K318" s="3">
        <v>0.5</v>
      </c>
      <c r="L318" s="3">
        <v>1</v>
      </c>
      <c r="M318" s="3">
        <v>1.5</v>
      </c>
      <c r="N318" s="3">
        <v>0</v>
      </c>
      <c r="O318" s="3">
        <v>4.6560601464968668E-3</v>
      </c>
      <c r="P318" s="3">
        <v>2.165079489157816E-2</v>
      </c>
      <c r="Q318" s="3">
        <v>0.29172258773559512</v>
      </c>
      <c r="R318" s="3">
        <v>1287.3210422925811</v>
      </c>
      <c r="S318" s="3">
        <v>1.9146288656622906E-2</v>
      </c>
      <c r="U318" s="3">
        <v>0.54960541458376611</v>
      </c>
      <c r="V318" s="3">
        <v>0.53045912592714317</v>
      </c>
      <c r="X318" s="3">
        <v>0</v>
      </c>
      <c r="Y318" s="3">
        <v>0</v>
      </c>
      <c r="AA318" s="3">
        <v>0</v>
      </c>
      <c r="AB318" s="3">
        <v>0</v>
      </c>
      <c r="AC318" s="3">
        <v>0</v>
      </c>
    </row>
    <row r="319" spans="2:29" x14ac:dyDescent="0.2">
      <c r="B319" s="3" t="s">
        <v>651</v>
      </c>
      <c r="C319" s="3" t="s">
        <v>652</v>
      </c>
      <c r="D319" s="8">
        <v>42357</v>
      </c>
      <c r="E319" s="3">
        <v>700</v>
      </c>
      <c r="F319" s="3" t="s">
        <v>25</v>
      </c>
      <c r="G319" s="3" t="s">
        <v>26</v>
      </c>
      <c r="H319" s="3">
        <v>1236.9000000000001</v>
      </c>
      <c r="I319" s="3">
        <v>1238.55</v>
      </c>
      <c r="J319" s="3">
        <v>1240.2</v>
      </c>
      <c r="K319" s="3">
        <v>0.8</v>
      </c>
      <c r="L319" s="3">
        <v>1.3</v>
      </c>
      <c r="M319" s="3">
        <v>1.8</v>
      </c>
      <c r="N319" s="3">
        <v>0</v>
      </c>
      <c r="O319" s="3">
        <v>4.6560601464968668E-3</v>
      </c>
      <c r="P319" s="3">
        <v>2.165079489157816E-2</v>
      </c>
      <c r="Q319" s="3">
        <v>0.29172258773559512</v>
      </c>
      <c r="R319" s="3">
        <v>1237.6172485696725</v>
      </c>
      <c r="S319" s="3">
        <v>4.9998614340795777E-2</v>
      </c>
      <c r="U319" s="3">
        <v>1.0136786357920755</v>
      </c>
      <c r="V319" s="3">
        <v>0.96368002145127973</v>
      </c>
      <c r="X319" s="3">
        <v>0</v>
      </c>
      <c r="Y319" s="3">
        <v>0</v>
      </c>
      <c r="AA319" s="3">
        <v>0</v>
      </c>
      <c r="AB319" s="3">
        <v>0</v>
      </c>
      <c r="AC319" s="3">
        <v>0</v>
      </c>
    </row>
    <row r="320" spans="2:29" x14ac:dyDescent="0.2">
      <c r="B320" s="3" t="s">
        <v>653</v>
      </c>
      <c r="C320" s="3" t="s">
        <v>654</v>
      </c>
      <c r="D320" s="8">
        <v>42357</v>
      </c>
      <c r="E320" s="3">
        <v>750</v>
      </c>
      <c r="F320" s="3" t="s">
        <v>25</v>
      </c>
      <c r="G320" s="3" t="s">
        <v>26</v>
      </c>
      <c r="H320" s="3">
        <v>1187.5</v>
      </c>
      <c r="I320" s="3">
        <v>1189.2</v>
      </c>
      <c r="J320" s="3">
        <v>1190.9000000000001</v>
      </c>
      <c r="K320" s="3">
        <v>1.1499999999999999</v>
      </c>
      <c r="L320" s="3">
        <v>1.65</v>
      </c>
      <c r="M320" s="3">
        <v>2.15</v>
      </c>
      <c r="N320" s="3">
        <v>1</v>
      </c>
      <c r="O320" s="3">
        <v>4.6560601464968668E-3</v>
      </c>
      <c r="P320" s="3">
        <v>2.165079489157816E-2</v>
      </c>
      <c r="Q320" s="3">
        <v>0.29172258773559512</v>
      </c>
      <c r="R320" s="3">
        <v>1187.9493906461162</v>
      </c>
      <c r="S320" s="3">
        <v>0.11678673937732453</v>
      </c>
      <c r="U320" s="3">
        <v>1.4106282418993032</v>
      </c>
      <c r="V320" s="3">
        <v>1.2938415025219787</v>
      </c>
      <c r="X320" s="3">
        <v>1.1940676749649055</v>
      </c>
      <c r="Y320" s="3">
        <v>1.077280935587581</v>
      </c>
      <c r="AA320" s="3">
        <v>1</v>
      </c>
      <c r="AB320" s="3">
        <v>0</v>
      </c>
      <c r="AC320" s="3">
        <v>0</v>
      </c>
    </row>
    <row r="321" spans="2:29" x14ac:dyDescent="0.2">
      <c r="B321" s="3" t="s">
        <v>655</v>
      </c>
      <c r="C321" s="3" t="s">
        <v>656</v>
      </c>
      <c r="D321" s="8">
        <v>42357</v>
      </c>
      <c r="E321" s="3">
        <v>800</v>
      </c>
      <c r="F321" s="3" t="s">
        <v>25</v>
      </c>
      <c r="G321" s="3" t="s">
        <v>26</v>
      </c>
      <c r="H321" s="3">
        <v>1138.4000000000001</v>
      </c>
      <c r="I321" s="3">
        <v>1140</v>
      </c>
      <c r="J321" s="3">
        <v>1141.5999999999999</v>
      </c>
      <c r="K321" s="3">
        <v>1.6</v>
      </c>
      <c r="L321" s="3">
        <v>2.1</v>
      </c>
      <c r="M321" s="3">
        <v>2.6</v>
      </c>
      <c r="N321" s="3">
        <v>1</v>
      </c>
      <c r="O321" s="3">
        <v>4.6560601464968668E-3</v>
      </c>
      <c r="P321" s="3">
        <v>2.165079489157816E-2</v>
      </c>
      <c r="Q321" s="3">
        <v>0.29172258773559512</v>
      </c>
      <c r="R321" s="3">
        <v>1138.3463054191152</v>
      </c>
      <c r="S321" s="3">
        <v>0.24834756096918298</v>
      </c>
      <c r="U321" s="3">
        <v>1.376627765577723</v>
      </c>
      <c r="V321" s="3">
        <v>1.1282802046085401</v>
      </c>
      <c r="X321" s="3">
        <v>1.6127030092587979</v>
      </c>
      <c r="Y321" s="3">
        <v>1.364355448289615</v>
      </c>
      <c r="AA321" s="3">
        <v>1</v>
      </c>
      <c r="AB321" s="3">
        <v>0</v>
      </c>
      <c r="AC321" s="3">
        <v>1</v>
      </c>
    </row>
    <row r="322" spans="2:29" x14ac:dyDescent="0.2">
      <c r="B322" s="3" t="s">
        <v>657</v>
      </c>
      <c r="C322" s="3" t="s">
        <v>658</v>
      </c>
      <c r="D322" s="8">
        <v>42357</v>
      </c>
      <c r="E322" s="3">
        <v>850</v>
      </c>
      <c r="F322" s="3" t="s">
        <v>25</v>
      </c>
      <c r="G322" s="3" t="s">
        <v>26</v>
      </c>
      <c r="H322" s="3">
        <v>1089.2</v>
      </c>
      <c r="I322" s="3">
        <v>1091</v>
      </c>
      <c r="J322" s="3">
        <v>1092.8</v>
      </c>
      <c r="K322" s="3">
        <v>2.2000000000000002</v>
      </c>
      <c r="L322" s="3">
        <v>2.7</v>
      </c>
      <c r="M322" s="3">
        <v>3.2</v>
      </c>
      <c r="N322" s="3">
        <v>1</v>
      </c>
      <c r="O322" s="3">
        <v>4.6560601464968668E-3</v>
      </c>
      <c r="P322" s="3">
        <v>2.165079489157816E-2</v>
      </c>
      <c r="Q322" s="3">
        <v>0.29172258773559512</v>
      </c>
      <c r="R322" s="3">
        <v>1088.850918582652</v>
      </c>
      <c r="S322" s="3">
        <v>0.48760677309873923</v>
      </c>
      <c r="U322" s="3">
        <v>2.0059879232276216</v>
      </c>
      <c r="V322" s="3">
        <v>1.5183811501288824</v>
      </c>
      <c r="X322" s="3">
        <v>2.1397708133751707</v>
      </c>
      <c r="Y322" s="3">
        <v>1.6521640402764315</v>
      </c>
      <c r="AA322" s="3">
        <v>1</v>
      </c>
      <c r="AB322" s="3">
        <v>1</v>
      </c>
      <c r="AC322" s="3">
        <v>1</v>
      </c>
    </row>
    <row r="323" spans="2:29" x14ac:dyDescent="0.2">
      <c r="B323" s="3" t="s">
        <v>659</v>
      </c>
      <c r="C323" s="3" t="s">
        <v>660</v>
      </c>
      <c r="D323" s="8">
        <v>42357</v>
      </c>
      <c r="E323" s="3">
        <v>900</v>
      </c>
      <c r="F323" s="3" t="s">
        <v>25</v>
      </c>
      <c r="G323" s="3" t="s">
        <v>26</v>
      </c>
      <c r="H323" s="3">
        <v>1040.0999999999999</v>
      </c>
      <c r="I323" s="3">
        <v>1041.8</v>
      </c>
      <c r="J323" s="3">
        <v>1043.5</v>
      </c>
      <c r="K323" s="3">
        <v>2.6</v>
      </c>
      <c r="L323" s="3">
        <v>3.3</v>
      </c>
      <c r="M323" s="3">
        <v>4</v>
      </c>
      <c r="N323" s="3">
        <v>1</v>
      </c>
      <c r="O323" s="3">
        <v>4.6560601464968668E-3</v>
      </c>
      <c r="P323" s="3">
        <v>2.165079489157816E-2</v>
      </c>
      <c r="Q323" s="3">
        <v>0.29172258773559512</v>
      </c>
      <c r="R323" s="3">
        <v>1039.5227174097795</v>
      </c>
      <c r="S323" s="3">
        <v>0.89405164881902266</v>
      </c>
      <c r="U323" s="3">
        <v>2.8809662646754077</v>
      </c>
      <c r="V323" s="3">
        <v>1.9869146158563851</v>
      </c>
      <c r="X323" s="3">
        <v>2.7911717446175728</v>
      </c>
      <c r="Y323" s="3">
        <v>1.8971200957985501</v>
      </c>
      <c r="AA323" s="3">
        <v>1</v>
      </c>
      <c r="AB323" s="3">
        <v>0</v>
      </c>
      <c r="AC323" s="3">
        <v>0</v>
      </c>
    </row>
    <row r="324" spans="2:29" x14ac:dyDescent="0.2">
      <c r="B324" s="3" t="s">
        <v>661</v>
      </c>
      <c r="C324" s="3" t="s">
        <v>662</v>
      </c>
      <c r="D324" s="8">
        <v>42357</v>
      </c>
      <c r="E324" s="3">
        <v>950</v>
      </c>
      <c r="F324" s="3" t="s">
        <v>25</v>
      </c>
      <c r="G324" s="3" t="s">
        <v>26</v>
      </c>
      <c r="H324" s="3">
        <v>991.2</v>
      </c>
      <c r="I324" s="3">
        <v>992.95</v>
      </c>
      <c r="J324" s="3">
        <v>994.7</v>
      </c>
      <c r="K324" s="3">
        <v>3.3</v>
      </c>
      <c r="L324" s="3">
        <v>4</v>
      </c>
      <c r="M324" s="3">
        <v>4.7</v>
      </c>
      <c r="N324" s="3">
        <v>1</v>
      </c>
      <c r="O324" s="3">
        <v>4.6560601464968668E-3</v>
      </c>
      <c r="P324" s="3">
        <v>2.165079489157816E-2</v>
      </c>
      <c r="Q324" s="3">
        <v>0.29172258773559512</v>
      </c>
      <c r="R324" s="3">
        <v>990.43919799085006</v>
      </c>
      <c r="S324" s="3">
        <v>1.5451782784821742</v>
      </c>
      <c r="U324" s="3">
        <v>3.4772849589331827</v>
      </c>
      <c r="V324" s="3">
        <v>1.9321066804510085</v>
      </c>
      <c r="X324" s="3">
        <v>3.6178670457224085</v>
      </c>
      <c r="Y324" s="3">
        <v>2.0726887672402343</v>
      </c>
      <c r="AA324" s="3">
        <v>1</v>
      </c>
      <c r="AB324" s="3">
        <v>0</v>
      </c>
      <c r="AC324" s="3">
        <v>0</v>
      </c>
    </row>
    <row r="325" spans="2:29" x14ac:dyDescent="0.2">
      <c r="B325" s="3" t="s">
        <v>663</v>
      </c>
      <c r="C325" s="3" t="s">
        <v>664</v>
      </c>
      <c r="D325" s="8">
        <v>42357</v>
      </c>
      <c r="E325" s="3">
        <v>975</v>
      </c>
      <c r="F325" s="3" t="s">
        <v>25</v>
      </c>
      <c r="G325" s="3" t="s">
        <v>26</v>
      </c>
      <c r="H325" s="3">
        <v>966.8</v>
      </c>
      <c r="I325" s="3">
        <v>968.6</v>
      </c>
      <c r="J325" s="3">
        <v>970.4</v>
      </c>
      <c r="K325" s="3">
        <v>3.8</v>
      </c>
      <c r="L325" s="3">
        <v>4.5</v>
      </c>
      <c r="M325" s="3">
        <v>5.2</v>
      </c>
      <c r="N325" s="3">
        <v>1</v>
      </c>
      <c r="O325" s="3">
        <v>4.6560601464968668E-3</v>
      </c>
      <c r="P325" s="3">
        <v>2.165079489157816E-2</v>
      </c>
      <c r="Q325" s="3">
        <v>0.29172258773559512</v>
      </c>
      <c r="R325" s="3">
        <v>966.01839932432983</v>
      </c>
      <c r="S325" s="3">
        <v>1.9917026362584167</v>
      </c>
      <c r="U325" s="3">
        <v>4.0354224912200607</v>
      </c>
      <c r="V325" s="3">
        <v>2.043719854961644</v>
      </c>
      <c r="X325" s="3">
        <v>4.103515205217759</v>
      </c>
      <c r="Y325" s="3">
        <v>2.1118125689593423</v>
      </c>
      <c r="AA325" s="3">
        <v>1</v>
      </c>
      <c r="AB325" s="3">
        <v>0</v>
      </c>
      <c r="AC325" s="3">
        <v>0</v>
      </c>
    </row>
    <row r="326" spans="2:29" x14ac:dyDescent="0.2">
      <c r="B326" s="3" t="s">
        <v>665</v>
      </c>
      <c r="C326" s="3" t="s">
        <v>666</v>
      </c>
      <c r="D326" s="8">
        <v>42357</v>
      </c>
      <c r="E326" s="3">
        <v>1000</v>
      </c>
      <c r="F326" s="3" t="s">
        <v>25</v>
      </c>
      <c r="G326" s="3" t="s">
        <v>26</v>
      </c>
      <c r="H326" s="3">
        <v>942.4</v>
      </c>
      <c r="I326" s="3">
        <v>944.2</v>
      </c>
      <c r="J326" s="3">
        <v>946</v>
      </c>
      <c r="K326" s="3">
        <v>4.4000000000000004</v>
      </c>
      <c r="L326" s="3">
        <v>5.05</v>
      </c>
      <c r="M326" s="3">
        <v>5.7</v>
      </c>
      <c r="N326" s="3">
        <v>1</v>
      </c>
      <c r="O326" s="3">
        <v>4.6560601464968668E-3</v>
      </c>
      <c r="P326" s="3">
        <v>2.165079489157816E-2</v>
      </c>
      <c r="Q326" s="3">
        <v>0.29172258773559512</v>
      </c>
      <c r="R326" s="3">
        <v>941.69600633077471</v>
      </c>
      <c r="S326" s="3">
        <v>2.536632666999818</v>
      </c>
      <c r="U326" s="3">
        <v>4.5414394893749659</v>
      </c>
      <c r="V326" s="3">
        <v>2.0048068223751478</v>
      </c>
      <c r="X326" s="3">
        <v>4.6395678528329096</v>
      </c>
      <c r="Y326" s="3">
        <v>2.1029351858330916</v>
      </c>
      <c r="AA326" s="3">
        <v>1</v>
      </c>
      <c r="AB326" s="3">
        <v>0</v>
      </c>
      <c r="AC326" s="3">
        <v>0</v>
      </c>
    </row>
    <row r="327" spans="2:29" x14ac:dyDescent="0.2">
      <c r="B327" s="3" t="s">
        <v>667</v>
      </c>
      <c r="C327" s="3" t="s">
        <v>668</v>
      </c>
      <c r="D327" s="8">
        <v>42357</v>
      </c>
      <c r="E327" s="3">
        <v>1025</v>
      </c>
      <c r="F327" s="3" t="s">
        <v>25</v>
      </c>
      <c r="G327" s="3" t="s">
        <v>26</v>
      </c>
      <c r="H327" s="3">
        <v>918.1</v>
      </c>
      <c r="I327" s="3">
        <v>919.95</v>
      </c>
      <c r="J327" s="3">
        <v>921.8</v>
      </c>
      <c r="K327" s="3">
        <v>5</v>
      </c>
      <c r="L327" s="3">
        <v>5.65</v>
      </c>
      <c r="M327" s="3">
        <v>6.3</v>
      </c>
      <c r="N327" s="3">
        <v>1</v>
      </c>
      <c r="O327" s="3">
        <v>4.6560601464968668E-3</v>
      </c>
      <c r="P327" s="3">
        <v>2.165079489157816E-2</v>
      </c>
      <c r="Q327" s="3">
        <v>0.29172258773559512</v>
      </c>
      <c r="R327" s="3">
        <v>917.48660402211851</v>
      </c>
      <c r="S327" s="3">
        <v>3.1945533826397536</v>
      </c>
      <c r="U327" s="3">
        <v>5.2186581905287994</v>
      </c>
      <c r="V327" s="3">
        <v>2.0241048078890458</v>
      </c>
      <c r="X327" s="3">
        <v>5.2293468772835157</v>
      </c>
      <c r="Y327" s="3">
        <v>2.034793494643762</v>
      </c>
      <c r="AA327" s="3">
        <v>1</v>
      </c>
      <c r="AB327" s="3">
        <v>0</v>
      </c>
      <c r="AC327" s="3">
        <v>0</v>
      </c>
    </row>
    <row r="328" spans="2:29" x14ac:dyDescent="0.2">
      <c r="B328" s="3" t="s">
        <v>669</v>
      </c>
      <c r="C328" s="3" t="s">
        <v>670</v>
      </c>
      <c r="D328" s="8">
        <v>42357</v>
      </c>
      <c r="E328" s="3">
        <v>1050</v>
      </c>
      <c r="F328" s="3" t="s">
        <v>25</v>
      </c>
      <c r="G328" s="3" t="s">
        <v>26</v>
      </c>
      <c r="H328" s="3">
        <v>893.8</v>
      </c>
      <c r="I328" s="3">
        <v>895.7</v>
      </c>
      <c r="J328" s="3">
        <v>897.6</v>
      </c>
      <c r="K328" s="3">
        <v>5.6</v>
      </c>
      <c r="L328" s="3">
        <v>6.3</v>
      </c>
      <c r="M328" s="3">
        <v>7</v>
      </c>
      <c r="N328" s="3">
        <v>1</v>
      </c>
      <c r="O328" s="3">
        <v>4.6560601464968668E-3</v>
      </c>
      <c r="P328" s="3">
        <v>2.165079489157816E-2</v>
      </c>
      <c r="Q328" s="3">
        <v>0.29172258773559512</v>
      </c>
      <c r="R328" s="3">
        <v>893.40568158375038</v>
      </c>
      <c r="S328" s="3">
        <v>3.9809539685680235</v>
      </c>
      <c r="U328" s="3">
        <v>5.8622896932458843</v>
      </c>
      <c r="V328" s="3">
        <v>1.8813357246778608</v>
      </c>
      <c r="X328" s="3">
        <v>5.8766205906537472</v>
      </c>
      <c r="Y328" s="3">
        <v>1.8956666220857237</v>
      </c>
      <c r="AA328" s="3">
        <v>1</v>
      </c>
      <c r="AB328" s="3">
        <v>0</v>
      </c>
      <c r="AC328" s="3">
        <v>0</v>
      </c>
    </row>
    <row r="329" spans="2:29" x14ac:dyDescent="0.2">
      <c r="B329" s="3" t="s">
        <v>671</v>
      </c>
      <c r="C329" s="3" t="s">
        <v>672</v>
      </c>
      <c r="D329" s="8">
        <v>42357</v>
      </c>
      <c r="E329" s="3">
        <v>1075</v>
      </c>
      <c r="F329" s="3" t="s">
        <v>25</v>
      </c>
      <c r="G329" s="3" t="s">
        <v>26</v>
      </c>
      <c r="H329" s="3">
        <v>869.6</v>
      </c>
      <c r="I329" s="3">
        <v>871.55</v>
      </c>
      <c r="J329" s="3">
        <v>873.5</v>
      </c>
      <c r="K329" s="3">
        <v>6.3</v>
      </c>
      <c r="L329" s="3">
        <v>7</v>
      </c>
      <c r="M329" s="3">
        <v>7.7</v>
      </c>
      <c r="N329" s="3">
        <v>1</v>
      </c>
      <c r="O329" s="3">
        <v>4.6560601464968668E-3</v>
      </c>
      <c r="P329" s="3">
        <v>2.165079489157816E-2</v>
      </c>
      <c r="Q329" s="3">
        <v>0.29172258773559512</v>
      </c>
      <c r="R329" s="3">
        <v>869.46952495014875</v>
      </c>
      <c r="S329" s="3">
        <v>4.9121203592629712</v>
      </c>
      <c r="U329" s="3">
        <v>6.5459124031804095</v>
      </c>
      <c r="V329" s="3">
        <v>1.6337920439174383</v>
      </c>
      <c r="X329" s="3">
        <v>6.5896069737966902</v>
      </c>
      <c r="Y329" s="3">
        <v>1.6774866145337191</v>
      </c>
      <c r="AA329" s="3">
        <v>1</v>
      </c>
      <c r="AB329" s="3">
        <v>0</v>
      </c>
      <c r="AC329" s="3">
        <v>0</v>
      </c>
    </row>
    <row r="330" spans="2:29" x14ac:dyDescent="0.2">
      <c r="B330" s="3" t="s">
        <v>673</v>
      </c>
      <c r="C330" s="3" t="s">
        <v>674</v>
      </c>
      <c r="D330" s="8">
        <v>42357</v>
      </c>
      <c r="E330" s="3">
        <v>1100</v>
      </c>
      <c r="F330" s="3" t="s">
        <v>25</v>
      </c>
      <c r="G330" s="3" t="s">
        <v>26</v>
      </c>
      <c r="H330" s="3">
        <v>845.4</v>
      </c>
      <c r="I330" s="3">
        <v>847.4</v>
      </c>
      <c r="J330" s="3">
        <v>849.4</v>
      </c>
      <c r="K330" s="3">
        <v>7</v>
      </c>
      <c r="L330" s="3">
        <v>7.75</v>
      </c>
      <c r="M330" s="3">
        <v>8.5</v>
      </c>
      <c r="N330" s="3">
        <v>1</v>
      </c>
      <c r="O330" s="3">
        <v>4.6560601464968668E-3</v>
      </c>
      <c r="P330" s="3">
        <v>2.165079489157816E-2</v>
      </c>
      <c r="Q330" s="3">
        <v>0.29172258773559512</v>
      </c>
      <c r="R330" s="3">
        <v>845.69509510463149</v>
      </c>
      <c r="S330" s="3">
        <v>6.005013538042121</v>
      </c>
      <c r="U330" s="3">
        <v>7.3491128164392876</v>
      </c>
      <c r="V330" s="3">
        <v>1.3440992783971666</v>
      </c>
      <c r="X330" s="3">
        <v>7.3752056684215868</v>
      </c>
      <c r="Y330" s="3">
        <v>1.3701921303794657</v>
      </c>
      <c r="AA330" s="3">
        <v>1</v>
      </c>
      <c r="AB330" s="3">
        <v>0</v>
      </c>
      <c r="AC330" s="3">
        <v>0</v>
      </c>
    </row>
    <row r="331" spans="2:29" x14ac:dyDescent="0.2">
      <c r="B331" s="3" t="s">
        <v>675</v>
      </c>
      <c r="C331" s="3" t="s">
        <v>676</v>
      </c>
      <c r="D331" s="8">
        <v>42357</v>
      </c>
      <c r="E331" s="3">
        <v>1125</v>
      </c>
      <c r="F331" s="3" t="s">
        <v>25</v>
      </c>
      <c r="G331" s="3" t="s">
        <v>26</v>
      </c>
      <c r="H331" s="3">
        <v>821.4</v>
      </c>
      <c r="I331" s="3">
        <v>823.4</v>
      </c>
      <c r="J331" s="3">
        <v>825.4</v>
      </c>
      <c r="K331" s="3">
        <v>7.9</v>
      </c>
      <c r="L331" s="3">
        <v>8.65</v>
      </c>
      <c r="M331" s="3">
        <v>9.4</v>
      </c>
      <c r="N331" s="3">
        <v>1</v>
      </c>
      <c r="O331" s="3">
        <v>4.6560601464968668E-3</v>
      </c>
      <c r="P331" s="3">
        <v>2.165079489157816E-2</v>
      </c>
      <c r="Q331" s="3">
        <v>0.29172258773559512</v>
      </c>
      <c r="R331" s="3">
        <v>822.09989494632555</v>
      </c>
      <c r="S331" s="3">
        <v>7.2771364040325821</v>
      </c>
      <c r="U331" s="3">
        <v>8.195407850055858</v>
      </c>
      <c r="V331" s="3">
        <v>0.91827144602327593</v>
      </c>
      <c r="X331" s="3">
        <v>8.2360727060547312</v>
      </c>
      <c r="Y331" s="3">
        <v>0.95893630202214908</v>
      </c>
      <c r="AA331" s="3">
        <v>1</v>
      </c>
      <c r="AB331" s="3">
        <v>0</v>
      </c>
      <c r="AC331" s="3">
        <v>0</v>
      </c>
    </row>
    <row r="332" spans="2:29" x14ac:dyDescent="0.2">
      <c r="B332" s="3" t="s">
        <v>677</v>
      </c>
      <c r="C332" s="3" t="s">
        <v>678</v>
      </c>
      <c r="D332" s="8">
        <v>42357</v>
      </c>
      <c r="E332" s="3">
        <v>1150</v>
      </c>
      <c r="F332" s="3" t="s">
        <v>25</v>
      </c>
      <c r="G332" s="3" t="s">
        <v>26</v>
      </c>
      <c r="H332" s="3">
        <v>797.3</v>
      </c>
      <c r="I332" s="3">
        <v>799.4</v>
      </c>
      <c r="J332" s="3">
        <v>801.5</v>
      </c>
      <c r="K332" s="3">
        <v>8.6999999999999993</v>
      </c>
      <c r="L332" s="3">
        <v>9.4</v>
      </c>
      <c r="M332" s="3">
        <v>10.1</v>
      </c>
      <c r="N332" s="3">
        <v>1</v>
      </c>
      <c r="O332" s="3">
        <v>4.6560601464968668E-3</v>
      </c>
      <c r="P332" s="3">
        <v>2.165079489157816E-2</v>
      </c>
      <c r="Q332" s="3">
        <v>0.29172258773559512</v>
      </c>
      <c r="R332" s="3">
        <v>798.70182770289307</v>
      </c>
      <c r="S332" s="3">
        <v>8.7463921848962087</v>
      </c>
      <c r="U332" s="3">
        <v>9.1197298314031059</v>
      </c>
      <c r="V332" s="3">
        <v>0.37333764650689716</v>
      </c>
      <c r="X332" s="3">
        <v>9.17680016598249</v>
      </c>
      <c r="Y332" s="3">
        <v>0.43040798108628131</v>
      </c>
      <c r="AA332" s="3">
        <v>1</v>
      </c>
      <c r="AB332" s="3">
        <v>0</v>
      </c>
      <c r="AC332" s="3">
        <v>0</v>
      </c>
    </row>
    <row r="333" spans="2:29" x14ac:dyDescent="0.2">
      <c r="B333" s="3" t="s">
        <v>679</v>
      </c>
      <c r="C333" s="3" t="s">
        <v>680</v>
      </c>
      <c r="D333" s="8">
        <v>42357</v>
      </c>
      <c r="E333" s="3">
        <v>1175</v>
      </c>
      <c r="F333" s="3" t="s">
        <v>25</v>
      </c>
      <c r="G333" s="3" t="s">
        <v>26</v>
      </c>
      <c r="H333" s="3">
        <v>773.4</v>
      </c>
      <c r="I333" s="3">
        <v>775.55</v>
      </c>
      <c r="J333" s="3">
        <v>777.7</v>
      </c>
      <c r="K333" s="3">
        <v>9.6999999999999993</v>
      </c>
      <c r="L333" s="3">
        <v>10.4</v>
      </c>
      <c r="M333" s="3">
        <v>11.1</v>
      </c>
      <c r="N333" s="3">
        <v>1</v>
      </c>
      <c r="O333" s="3">
        <v>4.6560601464968668E-3</v>
      </c>
      <c r="P333" s="3">
        <v>2.165079489157816E-2</v>
      </c>
      <c r="Q333" s="3">
        <v>0.29172258773559512</v>
      </c>
      <c r="R333" s="3">
        <v>775.51904989647278</v>
      </c>
      <c r="S333" s="3">
        <v>10.430937402772344</v>
      </c>
      <c r="U333" s="3">
        <v>10.214404129458217</v>
      </c>
      <c r="V333" s="3">
        <v>-0.21653327331412697</v>
      </c>
      <c r="X333" s="3">
        <v>10.205333599826517</v>
      </c>
      <c r="Y333" s="3">
        <v>-0.22560380294582671</v>
      </c>
      <c r="AA333" s="3">
        <v>1</v>
      </c>
      <c r="AB333" s="3">
        <v>0</v>
      </c>
      <c r="AC333" s="3">
        <v>0</v>
      </c>
    </row>
    <row r="334" spans="2:29" x14ac:dyDescent="0.2">
      <c r="B334" s="3" t="s">
        <v>681</v>
      </c>
      <c r="C334" s="3" t="s">
        <v>682</v>
      </c>
      <c r="D334" s="8">
        <v>42357</v>
      </c>
      <c r="E334" s="3">
        <v>1200</v>
      </c>
      <c r="F334" s="3" t="s">
        <v>25</v>
      </c>
      <c r="G334" s="3" t="s">
        <v>26</v>
      </c>
      <c r="H334" s="3">
        <v>749.6</v>
      </c>
      <c r="I334" s="3">
        <v>751.75</v>
      </c>
      <c r="J334" s="3">
        <v>753.9</v>
      </c>
      <c r="K334" s="3">
        <v>10.7</v>
      </c>
      <c r="L334" s="3">
        <v>11.45</v>
      </c>
      <c r="M334" s="3">
        <v>12.2</v>
      </c>
      <c r="N334" s="3">
        <v>1</v>
      </c>
      <c r="O334" s="3">
        <v>4.6560601464968668E-3</v>
      </c>
      <c r="P334" s="3">
        <v>2.165079489157816E-2</v>
      </c>
      <c r="Q334" s="3">
        <v>0.28748883885599674</v>
      </c>
      <c r="R334" s="3">
        <v>751.76511927292813</v>
      </c>
      <c r="S334" s="3">
        <v>11.544329803524207</v>
      </c>
      <c r="U334" s="3">
        <v>11.158218580398056</v>
      </c>
      <c r="V334" s="3">
        <v>-0.38611122312615009</v>
      </c>
      <c r="X334" s="3">
        <v>11.3343645171049</v>
      </c>
      <c r="Y334" s="3">
        <v>-0.20996528641930645</v>
      </c>
      <c r="AA334" s="3">
        <v>1</v>
      </c>
      <c r="AB334" s="3">
        <v>0</v>
      </c>
      <c r="AC334" s="3">
        <v>0</v>
      </c>
    </row>
    <row r="335" spans="2:29" x14ac:dyDescent="0.2">
      <c r="B335" s="3" t="s">
        <v>683</v>
      </c>
      <c r="C335" s="3" t="s">
        <v>684</v>
      </c>
      <c r="D335" s="8">
        <v>42357</v>
      </c>
      <c r="E335" s="3">
        <v>1225</v>
      </c>
      <c r="F335" s="3" t="s">
        <v>25</v>
      </c>
      <c r="G335" s="3" t="s">
        <v>26</v>
      </c>
      <c r="H335" s="3">
        <v>725.8</v>
      </c>
      <c r="I335" s="3">
        <v>728.15</v>
      </c>
      <c r="J335" s="3">
        <v>730.5</v>
      </c>
      <c r="K335" s="3">
        <v>11.9</v>
      </c>
      <c r="L335" s="3">
        <v>12.7</v>
      </c>
      <c r="M335" s="3">
        <v>13.5</v>
      </c>
      <c r="N335" s="3">
        <v>1</v>
      </c>
      <c r="O335" s="3">
        <v>4.6560601464968668E-3</v>
      </c>
      <c r="P335" s="3">
        <v>2.165079489157816E-2</v>
      </c>
      <c r="Q335" s="3">
        <v>0.28325508997639837</v>
      </c>
      <c r="R335" s="3">
        <v>728.1015692396777</v>
      </c>
      <c r="S335" s="3">
        <v>12.748102794569817</v>
      </c>
      <c r="U335" s="3">
        <v>12.520463925090667</v>
      </c>
      <c r="V335" s="3">
        <v>-0.22763886947915069</v>
      </c>
      <c r="X335" s="3">
        <v>12.558334062353282</v>
      </c>
      <c r="Y335" s="3">
        <v>-0.18976873221653534</v>
      </c>
      <c r="AA335" s="3">
        <v>1</v>
      </c>
      <c r="AB335" s="3">
        <v>0</v>
      </c>
      <c r="AC335" s="3">
        <v>0</v>
      </c>
    </row>
    <row r="336" spans="2:29" x14ac:dyDescent="0.2">
      <c r="B336" s="3" t="s">
        <v>685</v>
      </c>
      <c r="C336" s="3" t="s">
        <v>686</v>
      </c>
      <c r="D336" s="8">
        <v>42357</v>
      </c>
      <c r="E336" s="3">
        <v>1250</v>
      </c>
      <c r="F336" s="3" t="s">
        <v>25</v>
      </c>
      <c r="G336" s="3" t="s">
        <v>26</v>
      </c>
      <c r="H336" s="3">
        <v>702.2</v>
      </c>
      <c r="I336" s="3">
        <v>704.6</v>
      </c>
      <c r="J336" s="3">
        <v>707</v>
      </c>
      <c r="K336" s="3">
        <v>13.1</v>
      </c>
      <c r="L336" s="3">
        <v>13.95</v>
      </c>
      <c r="M336" s="3">
        <v>14.8</v>
      </c>
      <c r="N336" s="3">
        <v>1</v>
      </c>
      <c r="O336" s="3">
        <v>4.6560601464968668E-3</v>
      </c>
      <c r="P336" s="3">
        <v>2.165079489157816E-2</v>
      </c>
      <c r="Q336" s="3">
        <v>0.27900012264990182</v>
      </c>
      <c r="R336" s="3">
        <v>704.52956989571589</v>
      </c>
      <c r="S336" s="3">
        <v>14.043426474904734</v>
      </c>
      <c r="U336" s="3">
        <v>13.626051032949931</v>
      </c>
      <c r="V336" s="3">
        <v>-0.41737544195480325</v>
      </c>
      <c r="X336" s="3">
        <v>13.885900550410941</v>
      </c>
      <c r="Y336" s="3">
        <v>-0.15752592449379321</v>
      </c>
      <c r="AA336" s="3">
        <v>1</v>
      </c>
      <c r="AB336" s="3">
        <v>0</v>
      </c>
      <c r="AC336" s="3">
        <v>0</v>
      </c>
    </row>
    <row r="337" spans="2:29" x14ac:dyDescent="0.2">
      <c r="B337" s="3" t="s">
        <v>687</v>
      </c>
      <c r="C337" s="3" t="s">
        <v>688</v>
      </c>
      <c r="D337" s="8">
        <v>42357</v>
      </c>
      <c r="E337" s="3">
        <v>1275</v>
      </c>
      <c r="F337" s="3" t="s">
        <v>25</v>
      </c>
      <c r="G337" s="3" t="s">
        <v>26</v>
      </c>
      <c r="H337" s="3">
        <v>678.7</v>
      </c>
      <c r="I337" s="3">
        <v>681.15</v>
      </c>
      <c r="J337" s="3">
        <v>683.6</v>
      </c>
      <c r="K337" s="3">
        <v>14.5</v>
      </c>
      <c r="L337" s="3">
        <v>15.35</v>
      </c>
      <c r="M337" s="3">
        <v>16.2</v>
      </c>
      <c r="N337" s="3">
        <v>1</v>
      </c>
      <c r="O337" s="3">
        <v>4.6560601464968668E-3</v>
      </c>
      <c r="P337" s="3">
        <v>2.165079489157816E-2</v>
      </c>
      <c r="Q337" s="3">
        <v>0.27474515532340527</v>
      </c>
      <c r="R337" s="3">
        <v>681.0592396267964</v>
      </c>
      <c r="S337" s="3">
        <v>15.440419230281478</v>
      </c>
      <c r="U337" s="3">
        <v>15.354569895469467</v>
      </c>
      <c r="V337" s="3">
        <v>-8.5849334812010625E-2</v>
      </c>
      <c r="X337" s="3">
        <v>15.332249551078849</v>
      </c>
      <c r="Y337" s="3">
        <v>-0.10816967920262854</v>
      </c>
      <c r="AA337" s="3">
        <v>1</v>
      </c>
      <c r="AB337" s="3">
        <v>0</v>
      </c>
      <c r="AC337" s="3">
        <v>0</v>
      </c>
    </row>
    <row r="338" spans="2:29" x14ac:dyDescent="0.2">
      <c r="B338" s="3" t="s">
        <v>689</v>
      </c>
      <c r="C338" s="3" t="s">
        <v>690</v>
      </c>
      <c r="D338" s="8">
        <v>42357</v>
      </c>
      <c r="E338" s="3">
        <v>1300</v>
      </c>
      <c r="F338" s="3" t="s">
        <v>25</v>
      </c>
      <c r="G338" s="3" t="s">
        <v>26</v>
      </c>
      <c r="H338" s="3">
        <v>655.29999999999995</v>
      </c>
      <c r="I338" s="3">
        <v>657.8</v>
      </c>
      <c r="J338" s="3">
        <v>660.3</v>
      </c>
      <c r="K338" s="3">
        <v>15.9</v>
      </c>
      <c r="L338" s="3">
        <v>16.850000000000001</v>
      </c>
      <c r="M338" s="3">
        <v>17.8</v>
      </c>
      <c r="N338" s="3">
        <v>1</v>
      </c>
      <c r="O338" s="3">
        <v>4.6560601464968668E-3</v>
      </c>
      <c r="P338" s="3">
        <v>2.165079489157816E-2</v>
      </c>
      <c r="Q338" s="3">
        <v>0.27065809435607124</v>
      </c>
      <c r="R338" s="3">
        <v>657.73973870703321</v>
      </c>
      <c r="S338" s="3">
        <v>16.988241334814873</v>
      </c>
      <c r="U338" s="3">
        <v>16.738570744576805</v>
      </c>
      <c r="V338" s="3">
        <v>-0.24967059023806826</v>
      </c>
      <c r="X338" s="3">
        <v>16.905551300531361</v>
      </c>
      <c r="Y338" s="3">
        <v>-8.2690034283512404E-2</v>
      </c>
      <c r="AA338" s="3">
        <v>1</v>
      </c>
      <c r="AB338" s="3">
        <v>0</v>
      </c>
      <c r="AC338" s="3">
        <v>0</v>
      </c>
    </row>
    <row r="339" spans="2:29" x14ac:dyDescent="0.2">
      <c r="B339" s="3" t="s">
        <v>691</v>
      </c>
      <c r="C339" s="3" t="s">
        <v>692</v>
      </c>
      <c r="D339" s="8">
        <v>42357</v>
      </c>
      <c r="E339" s="3">
        <v>1325</v>
      </c>
      <c r="F339" s="3" t="s">
        <v>25</v>
      </c>
      <c r="G339" s="3" t="s">
        <v>26</v>
      </c>
      <c r="H339" s="3">
        <v>632.1</v>
      </c>
      <c r="I339" s="3">
        <v>634.6</v>
      </c>
      <c r="J339" s="3">
        <v>637.1</v>
      </c>
      <c r="K339" s="3">
        <v>17.600000000000001</v>
      </c>
      <c r="L339" s="3">
        <v>18.600000000000001</v>
      </c>
      <c r="M339" s="3">
        <v>19.600000000000001</v>
      </c>
      <c r="N339" s="3">
        <v>1</v>
      </c>
      <c r="O339" s="3">
        <v>4.6560601464968668E-3</v>
      </c>
      <c r="P339" s="3">
        <v>2.165079489157816E-2</v>
      </c>
      <c r="Q339" s="3">
        <v>0.26657103338873722</v>
      </c>
      <c r="R339" s="3">
        <v>634.5418925346064</v>
      </c>
      <c r="S339" s="3">
        <v>18.657718186684207</v>
      </c>
      <c r="U339" s="3">
        <v>18.502150261231236</v>
      </c>
      <c r="V339" s="3">
        <v>-0.15556792545297071</v>
      </c>
      <c r="X339" s="3">
        <v>18.607145115906818</v>
      </c>
      <c r="Y339" s="3">
        <v>-5.0573070777389262E-2</v>
      </c>
      <c r="AA339" s="3">
        <v>1</v>
      </c>
      <c r="AB339" s="3">
        <v>0</v>
      </c>
      <c r="AC339" s="3">
        <v>0</v>
      </c>
    </row>
    <row r="340" spans="2:29" x14ac:dyDescent="0.2">
      <c r="B340" s="3" t="s">
        <v>693</v>
      </c>
      <c r="C340" s="3" t="s">
        <v>694</v>
      </c>
      <c r="D340" s="8">
        <v>42357</v>
      </c>
      <c r="E340" s="3">
        <v>1350</v>
      </c>
      <c r="F340" s="3" t="s">
        <v>25</v>
      </c>
      <c r="G340" s="3" t="s">
        <v>26</v>
      </c>
      <c r="H340" s="3">
        <v>609</v>
      </c>
      <c r="I340" s="3">
        <v>611.54999999999995</v>
      </c>
      <c r="J340" s="3">
        <v>614.1</v>
      </c>
      <c r="K340" s="3">
        <v>19.399999999999999</v>
      </c>
      <c r="L340" s="3">
        <v>20.45</v>
      </c>
      <c r="M340" s="3">
        <v>21.5</v>
      </c>
      <c r="N340" s="3">
        <v>1</v>
      </c>
      <c r="O340" s="3">
        <v>4.6560601464968668E-3</v>
      </c>
      <c r="P340" s="3">
        <v>2.165079489157816E-2</v>
      </c>
      <c r="Q340" s="3">
        <v>0.26253345233971792</v>
      </c>
      <c r="R340" s="3">
        <v>611.4881805741818</v>
      </c>
      <c r="S340" s="3">
        <v>20.471329250555925</v>
      </c>
      <c r="U340" s="3">
        <v>20.253465958730544</v>
      </c>
      <c r="V340" s="3">
        <v>-0.21786329182538111</v>
      </c>
      <c r="X340" s="3">
        <v>20.434496309208143</v>
      </c>
      <c r="Y340" s="3">
        <v>-3.6832941347782366E-2</v>
      </c>
      <c r="AA340" s="3">
        <v>1</v>
      </c>
      <c r="AB340" s="3">
        <v>0</v>
      </c>
      <c r="AC340" s="3">
        <v>0</v>
      </c>
    </row>
    <row r="341" spans="2:29" x14ac:dyDescent="0.2">
      <c r="B341" s="3" t="s">
        <v>695</v>
      </c>
      <c r="C341" s="3" t="s">
        <v>696</v>
      </c>
      <c r="D341" s="8">
        <v>42357</v>
      </c>
      <c r="E341" s="3">
        <v>1375</v>
      </c>
      <c r="F341" s="3" t="s">
        <v>25</v>
      </c>
      <c r="G341" s="3" t="s">
        <v>26</v>
      </c>
      <c r="H341" s="3">
        <v>586</v>
      </c>
      <c r="I341" s="3">
        <v>588.6</v>
      </c>
      <c r="J341" s="3">
        <v>591.20000000000005</v>
      </c>
      <c r="K341" s="3">
        <v>21.3</v>
      </c>
      <c r="L341" s="3">
        <v>22.4</v>
      </c>
      <c r="M341" s="3">
        <v>23.5</v>
      </c>
      <c r="N341" s="3">
        <v>1</v>
      </c>
      <c r="O341" s="3">
        <v>4.6560601464968668E-3</v>
      </c>
      <c r="P341" s="3">
        <v>2.165079489157816E-2</v>
      </c>
      <c r="Q341" s="3">
        <v>0.25849587129069862</v>
      </c>
      <c r="R341" s="3">
        <v>588.57475470350187</v>
      </c>
      <c r="S341" s="3">
        <v>22.425226404172292</v>
      </c>
      <c r="U341" s="3">
        <v>21.962034504955568</v>
      </c>
      <c r="V341" s="3">
        <v>-0.46319189921672432</v>
      </c>
      <c r="X341" s="3">
        <v>22.398240218078868</v>
      </c>
      <c r="Y341" s="3">
        <v>-2.698618609342418E-2</v>
      </c>
      <c r="AA341" s="3">
        <v>1</v>
      </c>
      <c r="AB341" s="3">
        <v>0</v>
      </c>
      <c r="AC341" s="3">
        <v>0</v>
      </c>
    </row>
    <row r="342" spans="2:29" x14ac:dyDescent="0.2">
      <c r="B342" s="3" t="s">
        <v>697</v>
      </c>
      <c r="C342" s="3" t="s">
        <v>698</v>
      </c>
      <c r="D342" s="8">
        <v>42357</v>
      </c>
      <c r="E342" s="3">
        <v>1400</v>
      </c>
      <c r="F342" s="3" t="s">
        <v>25</v>
      </c>
      <c r="G342" s="3" t="s">
        <v>26</v>
      </c>
      <c r="H342" s="3">
        <v>563.29999999999995</v>
      </c>
      <c r="I342" s="3">
        <v>565.9</v>
      </c>
      <c r="J342" s="3">
        <v>568.5</v>
      </c>
      <c r="K342" s="3">
        <v>23.4</v>
      </c>
      <c r="L342" s="3">
        <v>24.55</v>
      </c>
      <c r="M342" s="3">
        <v>25.7</v>
      </c>
      <c r="N342" s="3">
        <v>1</v>
      </c>
      <c r="O342" s="3">
        <v>4.6560601464968668E-3</v>
      </c>
      <c r="P342" s="3">
        <v>2.165079489157816E-2</v>
      </c>
      <c r="Q342" s="3">
        <v>0.25456424722384596</v>
      </c>
      <c r="R342" s="3">
        <v>565.84640557573493</v>
      </c>
      <c r="S342" s="3">
        <v>24.564200300702112</v>
      </c>
      <c r="U342" s="3">
        <v>24.191760021714458</v>
      </c>
      <c r="V342" s="3">
        <v>-0.37244027898765353</v>
      </c>
      <c r="X342" s="3">
        <v>24.532984510864605</v>
      </c>
      <c r="Y342" s="3">
        <v>-3.1215789837506946E-2</v>
      </c>
      <c r="AA342" s="3">
        <v>1</v>
      </c>
      <c r="AB342" s="3">
        <v>0</v>
      </c>
      <c r="AC342" s="3">
        <v>0</v>
      </c>
    </row>
    <row r="343" spans="2:29" x14ac:dyDescent="0.2">
      <c r="B343" s="3" t="s">
        <v>699</v>
      </c>
      <c r="C343" s="3" t="s">
        <v>700</v>
      </c>
      <c r="D343" s="8">
        <v>42357</v>
      </c>
      <c r="E343" s="3">
        <v>1425</v>
      </c>
      <c r="F343" s="3" t="s">
        <v>25</v>
      </c>
      <c r="G343" s="3" t="s">
        <v>26</v>
      </c>
      <c r="H343" s="3">
        <v>540.70000000000005</v>
      </c>
      <c r="I343" s="3">
        <v>543.20000000000005</v>
      </c>
      <c r="J343" s="3">
        <v>545.70000000000005</v>
      </c>
      <c r="K343" s="3">
        <v>25.7</v>
      </c>
      <c r="L343" s="3">
        <v>26.95</v>
      </c>
      <c r="M343" s="3">
        <v>28.2</v>
      </c>
      <c r="N343" s="3">
        <v>1</v>
      </c>
      <c r="O343" s="3">
        <v>4.6560601464968668E-3</v>
      </c>
      <c r="P343" s="3">
        <v>2.165079489157816E-2</v>
      </c>
      <c r="Q343" s="3">
        <v>0.25063262315699331</v>
      </c>
      <c r="R343" s="3">
        <v>543.28239083953758</v>
      </c>
      <c r="S343" s="3">
        <v>26.867508588801371</v>
      </c>
      <c r="U343" s="3">
        <v>26.418502191353468</v>
      </c>
      <c r="V343" s="3">
        <v>-0.44900639744790283</v>
      </c>
      <c r="X343" s="3">
        <v>26.841010977388613</v>
      </c>
      <c r="Y343" s="3">
        <v>-2.6497611412757749E-2</v>
      </c>
      <c r="AA343" s="3">
        <v>1</v>
      </c>
      <c r="AB343" s="3">
        <v>0</v>
      </c>
      <c r="AC343" s="3">
        <v>0</v>
      </c>
    </row>
    <row r="344" spans="2:29" x14ac:dyDescent="0.2">
      <c r="B344" s="3" t="s">
        <v>701</v>
      </c>
      <c r="C344" s="3" t="s">
        <v>702</v>
      </c>
      <c r="D344" s="8">
        <v>42357</v>
      </c>
      <c r="E344" s="3">
        <v>1450</v>
      </c>
      <c r="F344" s="3" t="s">
        <v>25</v>
      </c>
      <c r="G344" s="3" t="s">
        <v>26</v>
      </c>
      <c r="H344" s="3">
        <v>518.4</v>
      </c>
      <c r="I344" s="3">
        <v>521</v>
      </c>
      <c r="J344" s="3">
        <v>523.6</v>
      </c>
      <c r="K344" s="3">
        <v>27.5</v>
      </c>
      <c r="L344" s="3">
        <v>29.1</v>
      </c>
      <c r="M344" s="3">
        <v>30.7</v>
      </c>
      <c r="N344" s="3">
        <v>1</v>
      </c>
      <c r="O344" s="3">
        <v>4.6560601464968668E-3</v>
      </c>
      <c r="P344" s="3">
        <v>2.165079489157816E-2</v>
      </c>
      <c r="Q344" s="3">
        <v>0.24666741781122858</v>
      </c>
      <c r="R344" s="3">
        <v>520.880889801801</v>
      </c>
      <c r="S344" s="3">
        <v>29.33333057536089</v>
      </c>
      <c r="U344" s="3">
        <v>29.295450782015223</v>
      </c>
      <c r="V344" s="3">
        <v>-3.7879793345666712E-2</v>
      </c>
      <c r="X344" s="3">
        <v>29.3518085411187</v>
      </c>
      <c r="Y344" s="3">
        <v>1.8477965757810466E-2</v>
      </c>
      <c r="AA344" s="3">
        <v>1</v>
      </c>
      <c r="AB344" s="3">
        <v>0</v>
      </c>
      <c r="AC344" s="3">
        <v>0</v>
      </c>
    </row>
    <row r="345" spans="2:29" x14ac:dyDescent="0.2">
      <c r="B345" s="3" t="s">
        <v>703</v>
      </c>
      <c r="C345" s="3" t="s">
        <v>704</v>
      </c>
      <c r="D345" s="8">
        <v>42357</v>
      </c>
      <c r="E345" s="3">
        <v>1475</v>
      </c>
      <c r="F345" s="3" t="s">
        <v>25</v>
      </c>
      <c r="G345" s="3" t="s">
        <v>26</v>
      </c>
      <c r="H345" s="3">
        <v>496.2</v>
      </c>
      <c r="I345" s="3">
        <v>498.8</v>
      </c>
      <c r="J345" s="3">
        <v>501.4</v>
      </c>
      <c r="K345" s="3">
        <v>30.2</v>
      </c>
      <c r="L345" s="3">
        <v>31.85</v>
      </c>
      <c r="M345" s="3">
        <v>33.5</v>
      </c>
      <c r="N345" s="3">
        <v>1</v>
      </c>
      <c r="O345" s="3">
        <v>4.6560601464968668E-3</v>
      </c>
      <c r="P345" s="3">
        <v>2.165079489157816E-2</v>
      </c>
      <c r="Q345" s="3">
        <v>0.24270221246546383</v>
      </c>
      <c r="R345" s="3">
        <v>498.66480480566474</v>
      </c>
      <c r="S345" s="3">
        <v>31.984568603520813</v>
      </c>
      <c r="U345" s="3">
        <v>31.502691519476343</v>
      </c>
      <c r="V345" s="3">
        <v>-0.48187708404446994</v>
      </c>
      <c r="X345" s="3">
        <v>32.041837676635318</v>
      </c>
      <c r="Y345" s="3">
        <v>5.7269073114504465E-2</v>
      </c>
      <c r="AA345" s="3">
        <v>1</v>
      </c>
      <c r="AB345" s="3">
        <v>0</v>
      </c>
      <c r="AC345" s="3">
        <v>0</v>
      </c>
    </row>
    <row r="346" spans="2:29" x14ac:dyDescent="0.2">
      <c r="B346" s="3" t="s">
        <v>705</v>
      </c>
      <c r="C346" s="3" t="s">
        <v>706</v>
      </c>
      <c r="D346" s="8">
        <v>42357</v>
      </c>
      <c r="E346" s="3">
        <v>1500</v>
      </c>
      <c r="F346" s="3" t="s">
        <v>25</v>
      </c>
      <c r="G346" s="3" t="s">
        <v>26</v>
      </c>
      <c r="H346" s="3">
        <v>474.2</v>
      </c>
      <c r="I346" s="3">
        <v>476.75</v>
      </c>
      <c r="J346" s="3">
        <v>479.3</v>
      </c>
      <c r="K346" s="3">
        <v>33.700000000000003</v>
      </c>
      <c r="L346" s="3">
        <v>35.049999999999997</v>
      </c>
      <c r="M346" s="3">
        <v>36.4</v>
      </c>
      <c r="N346" s="3">
        <v>1</v>
      </c>
      <c r="O346" s="3">
        <v>4.6560601464968668E-3</v>
      </c>
      <c r="P346" s="3">
        <v>2.165079489157816E-2</v>
      </c>
      <c r="Q346" s="3">
        <v>0.23885593718853826</v>
      </c>
      <c r="R346" s="3">
        <v>476.6976337627766</v>
      </c>
      <c r="S346" s="3">
        <v>34.884720584929141</v>
      </c>
      <c r="U346" s="3">
        <v>34.411819535847997</v>
      </c>
      <c r="V346" s="3">
        <v>-0.47290104908114472</v>
      </c>
      <c r="X346" s="3">
        <v>34.938057944922498</v>
      </c>
      <c r="Y346" s="3">
        <v>5.333735999335687E-2</v>
      </c>
      <c r="AA346" s="3">
        <v>1</v>
      </c>
      <c r="AB346" s="3">
        <v>0</v>
      </c>
      <c r="AC346" s="3">
        <v>0</v>
      </c>
    </row>
    <row r="347" spans="2:29" x14ac:dyDescent="0.2">
      <c r="B347" s="3" t="s">
        <v>707</v>
      </c>
      <c r="C347" s="3" t="s">
        <v>708</v>
      </c>
      <c r="D347" s="8">
        <v>42357</v>
      </c>
      <c r="E347" s="3">
        <v>1525</v>
      </c>
      <c r="F347" s="3" t="s">
        <v>25</v>
      </c>
      <c r="G347" s="3" t="s">
        <v>26</v>
      </c>
      <c r="H347" s="3">
        <v>452.4</v>
      </c>
      <c r="I347" s="3">
        <v>454.85</v>
      </c>
      <c r="J347" s="3">
        <v>457.3</v>
      </c>
      <c r="K347" s="3">
        <v>36.700000000000003</v>
      </c>
      <c r="L347" s="3">
        <v>38.1</v>
      </c>
      <c r="M347" s="3">
        <v>39.5</v>
      </c>
      <c r="N347" s="3">
        <v>1</v>
      </c>
      <c r="O347" s="3">
        <v>4.6560601464968668E-3</v>
      </c>
      <c r="P347" s="3">
        <v>2.165079489157816E-2</v>
      </c>
      <c r="Q347" s="3">
        <v>0.23500966191161268</v>
      </c>
      <c r="R347" s="3">
        <v>454.94775547910217</v>
      </c>
      <c r="S347" s="3">
        <v>38.002165325551118</v>
      </c>
      <c r="U347" s="3">
        <v>38.127068809231332</v>
      </c>
      <c r="V347" s="3">
        <v>0.12490348368021387</v>
      </c>
      <c r="X347" s="3">
        <v>38.070348437542314</v>
      </c>
      <c r="Y347" s="3">
        <v>6.8183111991196199E-2</v>
      </c>
      <c r="AA347" s="3">
        <v>1</v>
      </c>
      <c r="AB347" s="3">
        <v>0</v>
      </c>
      <c r="AC347" s="3">
        <v>0</v>
      </c>
    </row>
    <row r="348" spans="2:29" x14ac:dyDescent="0.2">
      <c r="B348" s="3" t="s">
        <v>709</v>
      </c>
      <c r="C348" s="3" t="s">
        <v>710</v>
      </c>
      <c r="D348" s="8">
        <v>42357</v>
      </c>
      <c r="E348" s="3">
        <v>1550</v>
      </c>
      <c r="F348" s="3" t="s">
        <v>25</v>
      </c>
      <c r="G348" s="3" t="s">
        <v>26</v>
      </c>
      <c r="H348" s="3">
        <v>430.8</v>
      </c>
      <c r="I348" s="3">
        <v>433.3</v>
      </c>
      <c r="J348" s="3">
        <v>435.8</v>
      </c>
      <c r="K348" s="3">
        <v>39.9</v>
      </c>
      <c r="L348" s="3">
        <v>41.4</v>
      </c>
      <c r="M348" s="3">
        <v>42.9</v>
      </c>
      <c r="N348" s="3">
        <v>1</v>
      </c>
      <c r="O348" s="3">
        <v>4.6560601464968668E-3</v>
      </c>
      <c r="P348" s="3">
        <v>2.165079489157816E-2</v>
      </c>
      <c r="Q348" s="3">
        <v>0.23108572940188571</v>
      </c>
      <c r="R348" s="3">
        <v>433.39244281613651</v>
      </c>
      <c r="S348" s="3">
        <v>41.314175686881754</v>
      </c>
      <c r="U348" s="3">
        <v>41.104151647303809</v>
      </c>
      <c r="V348" s="3">
        <v>-0.21002403957794513</v>
      </c>
      <c r="X348" s="3">
        <v>41.446773831133704</v>
      </c>
      <c r="Y348" s="3">
        <v>0.1325981442519506</v>
      </c>
      <c r="AA348" s="3">
        <v>1</v>
      </c>
      <c r="AB348" s="3">
        <v>0</v>
      </c>
      <c r="AC348" s="3">
        <v>0</v>
      </c>
    </row>
    <row r="349" spans="2:29" x14ac:dyDescent="0.2">
      <c r="B349" s="3" t="s">
        <v>711</v>
      </c>
      <c r="C349" s="3" t="s">
        <v>712</v>
      </c>
      <c r="D349" s="8">
        <v>42357</v>
      </c>
      <c r="E349" s="3">
        <v>1575</v>
      </c>
      <c r="F349" s="3" t="s">
        <v>25</v>
      </c>
      <c r="G349" s="3" t="s">
        <v>26</v>
      </c>
      <c r="H349" s="3">
        <v>409.5</v>
      </c>
      <c r="I349" s="3">
        <v>412</v>
      </c>
      <c r="J349" s="3">
        <v>414.5</v>
      </c>
      <c r="K349" s="3">
        <v>43.4</v>
      </c>
      <c r="L349" s="3">
        <v>44.95</v>
      </c>
      <c r="M349" s="3">
        <v>46.5</v>
      </c>
      <c r="N349" s="3">
        <v>1</v>
      </c>
      <c r="O349" s="3">
        <v>4.6560601464968668E-3</v>
      </c>
      <c r="P349" s="3">
        <v>2.165079489157816E-2</v>
      </c>
      <c r="Q349" s="3">
        <v>0.22716179689215871</v>
      </c>
      <c r="R349" s="3">
        <v>412.08045062300721</v>
      </c>
      <c r="S349" s="3">
        <v>44.869506518048865</v>
      </c>
      <c r="U349" s="3">
        <v>44.94662220612679</v>
      </c>
      <c r="V349" s="3">
        <v>7.711568807792446E-2</v>
      </c>
      <c r="X349" s="3">
        <v>45.077825787896749</v>
      </c>
      <c r="Y349" s="3">
        <v>0.20831926984788396</v>
      </c>
      <c r="AA349" s="3">
        <v>1</v>
      </c>
      <c r="AB349" s="3">
        <v>0</v>
      </c>
      <c r="AC349" s="3">
        <v>0</v>
      </c>
    </row>
    <row r="350" spans="2:29" x14ac:dyDescent="0.2">
      <c r="B350" s="3" t="s">
        <v>713</v>
      </c>
      <c r="C350" s="3" t="s">
        <v>714</v>
      </c>
      <c r="D350" s="8">
        <v>42357</v>
      </c>
      <c r="E350" s="3">
        <v>1600</v>
      </c>
      <c r="F350" s="3" t="s">
        <v>25</v>
      </c>
      <c r="G350" s="3" t="s">
        <v>26</v>
      </c>
      <c r="H350" s="3">
        <v>388.6</v>
      </c>
      <c r="I350" s="3">
        <v>391.25</v>
      </c>
      <c r="J350" s="3">
        <v>393.9</v>
      </c>
      <c r="K350" s="3">
        <v>47.2</v>
      </c>
      <c r="L350" s="3">
        <v>48.85</v>
      </c>
      <c r="M350" s="3">
        <v>50.5</v>
      </c>
      <c r="N350" s="3">
        <v>1</v>
      </c>
      <c r="O350" s="3">
        <v>4.6560601464968668E-3</v>
      </c>
      <c r="P350" s="3">
        <v>2.165079489157816E-2</v>
      </c>
      <c r="Q350" s="3">
        <v>0.22360114834607508</v>
      </c>
      <c r="R350" s="3">
        <v>391.22180544765342</v>
      </c>
      <c r="S350" s="3">
        <v>48.878184366991377</v>
      </c>
      <c r="U350" s="3">
        <v>48.865996258021937</v>
      </c>
      <c r="V350" s="3">
        <v>-1.2188108969439782E-2</v>
      </c>
      <c r="X350" s="3">
        <v>48.963429790780125</v>
      </c>
      <c r="Y350" s="3">
        <v>8.5245423788748553E-2</v>
      </c>
      <c r="AA350" s="3">
        <v>1</v>
      </c>
      <c r="AB350" s="3">
        <v>0</v>
      </c>
      <c r="AC350" s="3">
        <v>0</v>
      </c>
    </row>
    <row r="351" spans="2:29" x14ac:dyDescent="0.2">
      <c r="B351" s="3" t="s">
        <v>715</v>
      </c>
      <c r="C351" s="3" t="s">
        <v>716</v>
      </c>
      <c r="D351" s="8">
        <v>42357</v>
      </c>
      <c r="E351" s="3">
        <v>1625</v>
      </c>
      <c r="F351" s="3" t="s">
        <v>25</v>
      </c>
      <c r="G351" s="3" t="s">
        <v>26</v>
      </c>
      <c r="H351" s="3">
        <v>367.8</v>
      </c>
      <c r="I351" s="3">
        <v>370.3</v>
      </c>
      <c r="J351" s="3">
        <v>372.8</v>
      </c>
      <c r="K351" s="3">
        <v>51.4</v>
      </c>
      <c r="L351" s="3">
        <v>53.1</v>
      </c>
      <c r="M351" s="3">
        <v>54.8</v>
      </c>
      <c r="N351" s="3">
        <v>1</v>
      </c>
      <c r="O351" s="3">
        <v>4.6560601464968668E-3</v>
      </c>
      <c r="P351" s="3">
        <v>2.165079489157816E-2</v>
      </c>
      <c r="Q351" s="3">
        <v>0.21964373326397524</v>
      </c>
      <c r="R351" s="3">
        <v>370.43811294798411</v>
      </c>
      <c r="S351" s="3">
        <v>52.961814891618758</v>
      </c>
      <c r="U351" s="3">
        <v>52.865210132748189</v>
      </c>
      <c r="V351" s="3">
        <v>-9.6604758870569185E-2</v>
      </c>
      <c r="X351" s="3">
        <v>53.130764941603367</v>
      </c>
      <c r="Y351" s="3">
        <v>0.16895004998460905</v>
      </c>
      <c r="AA351" s="3">
        <v>1</v>
      </c>
      <c r="AB351" s="3">
        <v>0</v>
      </c>
      <c r="AC351" s="3">
        <v>0</v>
      </c>
    </row>
    <row r="352" spans="2:29" x14ac:dyDescent="0.2">
      <c r="B352" s="3" t="s">
        <v>717</v>
      </c>
      <c r="C352" s="3" t="s">
        <v>718</v>
      </c>
      <c r="D352" s="8">
        <v>42357</v>
      </c>
      <c r="E352" s="3">
        <v>1650</v>
      </c>
      <c r="F352" s="3" t="s">
        <v>25</v>
      </c>
      <c r="G352" s="3" t="s">
        <v>26</v>
      </c>
      <c r="H352" s="3">
        <v>347.4</v>
      </c>
      <c r="I352" s="3">
        <v>350</v>
      </c>
      <c r="J352" s="3">
        <v>352.6</v>
      </c>
      <c r="K352" s="3">
        <v>55.8</v>
      </c>
      <c r="L352" s="3">
        <v>57.6</v>
      </c>
      <c r="M352" s="3">
        <v>59.4</v>
      </c>
      <c r="N352" s="3">
        <v>1</v>
      </c>
      <c r="O352" s="3">
        <v>4.6560601464968668E-3</v>
      </c>
      <c r="P352" s="3">
        <v>2.165079489157816E-2</v>
      </c>
      <c r="Q352" s="3">
        <v>0.21595143043517362</v>
      </c>
      <c r="R352" s="3">
        <v>350.1045045005194</v>
      </c>
      <c r="S352" s="3">
        <v>57.495529468450229</v>
      </c>
      <c r="U352" s="3">
        <v>56.951680745630881</v>
      </c>
      <c r="V352" s="3">
        <v>-0.54384872281934804</v>
      </c>
      <c r="X352" s="3">
        <v>57.606361464191707</v>
      </c>
      <c r="Y352" s="3">
        <v>0.11083199574147784</v>
      </c>
      <c r="AA352" s="3">
        <v>1</v>
      </c>
      <c r="AB352" s="3">
        <v>0</v>
      </c>
      <c r="AC352" s="3">
        <v>0</v>
      </c>
    </row>
    <row r="353" spans="2:29" x14ac:dyDescent="0.2">
      <c r="B353" s="3" t="s">
        <v>719</v>
      </c>
      <c r="C353" s="3" t="s">
        <v>720</v>
      </c>
      <c r="D353" s="8">
        <v>42357</v>
      </c>
      <c r="E353" s="3">
        <v>1675</v>
      </c>
      <c r="F353" s="3" t="s">
        <v>25</v>
      </c>
      <c r="G353" s="3" t="s">
        <v>26</v>
      </c>
      <c r="H353" s="3">
        <v>327.7</v>
      </c>
      <c r="I353" s="3">
        <v>330.05</v>
      </c>
      <c r="J353" s="3">
        <v>332.4</v>
      </c>
      <c r="K353" s="3">
        <v>60.5</v>
      </c>
      <c r="L353" s="3">
        <v>62.25</v>
      </c>
      <c r="M353" s="3">
        <v>64</v>
      </c>
      <c r="N353" s="3">
        <v>1</v>
      </c>
      <c r="O353" s="3">
        <v>4.6560601464968668E-3</v>
      </c>
      <c r="P353" s="3">
        <v>2.165079489157816E-2</v>
      </c>
      <c r="Q353" s="3">
        <v>0.21213035244187145</v>
      </c>
      <c r="R353" s="3">
        <v>330.02090629090458</v>
      </c>
      <c r="S353" s="3">
        <v>62.279254283131763</v>
      </c>
      <c r="U353" s="3">
        <v>62.102336270824594</v>
      </c>
      <c r="V353" s="3">
        <v>-0.17691801230716919</v>
      </c>
      <c r="X353" s="3">
        <v>62.401712420129222</v>
      </c>
      <c r="Y353" s="3">
        <v>0.12245813699745867</v>
      </c>
      <c r="AA353" s="3">
        <v>1</v>
      </c>
      <c r="AB353" s="3">
        <v>0</v>
      </c>
      <c r="AC353" s="3">
        <v>0</v>
      </c>
    </row>
    <row r="354" spans="2:29" x14ac:dyDescent="0.2">
      <c r="B354" s="3" t="s">
        <v>721</v>
      </c>
      <c r="C354" s="3" t="s">
        <v>722</v>
      </c>
      <c r="D354" s="8">
        <v>42357</v>
      </c>
      <c r="E354" s="3">
        <v>1700</v>
      </c>
      <c r="F354" s="3" t="s">
        <v>25</v>
      </c>
      <c r="G354" s="3" t="s">
        <v>26</v>
      </c>
      <c r="H354" s="3">
        <v>307.7</v>
      </c>
      <c r="I354" s="3">
        <v>310.14999999999998</v>
      </c>
      <c r="J354" s="3">
        <v>312.60000000000002</v>
      </c>
      <c r="K354" s="3">
        <v>65.599999999999994</v>
      </c>
      <c r="L354" s="3">
        <v>67.400000000000006</v>
      </c>
      <c r="M354" s="3">
        <v>69.2</v>
      </c>
      <c r="N354" s="3">
        <v>1</v>
      </c>
      <c r="O354" s="3">
        <v>4.6560601464968668E-3</v>
      </c>
      <c r="P354" s="3">
        <v>2.165079489157816E-2</v>
      </c>
      <c r="Q354" s="3">
        <v>0.20820245552346356</v>
      </c>
      <c r="R354" s="3">
        <v>310.21248548962581</v>
      </c>
      <c r="S354" s="3">
        <v>67.338156506149403</v>
      </c>
      <c r="U354" s="3">
        <v>67.413131236436755</v>
      </c>
      <c r="V354" s="3">
        <v>7.4974730287351576E-2</v>
      </c>
      <c r="X354" s="3">
        <v>67.550976703211305</v>
      </c>
      <c r="Y354" s="3">
        <v>0.21282019706190169</v>
      </c>
      <c r="AA354" s="3">
        <v>1</v>
      </c>
      <c r="AB354" s="3">
        <v>0</v>
      </c>
      <c r="AC354" s="3">
        <v>0</v>
      </c>
    </row>
    <row r="355" spans="2:29" x14ac:dyDescent="0.2">
      <c r="B355" s="3" t="s">
        <v>723</v>
      </c>
      <c r="C355" s="3" t="s">
        <v>724</v>
      </c>
      <c r="D355" s="8">
        <v>42357</v>
      </c>
      <c r="E355" s="3">
        <v>1725</v>
      </c>
      <c r="F355" s="3" t="s">
        <v>25</v>
      </c>
      <c r="G355" s="3" t="s">
        <v>26</v>
      </c>
      <c r="H355" s="3">
        <v>288.3</v>
      </c>
      <c r="I355" s="3">
        <v>290.85000000000002</v>
      </c>
      <c r="J355" s="3">
        <v>293.39999999999998</v>
      </c>
      <c r="K355" s="3">
        <v>71</v>
      </c>
      <c r="L355" s="3">
        <v>72.900000000000006</v>
      </c>
      <c r="M355" s="3">
        <v>74.8</v>
      </c>
      <c r="N355" s="3">
        <v>1</v>
      </c>
      <c r="O355" s="3">
        <v>4.6560601464968668E-3</v>
      </c>
      <c r="P355" s="3">
        <v>2.165079489157816E-2</v>
      </c>
      <c r="Q355" s="3">
        <v>0.20444532277686744</v>
      </c>
      <c r="R355" s="3">
        <v>290.87825358037526</v>
      </c>
      <c r="S355" s="3">
        <v>72.871247621195096</v>
      </c>
      <c r="U355" s="3">
        <v>72.899713317006672</v>
      </c>
      <c r="V355" s="3">
        <v>2.8465695811576097E-2</v>
      </c>
      <c r="X355" s="3">
        <v>73.083350996332982</v>
      </c>
      <c r="Y355" s="3">
        <v>0.21210337513788602</v>
      </c>
      <c r="AA355" s="3">
        <v>1</v>
      </c>
      <c r="AB355" s="3">
        <v>0</v>
      </c>
      <c r="AC355" s="3">
        <v>0</v>
      </c>
    </row>
    <row r="356" spans="2:29" x14ac:dyDescent="0.2">
      <c r="B356" s="3" t="s">
        <v>725</v>
      </c>
      <c r="C356" s="3" t="s">
        <v>726</v>
      </c>
      <c r="D356" s="8">
        <v>42357</v>
      </c>
      <c r="E356" s="3">
        <v>1750</v>
      </c>
      <c r="F356" s="3" t="s">
        <v>25</v>
      </c>
      <c r="G356" s="3" t="s">
        <v>26</v>
      </c>
      <c r="H356" s="3">
        <v>269.39999999999998</v>
      </c>
      <c r="I356" s="3">
        <v>271.95</v>
      </c>
      <c r="J356" s="3">
        <v>274.5</v>
      </c>
      <c r="K356" s="3">
        <v>76.900000000000006</v>
      </c>
      <c r="L356" s="3">
        <v>78.8</v>
      </c>
      <c r="M356" s="3">
        <v>80.7</v>
      </c>
      <c r="N356" s="3">
        <v>1</v>
      </c>
      <c r="O356" s="3">
        <v>4.6560601464968668E-3</v>
      </c>
      <c r="P356" s="3">
        <v>2.165079489157816E-2</v>
      </c>
      <c r="Q356" s="3">
        <v>0.20069875443006036</v>
      </c>
      <c r="R356" s="3">
        <v>271.94479551703557</v>
      </c>
      <c r="S356" s="3">
        <v>78.805112582151764</v>
      </c>
      <c r="U356" s="3">
        <v>78.582678756688722</v>
      </c>
      <c r="V356" s="3">
        <v>-0.22243382546304247</v>
      </c>
      <c r="X356" s="3">
        <v>79.031833917914327</v>
      </c>
      <c r="Y356" s="3">
        <v>0.22672133576256215</v>
      </c>
      <c r="AA356" s="3">
        <v>1</v>
      </c>
      <c r="AB356" s="3">
        <v>0</v>
      </c>
      <c r="AC356" s="3">
        <v>0</v>
      </c>
    </row>
    <row r="357" spans="2:29" x14ac:dyDescent="0.2">
      <c r="B357" s="3" t="s">
        <v>727</v>
      </c>
      <c r="C357" s="3" t="s">
        <v>728</v>
      </c>
      <c r="D357" s="8">
        <v>42357</v>
      </c>
      <c r="E357" s="3">
        <v>1775</v>
      </c>
      <c r="F357" s="3" t="s">
        <v>25</v>
      </c>
      <c r="G357" s="3" t="s">
        <v>26</v>
      </c>
      <c r="H357" s="3">
        <v>250.9</v>
      </c>
      <c r="I357" s="3">
        <v>253.4</v>
      </c>
      <c r="J357" s="3">
        <v>255.9</v>
      </c>
      <c r="K357" s="3">
        <v>83.2</v>
      </c>
      <c r="L357" s="3">
        <v>85.1</v>
      </c>
      <c r="M357" s="3">
        <v>87</v>
      </c>
      <c r="N357" s="3">
        <v>1</v>
      </c>
      <c r="O357" s="3">
        <v>4.6560601464968668E-3</v>
      </c>
      <c r="P357" s="3">
        <v>2.165079489157816E-2</v>
      </c>
      <c r="Q357" s="3">
        <v>0.19688997956216298</v>
      </c>
      <c r="R357" s="3">
        <v>253.38618225688811</v>
      </c>
      <c r="S357" s="3">
        <v>85.113822346300708</v>
      </c>
      <c r="U357" s="3">
        <v>85.514904861022529</v>
      </c>
      <c r="V357" s="3">
        <v>0.40108251472182133</v>
      </c>
      <c r="X357" s="3">
        <v>85.382235898798328</v>
      </c>
      <c r="Y357" s="3">
        <v>0.26841355249761989</v>
      </c>
      <c r="AA357" s="3">
        <v>1</v>
      </c>
      <c r="AB357" s="3">
        <v>0</v>
      </c>
      <c r="AC357" s="3">
        <v>0</v>
      </c>
    </row>
    <row r="358" spans="2:29" x14ac:dyDescent="0.2">
      <c r="B358" s="3" t="s">
        <v>729</v>
      </c>
      <c r="C358" s="3" t="s">
        <v>730</v>
      </c>
      <c r="D358" s="8">
        <v>42357</v>
      </c>
      <c r="E358" s="3">
        <v>1800</v>
      </c>
      <c r="F358" s="3" t="s">
        <v>25</v>
      </c>
      <c r="G358" s="3" t="s">
        <v>26</v>
      </c>
      <c r="H358" s="3">
        <v>233.1</v>
      </c>
      <c r="I358" s="3">
        <v>235.4</v>
      </c>
      <c r="J358" s="3">
        <v>237.7</v>
      </c>
      <c r="K358" s="3">
        <v>91</v>
      </c>
      <c r="L358" s="3">
        <v>91.8</v>
      </c>
      <c r="M358" s="3">
        <v>92.6</v>
      </c>
      <c r="N358" s="3">
        <v>1</v>
      </c>
      <c r="O358" s="3">
        <v>4.6560601464968668E-3</v>
      </c>
      <c r="P358" s="3">
        <v>2.165079489157816E-2</v>
      </c>
      <c r="Q358" s="3">
        <v>0.19312465660006467</v>
      </c>
      <c r="R358" s="3">
        <v>235.30251430963631</v>
      </c>
      <c r="S358" s="3">
        <v>91.897477423345549</v>
      </c>
      <c r="U358" s="3">
        <v>91.682729844446129</v>
      </c>
      <c r="V358" s="3">
        <v>-0.21474757889941998</v>
      </c>
      <c r="X358" s="3">
        <v>92.178719568667361</v>
      </c>
      <c r="Y358" s="3">
        <v>0.28124214532181213</v>
      </c>
      <c r="AA358" s="3">
        <v>1</v>
      </c>
      <c r="AB358" s="3">
        <v>0</v>
      </c>
      <c r="AC358" s="3">
        <v>0</v>
      </c>
    </row>
    <row r="359" spans="2:29" x14ac:dyDescent="0.2">
      <c r="B359" s="3" t="s">
        <v>731</v>
      </c>
      <c r="C359" s="3" t="s">
        <v>732</v>
      </c>
      <c r="D359" s="8">
        <v>42357</v>
      </c>
      <c r="E359" s="3">
        <v>1825</v>
      </c>
      <c r="F359" s="3" t="s">
        <v>25</v>
      </c>
      <c r="G359" s="3" t="s">
        <v>26</v>
      </c>
      <c r="H359" s="3">
        <v>215.5</v>
      </c>
      <c r="I359" s="3">
        <v>217.75</v>
      </c>
      <c r="J359" s="3">
        <v>220</v>
      </c>
      <c r="K359" s="3">
        <v>98</v>
      </c>
      <c r="L359" s="3">
        <v>99.8</v>
      </c>
      <c r="M359" s="3">
        <v>101.6</v>
      </c>
      <c r="N359" s="3">
        <v>1</v>
      </c>
      <c r="O359" s="3">
        <v>4.6560601464968668E-3</v>
      </c>
      <c r="P359" s="3">
        <v>2.165079489157816E-2</v>
      </c>
      <c r="Q359" s="3">
        <v>0.18982533266185134</v>
      </c>
      <c r="R359" s="3">
        <v>218.04455091845603</v>
      </c>
      <c r="S359" s="3">
        <v>99.506837056461677</v>
      </c>
      <c r="U359" s="3">
        <v>99.176882942178992</v>
      </c>
      <c r="V359" s="3">
        <v>-0.3299541142826854</v>
      </c>
      <c r="X359" s="3">
        <v>99.465739518993018</v>
      </c>
      <c r="Y359" s="3">
        <v>-4.1097537468658629E-2</v>
      </c>
      <c r="AA359" s="3">
        <v>1</v>
      </c>
      <c r="AB359" s="3">
        <v>0</v>
      </c>
      <c r="AC359" s="3">
        <v>0</v>
      </c>
    </row>
    <row r="360" spans="2:29" x14ac:dyDescent="0.2">
      <c r="B360" s="3" t="s">
        <v>733</v>
      </c>
      <c r="C360" s="3" t="s">
        <v>734</v>
      </c>
      <c r="D360" s="8">
        <v>42357</v>
      </c>
      <c r="E360" s="3">
        <v>1850</v>
      </c>
      <c r="F360" s="3" t="s">
        <v>25</v>
      </c>
      <c r="G360" s="3" t="s">
        <v>26</v>
      </c>
      <c r="H360" s="3">
        <v>198.1</v>
      </c>
      <c r="I360" s="3">
        <v>200.5</v>
      </c>
      <c r="J360" s="3">
        <v>202.9</v>
      </c>
      <c r="K360" s="3">
        <v>104.8</v>
      </c>
      <c r="L360" s="3">
        <v>107.1</v>
      </c>
      <c r="M360" s="3">
        <v>109.4</v>
      </c>
      <c r="N360" s="3">
        <v>1</v>
      </c>
      <c r="O360" s="3">
        <v>4.6560601464968668E-3</v>
      </c>
      <c r="P360" s="3">
        <v>2.165079489157816E-2</v>
      </c>
      <c r="Q360" s="3">
        <v>0.18566139024004208</v>
      </c>
      <c r="R360" s="3">
        <v>200.63510186631447</v>
      </c>
      <c r="S360" s="3">
        <v>106.96471102861608</v>
      </c>
      <c r="U360" s="3">
        <v>107.00279988552981</v>
      </c>
      <c r="V360" s="3">
        <v>3.8088856913731206E-2</v>
      </c>
      <c r="X360" s="3">
        <v>107.27904734789847</v>
      </c>
      <c r="Y360" s="3">
        <v>0.31433631928238981</v>
      </c>
      <c r="AA360" s="3">
        <v>1</v>
      </c>
      <c r="AB360" s="3">
        <v>0</v>
      </c>
      <c r="AC360" s="3">
        <v>0</v>
      </c>
    </row>
    <row r="361" spans="2:29" x14ac:dyDescent="0.2">
      <c r="B361" s="3" t="s">
        <v>735</v>
      </c>
      <c r="C361" s="3" t="s">
        <v>736</v>
      </c>
      <c r="D361" s="8">
        <v>42357</v>
      </c>
      <c r="E361" s="3">
        <v>1875</v>
      </c>
      <c r="F361" s="3" t="s">
        <v>25</v>
      </c>
      <c r="G361" s="3" t="s">
        <v>26</v>
      </c>
      <c r="H361" s="3">
        <v>181.6</v>
      </c>
      <c r="I361" s="3">
        <v>184.1</v>
      </c>
      <c r="J361" s="3">
        <v>186.6</v>
      </c>
      <c r="K361" s="3">
        <v>113</v>
      </c>
      <c r="L361" s="3">
        <v>115.35</v>
      </c>
      <c r="M361" s="3">
        <v>117.7</v>
      </c>
      <c r="N361" s="3">
        <v>1</v>
      </c>
      <c r="O361" s="3">
        <v>4.6560601464968668E-3</v>
      </c>
      <c r="P361" s="3">
        <v>2.165079489157816E-2</v>
      </c>
      <c r="Q361" s="3">
        <v>0.18198067403993889</v>
      </c>
      <c r="R361" s="3">
        <v>184.12652974211107</v>
      </c>
      <c r="S361" s="3">
        <v>115.32346192870921</v>
      </c>
      <c r="U361" s="3">
        <v>115.19815904151338</v>
      </c>
      <c r="V361" s="3">
        <v>-0.12530288719582927</v>
      </c>
      <c r="X361" s="3">
        <v>115.63882867481659</v>
      </c>
      <c r="Y361" s="3">
        <v>0.31536674610738658</v>
      </c>
      <c r="AA361" s="3">
        <v>1</v>
      </c>
      <c r="AB361" s="3">
        <v>0</v>
      </c>
      <c r="AC361" s="3">
        <v>0</v>
      </c>
    </row>
    <row r="362" spans="2:29" x14ac:dyDescent="0.2">
      <c r="B362" s="3" t="s">
        <v>737</v>
      </c>
      <c r="C362" s="3" t="s">
        <v>738</v>
      </c>
      <c r="D362" s="8">
        <v>42357</v>
      </c>
      <c r="E362" s="3">
        <v>1900</v>
      </c>
      <c r="F362" s="3" t="s">
        <v>25</v>
      </c>
      <c r="G362" s="3" t="s">
        <v>26</v>
      </c>
      <c r="H362" s="3">
        <v>165.8</v>
      </c>
      <c r="I362" s="3">
        <v>168.15</v>
      </c>
      <c r="J362" s="3">
        <v>170.5</v>
      </c>
      <c r="K362" s="3">
        <v>121.9</v>
      </c>
      <c r="L362" s="3">
        <v>123.8</v>
      </c>
      <c r="M362" s="3">
        <v>125.7</v>
      </c>
      <c r="N362" s="3">
        <v>1</v>
      </c>
      <c r="O362" s="3">
        <v>4.6560601464968668E-3</v>
      </c>
      <c r="P362" s="3">
        <v>2.165079489157816E-2</v>
      </c>
      <c r="Q362" s="3">
        <v>0.17800073333179062</v>
      </c>
      <c r="R362" s="3">
        <v>167.94231325445708</v>
      </c>
      <c r="S362" s="3">
        <v>124.00656846535162</v>
      </c>
      <c r="U362" s="3">
        <v>124.82744444769088</v>
      </c>
      <c r="V362" s="3">
        <v>0.82087598233925974</v>
      </c>
      <c r="X362" s="3">
        <v>124.59890549214794</v>
      </c>
      <c r="Y362" s="3">
        <v>0.59233702679631506</v>
      </c>
      <c r="AA362" s="3">
        <v>1</v>
      </c>
      <c r="AB362" s="3">
        <v>0</v>
      </c>
      <c r="AC362" s="3">
        <v>0</v>
      </c>
    </row>
    <row r="363" spans="2:29" x14ac:dyDescent="0.2">
      <c r="B363" s="3" t="s">
        <v>739</v>
      </c>
      <c r="C363" s="3" t="s">
        <v>740</v>
      </c>
      <c r="D363" s="8">
        <v>42357</v>
      </c>
      <c r="E363" s="3">
        <v>1925</v>
      </c>
      <c r="F363" s="3" t="s">
        <v>25</v>
      </c>
      <c r="G363" s="3" t="s">
        <v>26</v>
      </c>
      <c r="H363" s="3">
        <v>150.69999999999999</v>
      </c>
      <c r="I363" s="3">
        <v>152.19999999999999</v>
      </c>
      <c r="J363" s="3">
        <v>153.69999999999999</v>
      </c>
      <c r="K363" s="3">
        <v>131.19999999999999</v>
      </c>
      <c r="L363" s="3">
        <v>132.9</v>
      </c>
      <c r="M363" s="3">
        <v>134.6</v>
      </c>
      <c r="N363" s="3">
        <v>1</v>
      </c>
      <c r="O363" s="3">
        <v>4.6560601464968668E-3</v>
      </c>
      <c r="P363" s="3">
        <v>2.165079489157816E-2</v>
      </c>
      <c r="Q363" s="3">
        <v>0.17369685148606442</v>
      </c>
      <c r="R363" s="3">
        <v>152.08423016403708</v>
      </c>
      <c r="S363" s="3">
        <v>133.01580839922769</v>
      </c>
      <c r="U363" s="3">
        <v>133.88237769022612</v>
      </c>
      <c r="V363" s="3">
        <v>0.86656929099842728</v>
      </c>
      <c r="X363" s="3">
        <v>134.20900514620516</v>
      </c>
      <c r="Y363" s="3">
        <v>1.1931967469774634</v>
      </c>
      <c r="AA363" s="3">
        <v>1</v>
      </c>
      <c r="AB363" s="3">
        <v>0</v>
      </c>
      <c r="AC363" s="3">
        <v>0</v>
      </c>
    </row>
    <row r="364" spans="2:29" x14ac:dyDescent="0.2">
      <c r="B364" s="3" t="s">
        <v>741</v>
      </c>
      <c r="C364" s="3" t="s">
        <v>742</v>
      </c>
      <c r="D364" s="8">
        <v>42357</v>
      </c>
      <c r="E364" s="3">
        <v>1950</v>
      </c>
      <c r="F364" s="3" t="s">
        <v>25</v>
      </c>
      <c r="G364" s="3" t="s">
        <v>26</v>
      </c>
      <c r="H364" s="3">
        <v>136</v>
      </c>
      <c r="I364" s="3">
        <v>137.4</v>
      </c>
      <c r="J364" s="3">
        <v>138.80000000000001</v>
      </c>
      <c r="K364" s="3">
        <v>141.30000000000001</v>
      </c>
      <c r="L364" s="3">
        <v>142.80000000000001</v>
      </c>
      <c r="M364" s="3">
        <v>144.30000000000001</v>
      </c>
      <c r="N364" s="3">
        <v>1</v>
      </c>
      <c r="O364" s="3">
        <v>4.6560601464968668E-3</v>
      </c>
      <c r="P364" s="3">
        <v>2.165079489157816E-2</v>
      </c>
      <c r="Q364" s="3">
        <v>0.16982254559068435</v>
      </c>
      <c r="R364" s="3">
        <v>137.20055095131272</v>
      </c>
      <c r="S364" s="3">
        <v>142.99945221079975</v>
      </c>
      <c r="U364" s="3">
        <v>144.43463131663944</v>
      </c>
      <c r="V364" s="3">
        <v>1.4351791058396941</v>
      </c>
      <c r="X364" s="3">
        <v>144.49387009397643</v>
      </c>
      <c r="Y364" s="3">
        <v>1.4944178831766806</v>
      </c>
      <c r="AA364" s="3">
        <v>1</v>
      </c>
      <c r="AB364" s="3">
        <v>1</v>
      </c>
      <c r="AC364" s="3">
        <v>1</v>
      </c>
    </row>
    <row r="365" spans="2:29" x14ac:dyDescent="0.2">
      <c r="B365" s="3" t="s">
        <v>743</v>
      </c>
      <c r="C365" s="3" t="s">
        <v>744</v>
      </c>
      <c r="D365" s="8">
        <v>42357</v>
      </c>
      <c r="E365" s="3">
        <v>1975</v>
      </c>
      <c r="F365" s="3" t="s">
        <v>25</v>
      </c>
      <c r="G365" s="3" t="s">
        <v>26</v>
      </c>
      <c r="H365" s="3">
        <v>121.9</v>
      </c>
      <c r="I365" s="3">
        <v>123.3</v>
      </c>
      <c r="J365" s="3">
        <v>124.7</v>
      </c>
      <c r="K365" s="3">
        <v>152.30000000000001</v>
      </c>
      <c r="L365" s="3">
        <v>153.75</v>
      </c>
      <c r="M365" s="3">
        <v>155.19999999999999</v>
      </c>
      <c r="N365" s="3">
        <v>1</v>
      </c>
      <c r="O365" s="3">
        <v>4.6560601464968668E-3</v>
      </c>
      <c r="P365" s="3">
        <v>2.165079489157816E-2</v>
      </c>
      <c r="Q365" s="3">
        <v>0.16620584217203604</v>
      </c>
      <c r="R365" s="3">
        <v>123.19187226982058</v>
      </c>
      <c r="S365" s="3">
        <v>153.85809655360413</v>
      </c>
      <c r="U365" s="3">
        <v>155.50661938530169</v>
      </c>
      <c r="V365" s="3">
        <v>1.6485228316975622</v>
      </c>
      <c r="X365" s="3">
        <v>155.46599258292511</v>
      </c>
      <c r="Y365" s="3">
        <v>1.6078960293209832</v>
      </c>
      <c r="AA365" s="3">
        <v>1</v>
      </c>
      <c r="AB365" s="3">
        <v>1</v>
      </c>
      <c r="AC365" s="3">
        <v>1</v>
      </c>
    </row>
    <row r="366" spans="2:29" x14ac:dyDescent="0.2">
      <c r="B366" s="3" t="s">
        <v>745</v>
      </c>
      <c r="C366" s="3" t="s">
        <v>746</v>
      </c>
      <c r="D366" s="8">
        <v>42357</v>
      </c>
      <c r="E366" s="3">
        <v>2000</v>
      </c>
      <c r="F366" s="3" t="s">
        <v>25</v>
      </c>
      <c r="G366" s="3" t="s">
        <v>26</v>
      </c>
      <c r="H366" s="3">
        <v>108.4</v>
      </c>
      <c r="I366" s="3">
        <v>109.85</v>
      </c>
      <c r="J366" s="3">
        <v>111.3</v>
      </c>
      <c r="K366" s="3">
        <v>163.80000000000001</v>
      </c>
      <c r="L366" s="3">
        <v>165.3</v>
      </c>
      <c r="M366" s="3">
        <v>166.8</v>
      </c>
      <c r="N366" s="3">
        <v>1</v>
      </c>
      <c r="O366" s="3">
        <v>4.6560601464968668E-3</v>
      </c>
      <c r="P366" s="3">
        <v>2.165079489157816E-2</v>
      </c>
      <c r="Q366" s="3">
        <v>0.16250344105643039</v>
      </c>
      <c r="R366" s="3">
        <v>109.80822511855195</v>
      </c>
      <c r="S366" s="3">
        <v>165.34177242663191</v>
      </c>
      <c r="U366" s="3">
        <v>167.14558971244765</v>
      </c>
      <c r="V366" s="3">
        <v>1.8038172858157395</v>
      </c>
      <c r="X366" s="3">
        <v>167.1916117311041</v>
      </c>
      <c r="Y366" s="3">
        <v>1.8498393044721979</v>
      </c>
      <c r="AA366" s="3">
        <v>1</v>
      </c>
      <c r="AB366" s="3">
        <v>1</v>
      </c>
      <c r="AC366" s="3">
        <v>1</v>
      </c>
    </row>
    <row r="367" spans="2:29" x14ac:dyDescent="0.2">
      <c r="B367" s="3" t="s">
        <v>747</v>
      </c>
      <c r="C367" s="3" t="s">
        <v>748</v>
      </c>
      <c r="D367" s="8">
        <v>42357</v>
      </c>
      <c r="E367" s="3">
        <v>2025</v>
      </c>
      <c r="F367" s="3" t="s">
        <v>25</v>
      </c>
      <c r="G367" s="3" t="s">
        <v>26</v>
      </c>
      <c r="H367" s="3">
        <v>95.9</v>
      </c>
      <c r="I367" s="3">
        <v>97.3</v>
      </c>
      <c r="J367" s="3">
        <v>98.7</v>
      </c>
      <c r="K367" s="3">
        <v>176.2</v>
      </c>
      <c r="L367" s="3">
        <v>177.75</v>
      </c>
      <c r="M367" s="3">
        <v>179.3</v>
      </c>
      <c r="N367" s="3">
        <v>1</v>
      </c>
      <c r="O367" s="3">
        <v>4.6560601464968668E-3</v>
      </c>
      <c r="P367" s="3">
        <v>2.165079489157816E-2</v>
      </c>
      <c r="Q367" s="3">
        <v>0.15901393730334065</v>
      </c>
      <c r="R367" s="3">
        <v>97.324503199117316</v>
      </c>
      <c r="S367" s="3">
        <v>177.72537353149369</v>
      </c>
      <c r="U367" s="3">
        <v>179.40176553474731</v>
      </c>
      <c r="V367" s="3">
        <v>1.6763920032536248</v>
      </c>
      <c r="X367" s="3">
        <v>179.67778858325067</v>
      </c>
      <c r="Y367" s="3">
        <v>1.9524150517569865</v>
      </c>
      <c r="AA367" s="3">
        <v>1</v>
      </c>
      <c r="AB367" s="3">
        <v>1</v>
      </c>
      <c r="AC367" s="3">
        <v>1</v>
      </c>
    </row>
    <row r="368" spans="2:29" x14ac:dyDescent="0.2">
      <c r="B368" s="3" t="s">
        <v>749</v>
      </c>
      <c r="C368" s="3" t="s">
        <v>750</v>
      </c>
      <c r="D368" s="8">
        <v>42357</v>
      </c>
      <c r="E368" s="3">
        <v>2050</v>
      </c>
      <c r="F368" s="3" t="s">
        <v>25</v>
      </c>
      <c r="G368" s="3" t="s">
        <v>26</v>
      </c>
      <c r="H368" s="3">
        <v>84.5</v>
      </c>
      <c r="I368" s="3">
        <v>85.75</v>
      </c>
      <c r="J368" s="3">
        <v>87</v>
      </c>
      <c r="K368" s="3">
        <v>189.3</v>
      </c>
      <c r="L368" s="3">
        <v>190.65</v>
      </c>
      <c r="M368" s="3">
        <v>192</v>
      </c>
      <c r="N368" s="3">
        <v>1</v>
      </c>
      <c r="O368" s="3">
        <v>4.6560601464968668E-3</v>
      </c>
      <c r="P368" s="3">
        <v>2.165079489157816E-2</v>
      </c>
      <c r="Q368" s="3">
        <v>0.15549383723059051</v>
      </c>
      <c r="R368" s="3">
        <v>85.566527740154356</v>
      </c>
      <c r="S368" s="3">
        <v>190.83472109682725</v>
      </c>
      <c r="U368" s="3">
        <v>192.32734297274811</v>
      </c>
      <c r="V368" s="3">
        <v>1.4926218759208609</v>
      </c>
      <c r="X368" s="3">
        <v>192.95301876649302</v>
      </c>
      <c r="Y368" s="3">
        <v>2.1182976696657647</v>
      </c>
      <c r="AA368" s="3">
        <v>1</v>
      </c>
      <c r="AB368" s="3">
        <v>1</v>
      </c>
      <c r="AC368" s="3">
        <v>1</v>
      </c>
    </row>
    <row r="369" spans="2:29" x14ac:dyDescent="0.2">
      <c r="B369" s="3" t="s">
        <v>751</v>
      </c>
      <c r="C369" s="3" t="s">
        <v>752</v>
      </c>
      <c r="D369" s="8">
        <v>42357</v>
      </c>
      <c r="E369" s="3">
        <v>2075</v>
      </c>
      <c r="F369" s="3" t="s">
        <v>25</v>
      </c>
      <c r="G369" s="3" t="s">
        <v>26</v>
      </c>
      <c r="H369" s="3">
        <v>73.5</v>
      </c>
      <c r="I369" s="3">
        <v>74.75</v>
      </c>
      <c r="J369" s="3">
        <v>76</v>
      </c>
      <c r="K369" s="3">
        <v>203.3</v>
      </c>
      <c r="L369" s="3">
        <v>204.9</v>
      </c>
      <c r="M369" s="3">
        <v>206.5</v>
      </c>
      <c r="N369" s="3">
        <v>1</v>
      </c>
      <c r="O369" s="3">
        <v>4.6560601464968668E-3</v>
      </c>
      <c r="P369" s="3">
        <v>2.165079489157816E-2</v>
      </c>
      <c r="Q369" s="3">
        <v>0.15219563983354087</v>
      </c>
      <c r="R369" s="3">
        <v>74.757242349627063</v>
      </c>
      <c r="S369" s="3">
        <v>204.89275873059637</v>
      </c>
      <c r="U369" s="3">
        <v>206.78484167169694</v>
      </c>
      <c r="V369" s="3">
        <v>1.8920829411005684</v>
      </c>
      <c r="X369" s="3">
        <v>207.02540041686871</v>
      </c>
      <c r="Y369" s="3">
        <v>2.1326416862723363</v>
      </c>
      <c r="AA369" s="3">
        <v>1</v>
      </c>
      <c r="AB369" s="3">
        <v>1</v>
      </c>
      <c r="AC369" s="3">
        <v>1</v>
      </c>
    </row>
    <row r="370" spans="2:29" x14ac:dyDescent="0.2">
      <c r="B370" s="3" t="s">
        <v>753</v>
      </c>
      <c r="C370" s="3" t="s">
        <v>754</v>
      </c>
      <c r="D370" s="8">
        <v>42357</v>
      </c>
      <c r="E370" s="3">
        <v>2100</v>
      </c>
      <c r="F370" s="3" t="s">
        <v>25</v>
      </c>
      <c r="G370" s="3" t="s">
        <v>26</v>
      </c>
      <c r="H370" s="3">
        <v>63.5</v>
      </c>
      <c r="I370" s="3">
        <v>64.7</v>
      </c>
      <c r="J370" s="3">
        <v>65.900000000000006</v>
      </c>
      <c r="K370" s="3">
        <v>218.2</v>
      </c>
      <c r="L370" s="3">
        <v>219.8</v>
      </c>
      <c r="M370" s="3">
        <v>221.4</v>
      </c>
      <c r="N370" s="3">
        <v>1</v>
      </c>
      <c r="O370" s="3">
        <v>4.6560601464968668E-3</v>
      </c>
      <c r="P370" s="3">
        <v>2.165079489157816E-2</v>
      </c>
      <c r="Q370" s="3">
        <v>0.14891857622214216</v>
      </c>
      <c r="R370" s="3">
        <v>64.748545100647675</v>
      </c>
      <c r="S370" s="3">
        <v>219.75138450591339</v>
      </c>
      <c r="U370" s="3">
        <v>221.15368705806122</v>
      </c>
      <c r="V370" s="3">
        <v>1.4023025521478303</v>
      </c>
      <c r="X370" s="3">
        <v>221.93166379110178</v>
      </c>
      <c r="Y370" s="3">
        <v>2.1802792851883908</v>
      </c>
      <c r="AA370" s="3">
        <v>1</v>
      </c>
      <c r="AB370" s="3">
        <v>1</v>
      </c>
      <c r="AC370" s="3">
        <v>0</v>
      </c>
    </row>
    <row r="371" spans="2:29" x14ac:dyDescent="0.2">
      <c r="B371" s="3" t="s">
        <v>755</v>
      </c>
      <c r="C371" s="3" t="s">
        <v>756</v>
      </c>
      <c r="D371" s="8">
        <v>42357</v>
      </c>
      <c r="E371" s="3">
        <v>2125</v>
      </c>
      <c r="F371" s="3" t="s">
        <v>25</v>
      </c>
      <c r="G371" s="3" t="s">
        <v>26</v>
      </c>
      <c r="H371" s="3">
        <v>54.5</v>
      </c>
      <c r="I371" s="3">
        <v>55.6</v>
      </c>
      <c r="J371" s="3">
        <v>56.7</v>
      </c>
      <c r="K371" s="3">
        <v>233.9</v>
      </c>
      <c r="L371" s="3">
        <v>235.55</v>
      </c>
      <c r="M371" s="3">
        <v>237.2</v>
      </c>
      <c r="N371" s="3">
        <v>1</v>
      </c>
      <c r="O371" s="3">
        <v>4.6560601464968668E-3</v>
      </c>
      <c r="P371" s="3">
        <v>2.165079489157816E-2</v>
      </c>
      <c r="Q371" s="3">
        <v>0.14578406024483803</v>
      </c>
      <c r="R371" s="3">
        <v>55.639561246200969</v>
      </c>
      <c r="S371" s="3">
        <v>235.50972367576287</v>
      </c>
      <c r="U371" s="3">
        <v>237.04245320254978</v>
      </c>
      <c r="V371" s="3">
        <v>1.532729526786909</v>
      </c>
      <c r="X371" s="3">
        <v>237.6615879878938</v>
      </c>
      <c r="Y371" s="3">
        <v>2.1518643121309253</v>
      </c>
      <c r="AA371" s="3">
        <v>1</v>
      </c>
      <c r="AB371" s="3">
        <v>1</v>
      </c>
      <c r="AC371" s="3">
        <v>0</v>
      </c>
    </row>
    <row r="372" spans="2:29" x14ac:dyDescent="0.2">
      <c r="B372" s="3" t="s">
        <v>757</v>
      </c>
      <c r="C372" s="3" t="s">
        <v>758</v>
      </c>
      <c r="D372" s="8">
        <v>42357</v>
      </c>
      <c r="E372" s="3">
        <v>2150</v>
      </c>
      <c r="F372" s="3" t="s">
        <v>25</v>
      </c>
      <c r="G372" s="3" t="s">
        <v>26</v>
      </c>
      <c r="H372" s="3">
        <v>46.4</v>
      </c>
      <c r="I372" s="3">
        <v>47.4</v>
      </c>
      <c r="J372" s="3">
        <v>48.4</v>
      </c>
      <c r="K372" s="3">
        <v>250.5</v>
      </c>
      <c r="L372" s="3">
        <v>251.95</v>
      </c>
      <c r="M372" s="3">
        <v>253.4</v>
      </c>
      <c r="N372" s="3">
        <v>1</v>
      </c>
      <c r="O372" s="3">
        <v>4.6560601464968668E-3</v>
      </c>
      <c r="P372" s="3">
        <v>2.165079489157816E-2</v>
      </c>
      <c r="Q372" s="3">
        <v>0.14262552759716451</v>
      </c>
      <c r="R372" s="3">
        <v>47.306283558234725</v>
      </c>
      <c r="S372" s="3">
        <v>252.04376901209321</v>
      </c>
      <c r="U372" s="3">
        <v>253.66934566431519</v>
      </c>
      <c r="V372" s="3">
        <v>1.6255766522219801</v>
      </c>
      <c r="X372" s="3">
        <v>254.24583589027415</v>
      </c>
      <c r="Y372" s="3">
        <v>2.2020668781809434</v>
      </c>
      <c r="AA372" s="3">
        <v>1</v>
      </c>
      <c r="AB372" s="3">
        <v>1</v>
      </c>
      <c r="AC372" s="3">
        <v>1</v>
      </c>
    </row>
    <row r="373" spans="2:29" x14ac:dyDescent="0.2">
      <c r="B373" s="3" t="s">
        <v>759</v>
      </c>
      <c r="C373" s="3" t="s">
        <v>760</v>
      </c>
      <c r="D373" s="8">
        <v>42357</v>
      </c>
      <c r="E373" s="3">
        <v>2175</v>
      </c>
      <c r="F373" s="3" t="s">
        <v>25</v>
      </c>
      <c r="G373" s="3" t="s">
        <v>26</v>
      </c>
      <c r="H373" s="3">
        <v>39.1</v>
      </c>
      <c r="I373" s="3">
        <v>40</v>
      </c>
      <c r="J373" s="3">
        <v>40.9</v>
      </c>
      <c r="K373" s="3">
        <v>268</v>
      </c>
      <c r="L373" s="3">
        <v>269.75</v>
      </c>
      <c r="M373" s="3">
        <v>271.5</v>
      </c>
      <c r="N373" s="3">
        <v>1</v>
      </c>
      <c r="O373" s="3">
        <v>4.6560601464968668E-3</v>
      </c>
      <c r="P373" s="3">
        <v>2.165079489157816E-2</v>
      </c>
      <c r="Q373" s="3">
        <v>0.13993441170120344</v>
      </c>
      <c r="R373" s="3">
        <v>40.07258451348423</v>
      </c>
      <c r="S373" s="3">
        <v>269.67739299163895</v>
      </c>
      <c r="U373" s="3">
        <v>271.05506711046689</v>
      </c>
      <c r="V373" s="3">
        <v>1.3776741188279402</v>
      </c>
      <c r="X373" s="3">
        <v>271.6702612843892</v>
      </c>
      <c r="Y373" s="3">
        <v>1.992868292750245</v>
      </c>
      <c r="AA373" s="3">
        <v>1</v>
      </c>
      <c r="AB373" s="3">
        <v>1</v>
      </c>
      <c r="AC373" s="3">
        <v>0</v>
      </c>
    </row>
    <row r="374" spans="2:29" x14ac:dyDescent="0.2">
      <c r="B374" s="3" t="s">
        <v>761</v>
      </c>
      <c r="C374" s="3" t="s">
        <v>762</v>
      </c>
      <c r="D374" s="8">
        <v>42357</v>
      </c>
      <c r="E374" s="3">
        <v>2200</v>
      </c>
      <c r="F374" s="3" t="s">
        <v>25</v>
      </c>
      <c r="G374" s="3" t="s">
        <v>26</v>
      </c>
      <c r="H374" s="3">
        <v>32.6</v>
      </c>
      <c r="I374" s="3">
        <v>33.5</v>
      </c>
      <c r="J374" s="3">
        <v>34.4</v>
      </c>
      <c r="K374" s="3">
        <v>286.10000000000002</v>
      </c>
      <c r="L374" s="3">
        <v>287.85000000000002</v>
      </c>
      <c r="M374" s="3">
        <v>289.60000000000002</v>
      </c>
      <c r="N374" s="3">
        <v>1</v>
      </c>
      <c r="O374" s="3">
        <v>4.6560601464968668E-3</v>
      </c>
      <c r="P374" s="3">
        <v>2.165079489157816E-2</v>
      </c>
      <c r="Q374" s="3">
        <v>0.13700877967988978</v>
      </c>
      <c r="R374" s="3">
        <v>33.439338120314744</v>
      </c>
      <c r="S374" s="3">
        <v>287.91146962276594</v>
      </c>
      <c r="U374" s="3">
        <v>289.2105725779553</v>
      </c>
      <c r="V374" s="3">
        <v>1.2991029551893689</v>
      </c>
      <c r="X374" s="3">
        <v>289.91848704074158</v>
      </c>
      <c r="Y374" s="3">
        <v>2.0070174179756464</v>
      </c>
      <c r="AA374" s="3">
        <v>1</v>
      </c>
      <c r="AB374" s="3">
        <v>1</v>
      </c>
      <c r="AC374" s="3">
        <v>0</v>
      </c>
    </row>
    <row r="375" spans="2:29" x14ac:dyDescent="0.2">
      <c r="B375" s="3" t="s">
        <v>763</v>
      </c>
      <c r="C375" s="3" t="s">
        <v>764</v>
      </c>
      <c r="D375" s="8">
        <v>42357</v>
      </c>
      <c r="E375" s="3">
        <v>2225</v>
      </c>
      <c r="F375" s="3" t="s">
        <v>25</v>
      </c>
      <c r="G375" s="3" t="s">
        <v>26</v>
      </c>
      <c r="H375" s="3">
        <v>26.9</v>
      </c>
      <c r="I375" s="3">
        <v>27.75</v>
      </c>
      <c r="J375" s="3">
        <v>28.6</v>
      </c>
      <c r="K375" s="3">
        <v>305.39999999999998</v>
      </c>
      <c r="L375" s="3">
        <v>307.14999999999998</v>
      </c>
      <c r="M375" s="3">
        <v>308.89999999999998</v>
      </c>
      <c r="N375" s="3">
        <v>1</v>
      </c>
      <c r="O375" s="3">
        <v>4.6560601464968668E-3</v>
      </c>
      <c r="P375" s="3">
        <v>2.165079489157816E-2</v>
      </c>
      <c r="Q375" s="3">
        <v>0.13448587183651067</v>
      </c>
      <c r="R375" s="3">
        <v>27.780268448880861</v>
      </c>
      <c r="S375" s="3">
        <v>307.11972297562829</v>
      </c>
      <c r="U375" s="3">
        <v>308.13480804114869</v>
      </c>
      <c r="V375" s="3">
        <v>1.0150850655203953</v>
      </c>
      <c r="X375" s="3">
        <v>308.91745114280025</v>
      </c>
      <c r="Y375" s="3">
        <v>1.7977281671719538</v>
      </c>
      <c r="AA375" s="3">
        <v>1</v>
      </c>
      <c r="AB375" s="3">
        <v>1</v>
      </c>
      <c r="AC375" s="3">
        <v>0</v>
      </c>
    </row>
    <row r="376" spans="2:29" x14ac:dyDescent="0.2">
      <c r="B376" s="3" t="s">
        <v>765</v>
      </c>
      <c r="C376" s="3" t="s">
        <v>766</v>
      </c>
      <c r="D376" s="8">
        <v>42357</v>
      </c>
      <c r="E376" s="3">
        <v>2250</v>
      </c>
      <c r="F376" s="3" t="s">
        <v>25</v>
      </c>
      <c r="G376" s="3" t="s">
        <v>26</v>
      </c>
      <c r="H376" s="3">
        <v>22.1</v>
      </c>
      <c r="I376" s="3">
        <v>22.85</v>
      </c>
      <c r="J376" s="3">
        <v>23.6</v>
      </c>
      <c r="K376" s="3">
        <v>325.2</v>
      </c>
      <c r="L376" s="3">
        <v>327</v>
      </c>
      <c r="M376" s="3">
        <v>328.8</v>
      </c>
      <c r="N376" s="3">
        <v>1</v>
      </c>
      <c r="O376" s="3">
        <v>4.6560601464968668E-3</v>
      </c>
      <c r="P376" s="3">
        <v>2.165079489157816E-2</v>
      </c>
      <c r="Q376" s="3">
        <v>0.13199819851874445</v>
      </c>
      <c r="R376" s="3">
        <v>22.821464298174305</v>
      </c>
      <c r="S376" s="3">
        <v>327.02824184921838</v>
      </c>
      <c r="U376" s="3">
        <v>327.81298066829942</v>
      </c>
      <c r="V376" s="3">
        <v>0.78473881908104204</v>
      </c>
      <c r="X376" s="3">
        <v>328.63860937593813</v>
      </c>
      <c r="Y376" s="3">
        <v>1.6103675267197559</v>
      </c>
      <c r="AA376" s="3">
        <v>1</v>
      </c>
      <c r="AB376" s="3">
        <v>0</v>
      </c>
      <c r="AC376" s="3">
        <v>0</v>
      </c>
    </row>
    <row r="377" spans="2:29" x14ac:dyDescent="0.2">
      <c r="B377" s="3" t="s">
        <v>767</v>
      </c>
      <c r="C377" s="3" t="s">
        <v>768</v>
      </c>
      <c r="D377" s="8">
        <v>42357</v>
      </c>
      <c r="E377" s="3">
        <v>2275</v>
      </c>
      <c r="F377" s="3" t="s">
        <v>25</v>
      </c>
      <c r="G377" s="3" t="s">
        <v>26</v>
      </c>
      <c r="H377" s="3">
        <v>17.899999999999999</v>
      </c>
      <c r="I377" s="3">
        <v>18.600000000000001</v>
      </c>
      <c r="J377" s="3">
        <v>19.3</v>
      </c>
      <c r="K377" s="3">
        <v>345.8</v>
      </c>
      <c r="L377" s="3">
        <v>347.75</v>
      </c>
      <c r="M377" s="3">
        <v>349.7</v>
      </c>
      <c r="N377" s="3">
        <v>1</v>
      </c>
      <c r="O377" s="3">
        <v>4.6560601464968668E-3</v>
      </c>
      <c r="P377" s="3">
        <v>2.165079489157816E-2</v>
      </c>
      <c r="Q377" s="3">
        <v>0.12978882795811686</v>
      </c>
      <c r="R377" s="3">
        <v>18.637934635915315</v>
      </c>
      <c r="S377" s="3">
        <v>347.71203521125562</v>
      </c>
      <c r="U377" s="3">
        <v>348.56836110790607</v>
      </c>
      <c r="V377" s="3">
        <v>0.85632589665044634</v>
      </c>
      <c r="X377" s="3">
        <v>349.01447802542924</v>
      </c>
      <c r="Y377" s="3">
        <v>1.3024428141736166</v>
      </c>
      <c r="AA377" s="3">
        <v>1</v>
      </c>
      <c r="AB377" s="3">
        <v>0</v>
      </c>
      <c r="AC377" s="3">
        <v>0</v>
      </c>
    </row>
    <row r="378" spans="2:29" x14ac:dyDescent="0.2">
      <c r="B378" s="3" t="s">
        <v>769</v>
      </c>
      <c r="C378" s="3" t="s">
        <v>770</v>
      </c>
      <c r="D378" s="8">
        <v>42357</v>
      </c>
      <c r="E378" s="3">
        <v>2300</v>
      </c>
      <c r="F378" s="3" t="s">
        <v>25</v>
      </c>
      <c r="G378" s="3" t="s">
        <v>26</v>
      </c>
      <c r="H378" s="3">
        <v>14.4</v>
      </c>
      <c r="I378" s="3">
        <v>15.1</v>
      </c>
      <c r="J378" s="3">
        <v>15.8</v>
      </c>
      <c r="K378" s="3">
        <v>367.3</v>
      </c>
      <c r="L378" s="3">
        <v>369.15</v>
      </c>
      <c r="M378" s="3">
        <v>371</v>
      </c>
      <c r="N378" s="3">
        <v>1</v>
      </c>
      <c r="O378" s="3">
        <v>4.6560601464968668E-3</v>
      </c>
      <c r="P378" s="3">
        <v>2.165079489157816E-2</v>
      </c>
      <c r="Q378" s="3">
        <v>0.12786941074819419</v>
      </c>
      <c r="R378" s="3">
        <v>15.154230882137199</v>
      </c>
      <c r="S378" s="3">
        <v>369.09565448177341</v>
      </c>
      <c r="U378" s="3">
        <v>369.59756407384441</v>
      </c>
      <c r="V378" s="3">
        <v>0.5019095920710015</v>
      </c>
      <c r="X378" s="3">
        <v>370.01458182940661</v>
      </c>
      <c r="Y378" s="3">
        <v>0.9189273476332005</v>
      </c>
      <c r="AA378" s="3">
        <v>1</v>
      </c>
      <c r="AB378" s="3">
        <v>0</v>
      </c>
      <c r="AC378" s="3">
        <v>0</v>
      </c>
    </row>
    <row r="379" spans="2:29" x14ac:dyDescent="0.2">
      <c r="B379" s="3" t="s">
        <v>771</v>
      </c>
      <c r="C379" s="3" t="s">
        <v>772</v>
      </c>
      <c r="D379" s="8">
        <v>42357</v>
      </c>
      <c r="E379" s="3">
        <v>2325</v>
      </c>
      <c r="F379" s="3" t="s">
        <v>25</v>
      </c>
      <c r="G379" s="3" t="s">
        <v>26</v>
      </c>
      <c r="H379" s="3">
        <v>11.5</v>
      </c>
      <c r="I379" s="3">
        <v>12.15</v>
      </c>
      <c r="J379" s="3">
        <v>12.8</v>
      </c>
      <c r="K379" s="3">
        <v>389.1</v>
      </c>
      <c r="L379" s="3">
        <v>391</v>
      </c>
      <c r="M379" s="3">
        <v>392.9</v>
      </c>
      <c r="N379" s="3">
        <v>1</v>
      </c>
      <c r="O379" s="3">
        <v>4.6560601464968668E-3</v>
      </c>
      <c r="P379" s="3">
        <v>2.165079489157816E-2</v>
      </c>
      <c r="Q379" s="3">
        <v>0.1259318221449901</v>
      </c>
      <c r="R379" s="3">
        <v>12.170619600111394</v>
      </c>
      <c r="S379" s="3">
        <v>390.9793662240445</v>
      </c>
      <c r="U379" s="3">
        <v>391.50865219208487</v>
      </c>
      <c r="V379" s="3">
        <v>0.52928596804036943</v>
      </c>
      <c r="X379" s="3">
        <v>391.61551548876707</v>
      </c>
      <c r="Y379" s="3">
        <v>0.63614926472257594</v>
      </c>
      <c r="AA379" s="3">
        <v>1</v>
      </c>
      <c r="AB379" s="3">
        <v>0</v>
      </c>
      <c r="AC379" s="3">
        <v>0</v>
      </c>
    </row>
    <row r="380" spans="2:29" x14ac:dyDescent="0.2">
      <c r="B380" s="3" t="s">
        <v>773</v>
      </c>
      <c r="C380" s="3" t="s">
        <v>774</v>
      </c>
      <c r="D380" s="8">
        <v>42357</v>
      </c>
      <c r="E380" s="3">
        <v>2350</v>
      </c>
      <c r="F380" s="3" t="s">
        <v>25</v>
      </c>
      <c r="G380" s="3" t="s">
        <v>26</v>
      </c>
      <c r="H380" s="3">
        <v>9</v>
      </c>
      <c r="I380" s="3">
        <v>9.6999999999999993</v>
      </c>
      <c r="J380" s="3">
        <v>10.4</v>
      </c>
      <c r="K380" s="3">
        <v>411.7</v>
      </c>
      <c r="L380" s="3">
        <v>413.45</v>
      </c>
      <c r="M380" s="3">
        <v>415.2</v>
      </c>
      <c r="N380" s="3">
        <v>1</v>
      </c>
      <c r="O380" s="3">
        <v>4.6560601464968668E-3</v>
      </c>
      <c r="P380" s="3">
        <v>2.165079489157816E-2</v>
      </c>
      <c r="Q380" s="3">
        <v>0.1242583366853196</v>
      </c>
      <c r="R380" s="3">
        <v>9.7369318444339967</v>
      </c>
      <c r="S380" s="3">
        <v>413.4130014926634</v>
      </c>
      <c r="U380" s="3">
        <v>413.89915412978672</v>
      </c>
      <c r="V380" s="3">
        <v>0.48615263712332535</v>
      </c>
      <c r="X380" s="3">
        <v>413.73622631516986</v>
      </c>
      <c r="Y380" s="3">
        <v>0.3232248225064609</v>
      </c>
      <c r="AA380" s="3">
        <v>1</v>
      </c>
      <c r="AB380" s="3">
        <v>0</v>
      </c>
      <c r="AC380" s="3">
        <v>0</v>
      </c>
    </row>
    <row r="381" spans="2:29" x14ac:dyDescent="0.2">
      <c r="B381" s="3" t="s">
        <v>775</v>
      </c>
      <c r="C381" s="3" t="s">
        <v>776</v>
      </c>
      <c r="D381" s="8">
        <v>42357</v>
      </c>
      <c r="E381" s="3">
        <v>2375</v>
      </c>
      <c r="F381" s="3" t="s">
        <v>25</v>
      </c>
      <c r="G381" s="3" t="s">
        <v>26</v>
      </c>
      <c r="H381" s="3">
        <v>7.2</v>
      </c>
      <c r="I381" s="3">
        <v>7.8</v>
      </c>
      <c r="J381" s="3">
        <v>8.4</v>
      </c>
      <c r="K381" s="3">
        <v>434.6</v>
      </c>
      <c r="L381" s="3">
        <v>436.35</v>
      </c>
      <c r="M381" s="3">
        <v>438.1</v>
      </c>
      <c r="N381" s="3">
        <v>1</v>
      </c>
      <c r="O381" s="3">
        <v>4.6560601464968668E-3</v>
      </c>
      <c r="P381" s="3">
        <v>2.165079489157816E-2</v>
      </c>
      <c r="Q381" s="3">
        <v>0.12295485915253129</v>
      </c>
      <c r="R381" s="3">
        <v>7.8030642013235365</v>
      </c>
      <c r="S381" s="3">
        <v>436.34645687384977</v>
      </c>
      <c r="U381" s="3">
        <v>436.71548324161813</v>
      </c>
      <c r="V381" s="3">
        <v>0.36902636776835607</v>
      </c>
      <c r="X381" s="3">
        <v>436.30458355030999</v>
      </c>
      <c r="Y381" s="3">
        <v>-4.1873323539789453E-2</v>
      </c>
      <c r="AA381" s="3">
        <v>1</v>
      </c>
      <c r="AB381" s="3">
        <v>0</v>
      </c>
      <c r="AC381" s="3">
        <v>0</v>
      </c>
    </row>
    <row r="382" spans="2:29" x14ac:dyDescent="0.2">
      <c r="B382" s="3" t="s">
        <v>777</v>
      </c>
      <c r="C382" s="3" t="s">
        <v>778</v>
      </c>
      <c r="D382" s="8">
        <v>42357</v>
      </c>
      <c r="E382" s="3">
        <v>2400</v>
      </c>
      <c r="F382" s="3" t="s">
        <v>25</v>
      </c>
      <c r="G382" s="3" t="s">
        <v>26</v>
      </c>
      <c r="H382" s="3">
        <v>5.6</v>
      </c>
      <c r="I382" s="3">
        <v>6.15</v>
      </c>
      <c r="J382" s="3">
        <v>6.7</v>
      </c>
      <c r="K382" s="3">
        <v>458</v>
      </c>
      <c r="L382" s="3">
        <v>459.65</v>
      </c>
      <c r="M382" s="3">
        <v>461.3</v>
      </c>
      <c r="N382" s="3">
        <v>1</v>
      </c>
      <c r="O382" s="3">
        <v>4.6560601464968668E-3</v>
      </c>
      <c r="P382" s="3">
        <v>2.165079489157816E-2</v>
      </c>
      <c r="Q382" s="3">
        <v>0.12166929986848604</v>
      </c>
      <c r="R382" s="3">
        <v>6.1946486117155501</v>
      </c>
      <c r="S382" s="3">
        <v>459.6053643085379</v>
      </c>
      <c r="U382" s="3">
        <v>459.90290518019492</v>
      </c>
      <c r="V382" s="3">
        <v>0.29754087165702003</v>
      </c>
      <c r="X382" s="3">
        <v>459.24453346841966</v>
      </c>
      <c r="Y382" s="3">
        <v>-0.36083084011823985</v>
      </c>
      <c r="AA382" s="3">
        <v>1</v>
      </c>
      <c r="AB382" s="3">
        <v>0</v>
      </c>
      <c r="AC382" s="3">
        <v>0</v>
      </c>
    </row>
    <row r="383" spans="2:29" x14ac:dyDescent="0.2">
      <c r="B383" s="3" t="s">
        <v>779</v>
      </c>
      <c r="C383" s="3" t="s">
        <v>780</v>
      </c>
      <c r="D383" s="8">
        <v>42357</v>
      </c>
      <c r="E383" s="3">
        <v>2500</v>
      </c>
      <c r="F383" s="3" t="s">
        <v>25</v>
      </c>
      <c r="G383" s="3" t="s">
        <v>26</v>
      </c>
      <c r="H383" s="3">
        <v>2.0499999999999998</v>
      </c>
      <c r="I383" s="3">
        <v>2.35</v>
      </c>
      <c r="J383" s="3">
        <v>2.65</v>
      </c>
      <c r="K383" s="3">
        <v>554</v>
      </c>
      <c r="L383" s="3">
        <v>555.5</v>
      </c>
      <c r="M383" s="3">
        <v>557</v>
      </c>
      <c r="N383" s="3">
        <v>1</v>
      </c>
      <c r="O383" s="3">
        <v>4.6560601464968668E-3</v>
      </c>
      <c r="P383" s="3">
        <v>2.165079489157816E-2</v>
      </c>
      <c r="Q383" s="3">
        <v>0.11910299093401344</v>
      </c>
      <c r="R383" s="3">
        <v>2.5310934023644194</v>
      </c>
      <c r="S383" s="3">
        <v>555.4111011963721</v>
      </c>
      <c r="U383" s="3">
        <v>555.40863834047047</v>
      </c>
      <c r="V383" s="3">
        <v>-2.4628559016264262E-3</v>
      </c>
      <c r="X383" s="3">
        <v>553.87463384602859</v>
      </c>
      <c r="Y383" s="3">
        <v>-1.5364673503435142</v>
      </c>
      <c r="AA383" s="3">
        <v>1</v>
      </c>
      <c r="AB383" s="3">
        <v>1</v>
      </c>
      <c r="AC383" s="3">
        <v>0</v>
      </c>
    </row>
    <row r="384" spans="2:29" x14ac:dyDescent="0.2">
      <c r="B384" s="3" t="s">
        <v>781</v>
      </c>
      <c r="C384" s="3" t="s">
        <v>782</v>
      </c>
      <c r="D384" s="8">
        <v>42357</v>
      </c>
      <c r="E384" s="3">
        <v>2600</v>
      </c>
      <c r="F384" s="3" t="s">
        <v>25</v>
      </c>
      <c r="G384" s="3" t="s">
        <v>26</v>
      </c>
      <c r="H384" s="3">
        <v>0.6</v>
      </c>
      <c r="I384" s="3">
        <v>0.93</v>
      </c>
      <c r="J384" s="3">
        <v>1.25</v>
      </c>
      <c r="K384" s="3">
        <v>652.20000000000005</v>
      </c>
      <c r="L384" s="3">
        <v>653.65</v>
      </c>
      <c r="M384" s="3">
        <v>655.1</v>
      </c>
      <c r="N384" s="3">
        <v>0</v>
      </c>
      <c r="O384" s="3">
        <v>4.6560601464968668E-3</v>
      </c>
      <c r="P384" s="3">
        <v>2.165079489157816E-2</v>
      </c>
      <c r="Q384" s="3">
        <v>0.11873637537194592</v>
      </c>
      <c r="R384" s="3">
        <v>1.0686096857135041</v>
      </c>
      <c r="S384" s="3">
        <v>653.41790957690682</v>
      </c>
      <c r="U384" s="3">
        <v>653.31942491105337</v>
      </c>
      <c r="V384" s="3">
        <v>-9.848466585344795E-2</v>
      </c>
      <c r="X384" s="3">
        <v>0</v>
      </c>
      <c r="Y384" s="3">
        <v>0</v>
      </c>
      <c r="AA384" s="3">
        <v>0</v>
      </c>
      <c r="AB384" s="3">
        <v>0</v>
      </c>
      <c r="AC384" s="3">
        <v>0</v>
      </c>
    </row>
    <row r="385" spans="2:29" x14ac:dyDescent="0.2">
      <c r="B385" s="3" t="s">
        <v>783</v>
      </c>
      <c r="C385" s="3" t="s">
        <v>784</v>
      </c>
      <c r="D385" s="8">
        <v>42357</v>
      </c>
      <c r="E385" s="3">
        <v>3000</v>
      </c>
      <c r="F385" s="3" t="s">
        <v>25</v>
      </c>
      <c r="G385" s="3" t="s">
        <v>26</v>
      </c>
      <c r="H385" s="3">
        <v>0.1</v>
      </c>
      <c r="I385" s="3">
        <v>0.2</v>
      </c>
      <c r="J385" s="3">
        <v>0.3</v>
      </c>
      <c r="K385" s="3">
        <v>1049.5999999999999</v>
      </c>
      <c r="L385" s="3">
        <v>1050.75</v>
      </c>
      <c r="M385" s="3">
        <v>1051.9000000000001</v>
      </c>
      <c r="N385" s="3">
        <v>0</v>
      </c>
      <c r="O385" s="3">
        <v>4.6560601464968668E-3</v>
      </c>
      <c r="P385" s="3">
        <v>2.165079489157816E-2</v>
      </c>
      <c r="Q385" s="3">
        <v>0.11873637537194592</v>
      </c>
      <c r="R385" s="3">
        <v>2.4655760152389128E-2</v>
      </c>
      <c r="S385" s="3">
        <v>1050.2511240400872</v>
      </c>
      <c r="U385" s="3">
        <v>1050.256096045126</v>
      </c>
      <c r="V385" s="3">
        <v>4.9720050387804804E-3</v>
      </c>
      <c r="X385" s="3">
        <v>0</v>
      </c>
      <c r="Y385" s="3">
        <v>0</v>
      </c>
      <c r="AA385" s="3">
        <v>0</v>
      </c>
      <c r="AB385" s="3">
        <v>0</v>
      </c>
      <c r="AC385" s="3">
        <v>0</v>
      </c>
    </row>
    <row r="386" spans="2:29" x14ac:dyDescent="0.2">
      <c r="B386" s="3" t="s">
        <v>785</v>
      </c>
      <c r="C386" s="3" t="s">
        <v>786</v>
      </c>
      <c r="D386" s="8">
        <v>42384</v>
      </c>
      <c r="E386" s="3">
        <v>600</v>
      </c>
      <c r="F386" s="3" t="s">
        <v>25</v>
      </c>
      <c r="G386" s="3" t="s">
        <v>26</v>
      </c>
      <c r="H386" s="3">
        <v>1333.9</v>
      </c>
      <c r="I386" s="3">
        <v>1335.6</v>
      </c>
      <c r="J386" s="3">
        <v>1337.3</v>
      </c>
      <c r="K386" s="3">
        <v>0.4</v>
      </c>
      <c r="L386" s="3">
        <v>0.9</v>
      </c>
      <c r="M386" s="3">
        <v>1.4</v>
      </c>
      <c r="N386" s="3">
        <v>0</v>
      </c>
      <c r="O386" s="3">
        <v>4.9180205635639372E-3</v>
      </c>
      <c r="P386" s="3">
        <v>2.1470460560664498E-2</v>
      </c>
      <c r="Q386" s="3">
        <v>0.28827911750158813</v>
      </c>
      <c r="R386" s="3">
        <v>1334.8680274923145</v>
      </c>
      <c r="S386" s="3">
        <v>8.7823880330063914E-3</v>
      </c>
      <c r="U386" s="3">
        <v>0.92633469687416436</v>
      </c>
      <c r="V386" s="3">
        <v>0.91755230884115802</v>
      </c>
      <c r="X386" s="3">
        <v>0</v>
      </c>
      <c r="Y386" s="3">
        <v>0</v>
      </c>
      <c r="AA386" s="3">
        <v>0</v>
      </c>
      <c r="AB386" s="3">
        <v>0</v>
      </c>
      <c r="AC386" s="3">
        <v>0</v>
      </c>
    </row>
    <row r="387" spans="2:29" x14ac:dyDescent="0.2">
      <c r="B387" s="3" t="s">
        <v>787</v>
      </c>
      <c r="C387" s="3" t="s">
        <v>788</v>
      </c>
      <c r="D387" s="8">
        <v>42384</v>
      </c>
      <c r="E387" s="3">
        <v>700</v>
      </c>
      <c r="F387" s="3" t="s">
        <v>25</v>
      </c>
      <c r="G387" s="3" t="s">
        <v>26</v>
      </c>
      <c r="H387" s="3">
        <v>1235.0999999999999</v>
      </c>
      <c r="I387" s="3">
        <v>1236.95</v>
      </c>
      <c r="J387" s="3">
        <v>1238.8</v>
      </c>
      <c r="K387" s="3">
        <v>1.2</v>
      </c>
      <c r="L387" s="3">
        <v>1.6</v>
      </c>
      <c r="M387" s="3">
        <v>2</v>
      </c>
      <c r="N387" s="3">
        <v>1</v>
      </c>
      <c r="O387" s="3">
        <v>4.9180205635639372E-3</v>
      </c>
      <c r="P387" s="3">
        <v>2.1470460560664498E-2</v>
      </c>
      <c r="Q387" s="3">
        <v>0.28827911750158813</v>
      </c>
      <c r="R387" s="3">
        <v>1235.5188155075255</v>
      </c>
      <c r="S387" s="3">
        <v>6.4161816421284823E-2</v>
      </c>
      <c r="U387" s="3">
        <v>1.161550458901047</v>
      </c>
      <c r="V387" s="3">
        <v>1.0973886424797623</v>
      </c>
      <c r="X387" s="3">
        <v>0</v>
      </c>
      <c r="Y387" s="3">
        <v>0</v>
      </c>
      <c r="AA387" s="3">
        <v>0</v>
      </c>
      <c r="AB387" s="3">
        <v>0</v>
      </c>
      <c r="AC387" s="3">
        <v>0</v>
      </c>
    </row>
    <row r="388" spans="2:29" x14ac:dyDescent="0.2">
      <c r="B388" s="3" t="s">
        <v>789</v>
      </c>
      <c r="C388" s="3" t="s">
        <v>790</v>
      </c>
      <c r="D388" s="8">
        <v>42384</v>
      </c>
      <c r="E388" s="3">
        <v>750</v>
      </c>
      <c r="F388" s="3" t="s">
        <v>25</v>
      </c>
      <c r="G388" s="3" t="s">
        <v>26</v>
      </c>
      <c r="H388" s="3">
        <v>1185.7</v>
      </c>
      <c r="I388" s="3">
        <v>1187.6500000000001</v>
      </c>
      <c r="J388" s="3">
        <v>1189.5999999999999</v>
      </c>
      <c r="K388" s="3">
        <v>1.4</v>
      </c>
      <c r="L388" s="3">
        <v>1.9</v>
      </c>
      <c r="M388" s="3">
        <v>2.4</v>
      </c>
      <c r="N388" s="3">
        <v>1</v>
      </c>
      <c r="O388" s="3">
        <v>4.9180205635639372E-3</v>
      </c>
      <c r="P388" s="3">
        <v>2.1470460560664498E-2</v>
      </c>
      <c r="Q388" s="3">
        <v>0.28827911750158813</v>
      </c>
      <c r="R388" s="3">
        <v>1185.8983223545567</v>
      </c>
      <c r="S388" s="3">
        <v>0.14596437004081841</v>
      </c>
      <c r="U388" s="3">
        <v>1.6043985792027797</v>
      </c>
      <c r="V388" s="3">
        <v>1.4584342091619613</v>
      </c>
      <c r="X388" s="3">
        <v>0</v>
      </c>
      <c r="Y388" s="3">
        <v>0</v>
      </c>
      <c r="AA388" s="3">
        <v>0</v>
      </c>
      <c r="AB388" s="3">
        <v>0</v>
      </c>
      <c r="AC388" s="3">
        <v>0</v>
      </c>
    </row>
    <row r="389" spans="2:29" x14ac:dyDescent="0.2">
      <c r="B389" s="3" t="s">
        <v>791</v>
      </c>
      <c r="C389" s="3" t="s">
        <v>792</v>
      </c>
      <c r="D389" s="8">
        <v>42384</v>
      </c>
      <c r="E389" s="3">
        <v>800</v>
      </c>
      <c r="F389" s="3" t="s">
        <v>25</v>
      </c>
      <c r="G389" s="3" t="s">
        <v>26</v>
      </c>
      <c r="H389" s="3">
        <v>1136.5</v>
      </c>
      <c r="I389" s="3">
        <v>1138.45</v>
      </c>
      <c r="J389" s="3">
        <v>1140.4000000000001</v>
      </c>
      <c r="K389" s="3">
        <v>1.9</v>
      </c>
      <c r="L389" s="3">
        <v>2.4</v>
      </c>
      <c r="M389" s="3">
        <v>2.9</v>
      </c>
      <c r="N389" s="3">
        <v>1</v>
      </c>
      <c r="O389" s="3">
        <v>4.9180205635639372E-3</v>
      </c>
      <c r="P389" s="3">
        <v>2.1470460560664498E-2</v>
      </c>
      <c r="Q389" s="3">
        <v>0.28827911750158813</v>
      </c>
      <c r="R389" s="3">
        <v>1136.3533483473211</v>
      </c>
      <c r="S389" s="3">
        <v>0.3032860693941668</v>
      </c>
      <c r="U389" s="3">
        <v>1.6266319635103628</v>
      </c>
      <c r="V389" s="3">
        <v>1.323345894116196</v>
      </c>
      <c r="X389" s="3">
        <v>0</v>
      </c>
      <c r="Y389" s="3">
        <v>0</v>
      </c>
      <c r="AA389" s="3">
        <v>0</v>
      </c>
      <c r="AB389" s="3">
        <v>0</v>
      </c>
      <c r="AC389" s="3">
        <v>0</v>
      </c>
    </row>
    <row r="390" spans="2:29" x14ac:dyDescent="0.2">
      <c r="B390" s="3" t="s">
        <v>793</v>
      </c>
      <c r="C390" s="3" t="s">
        <v>794</v>
      </c>
      <c r="D390" s="8">
        <v>42384</v>
      </c>
      <c r="E390" s="3">
        <v>850</v>
      </c>
      <c r="F390" s="3" t="s">
        <v>25</v>
      </c>
      <c r="G390" s="3" t="s">
        <v>26</v>
      </c>
      <c r="H390" s="3">
        <v>1087.4000000000001</v>
      </c>
      <c r="I390" s="3">
        <v>1089.4000000000001</v>
      </c>
      <c r="J390" s="3">
        <v>1091.4000000000001</v>
      </c>
      <c r="K390" s="3">
        <v>2.2000000000000002</v>
      </c>
      <c r="L390" s="3">
        <v>2.95</v>
      </c>
      <c r="M390" s="3">
        <v>3.7</v>
      </c>
      <c r="N390" s="3">
        <v>1</v>
      </c>
      <c r="O390" s="3">
        <v>4.9180205635639372E-3</v>
      </c>
      <c r="P390" s="3">
        <v>2.1470460560664498E-2</v>
      </c>
      <c r="Q390" s="3">
        <v>0.28827911750158813</v>
      </c>
      <c r="R390" s="3">
        <v>1086.9312011353688</v>
      </c>
      <c r="S390" s="3">
        <v>0.5834345640302816</v>
      </c>
      <c r="U390" s="3">
        <v>2.3222452759428052</v>
      </c>
      <c r="V390" s="3">
        <v>1.7388107119125236</v>
      </c>
      <c r="X390" s="3">
        <v>0</v>
      </c>
      <c r="Y390" s="3">
        <v>0</v>
      </c>
      <c r="AA390" s="3">
        <v>0</v>
      </c>
      <c r="AB390" s="3">
        <v>0</v>
      </c>
      <c r="AC390" s="3">
        <v>0</v>
      </c>
    </row>
    <row r="391" spans="2:29" x14ac:dyDescent="0.2">
      <c r="B391" s="3" t="s">
        <v>795</v>
      </c>
      <c r="C391" s="3" t="s">
        <v>796</v>
      </c>
      <c r="D391" s="8">
        <v>42384</v>
      </c>
      <c r="E391" s="3">
        <v>900</v>
      </c>
      <c r="F391" s="3" t="s">
        <v>25</v>
      </c>
      <c r="G391" s="3" t="s">
        <v>26</v>
      </c>
      <c r="H391" s="3">
        <v>1038.4000000000001</v>
      </c>
      <c r="I391" s="3">
        <v>1040.45</v>
      </c>
      <c r="J391" s="3">
        <v>1042.5</v>
      </c>
      <c r="K391" s="3">
        <v>3</v>
      </c>
      <c r="L391" s="3">
        <v>3.8</v>
      </c>
      <c r="M391" s="3">
        <v>4.5999999999999996</v>
      </c>
      <c r="N391" s="3">
        <v>1</v>
      </c>
      <c r="O391" s="3">
        <v>4.9180205635639372E-3</v>
      </c>
      <c r="P391" s="3">
        <v>2.1470460560664498E-2</v>
      </c>
      <c r="Q391" s="3">
        <v>0.28827911750158813</v>
      </c>
      <c r="R391" s="3">
        <v>1037.6960595392113</v>
      </c>
      <c r="S391" s="3">
        <v>1.050588674461256</v>
      </c>
      <c r="U391" s="3">
        <v>3.2756208683340446</v>
      </c>
      <c r="V391" s="3">
        <v>2.2250321938727886</v>
      </c>
      <c r="X391" s="3">
        <v>0</v>
      </c>
      <c r="Y391" s="3">
        <v>0</v>
      </c>
      <c r="AA391" s="3">
        <v>0</v>
      </c>
      <c r="AB391" s="3">
        <v>0</v>
      </c>
      <c r="AC391" s="3">
        <v>0</v>
      </c>
    </row>
    <row r="392" spans="2:29" x14ac:dyDescent="0.2">
      <c r="B392" s="3" t="s">
        <v>797</v>
      </c>
      <c r="C392" s="3" t="s">
        <v>798</v>
      </c>
      <c r="D392" s="8">
        <v>42384</v>
      </c>
      <c r="E392" s="3">
        <v>925</v>
      </c>
      <c r="F392" s="3" t="s">
        <v>25</v>
      </c>
      <c r="G392" s="3" t="s">
        <v>26</v>
      </c>
      <c r="H392" s="3">
        <v>1014</v>
      </c>
      <c r="I392" s="3">
        <v>1016.1</v>
      </c>
      <c r="J392" s="3">
        <v>1018.2</v>
      </c>
      <c r="K392" s="3">
        <v>3.4</v>
      </c>
      <c r="L392" s="3">
        <v>4.0999999999999996</v>
      </c>
      <c r="M392" s="3">
        <v>4.8</v>
      </c>
      <c r="N392" s="3">
        <v>1</v>
      </c>
      <c r="O392" s="3">
        <v>4.9180205635639372E-3</v>
      </c>
      <c r="P392" s="3">
        <v>2.1470460560664498E-2</v>
      </c>
      <c r="Q392" s="3">
        <v>0.28827911750158813</v>
      </c>
      <c r="R392" s="3">
        <v>1013.1735554443388</v>
      </c>
      <c r="S392" s="3">
        <v>1.3792324328828229</v>
      </c>
      <c r="U392" s="3">
        <v>3.6368048589389446</v>
      </c>
      <c r="V392" s="3">
        <v>2.2575724260561216</v>
      </c>
      <c r="X392" s="3">
        <v>0</v>
      </c>
      <c r="Y392" s="3">
        <v>0</v>
      </c>
      <c r="AA392" s="3">
        <v>0</v>
      </c>
      <c r="AB392" s="3">
        <v>0</v>
      </c>
      <c r="AC392" s="3">
        <v>0</v>
      </c>
    </row>
    <row r="393" spans="2:29" x14ac:dyDescent="0.2">
      <c r="B393" s="3" t="s">
        <v>799</v>
      </c>
      <c r="C393" s="3" t="s">
        <v>800</v>
      </c>
      <c r="D393" s="8">
        <v>42384</v>
      </c>
      <c r="E393" s="3">
        <v>950</v>
      </c>
      <c r="F393" s="3" t="s">
        <v>25</v>
      </c>
      <c r="G393" s="3" t="s">
        <v>26</v>
      </c>
      <c r="H393" s="3">
        <v>989.5</v>
      </c>
      <c r="I393" s="3">
        <v>991.65</v>
      </c>
      <c r="J393" s="3">
        <v>993.8</v>
      </c>
      <c r="K393" s="3">
        <v>3.9</v>
      </c>
      <c r="L393" s="3">
        <v>4.5999999999999996</v>
      </c>
      <c r="M393" s="3">
        <v>5.3</v>
      </c>
      <c r="N393" s="3">
        <v>1</v>
      </c>
      <c r="O393" s="3">
        <v>4.9180205635639372E-3</v>
      </c>
      <c r="P393" s="3">
        <v>2.1470460560664498E-2</v>
      </c>
      <c r="Q393" s="3">
        <v>0.28827911750158813</v>
      </c>
      <c r="R393" s="3">
        <v>988.72996282229497</v>
      </c>
      <c r="S393" s="3">
        <v>1.7867876641334366</v>
      </c>
      <c r="U393" s="3">
        <v>3.9633288145535062</v>
      </c>
      <c r="V393" s="3">
        <v>2.1765411504200696</v>
      </c>
      <c r="X393" s="3">
        <v>0</v>
      </c>
      <c r="Y393" s="3">
        <v>0</v>
      </c>
      <c r="AA393" s="3">
        <v>0</v>
      </c>
      <c r="AB393" s="3">
        <v>0</v>
      </c>
      <c r="AC393" s="3">
        <v>0</v>
      </c>
    </row>
    <row r="394" spans="2:29" x14ac:dyDescent="0.2">
      <c r="B394" s="3" t="s">
        <v>801</v>
      </c>
      <c r="C394" s="3" t="s">
        <v>802</v>
      </c>
      <c r="D394" s="8">
        <v>42384</v>
      </c>
      <c r="E394" s="3">
        <v>975</v>
      </c>
      <c r="F394" s="3" t="s">
        <v>25</v>
      </c>
      <c r="G394" s="3" t="s">
        <v>26</v>
      </c>
      <c r="H394" s="3">
        <v>965.2</v>
      </c>
      <c r="I394" s="3">
        <v>967.35</v>
      </c>
      <c r="J394" s="3">
        <v>969.5</v>
      </c>
      <c r="K394" s="3">
        <v>4.4000000000000004</v>
      </c>
      <c r="L394" s="3">
        <v>5.15</v>
      </c>
      <c r="M394" s="3">
        <v>5.9</v>
      </c>
      <c r="N394" s="3">
        <v>1</v>
      </c>
      <c r="O394" s="3">
        <v>4.9180205635639372E-3</v>
      </c>
      <c r="P394" s="3">
        <v>2.1470460560664498E-2</v>
      </c>
      <c r="Q394" s="3">
        <v>0.28827911750158813</v>
      </c>
      <c r="R394" s="3">
        <v>964.37827036113595</v>
      </c>
      <c r="S394" s="3">
        <v>2.2862430562687237</v>
      </c>
      <c r="U394" s="3">
        <v>4.5727545449294666</v>
      </c>
      <c r="V394" s="3">
        <v>2.2865114886607429</v>
      </c>
      <c r="X394" s="3">
        <v>0</v>
      </c>
      <c r="Y394" s="3">
        <v>0</v>
      </c>
      <c r="AA394" s="3">
        <v>0</v>
      </c>
      <c r="AB394" s="3">
        <v>0</v>
      </c>
      <c r="AC394" s="3">
        <v>0</v>
      </c>
    </row>
    <row r="395" spans="2:29" x14ac:dyDescent="0.2">
      <c r="B395" s="3" t="s">
        <v>803</v>
      </c>
      <c r="C395" s="3" t="s">
        <v>804</v>
      </c>
      <c r="D395" s="8">
        <v>42384</v>
      </c>
      <c r="E395" s="3">
        <v>1000</v>
      </c>
      <c r="F395" s="3" t="s">
        <v>25</v>
      </c>
      <c r="G395" s="3" t="s">
        <v>26</v>
      </c>
      <c r="H395" s="3">
        <v>940.9</v>
      </c>
      <c r="I395" s="3">
        <v>943.2</v>
      </c>
      <c r="J395" s="3">
        <v>945.5</v>
      </c>
      <c r="K395" s="3">
        <v>4.9000000000000004</v>
      </c>
      <c r="L395" s="3">
        <v>5.7</v>
      </c>
      <c r="M395" s="3">
        <v>6.5</v>
      </c>
      <c r="N395" s="3">
        <v>1</v>
      </c>
      <c r="O395" s="3">
        <v>4.9180205635639372E-3</v>
      </c>
      <c r="P395" s="3">
        <v>2.1470460560664498E-2</v>
      </c>
      <c r="Q395" s="3">
        <v>0.28827911750158813</v>
      </c>
      <c r="R395" s="3">
        <v>940.13246478536621</v>
      </c>
      <c r="S395" s="3">
        <v>2.8915853337933335</v>
      </c>
      <c r="U395" s="3">
        <v>5.1334822619327269</v>
      </c>
      <c r="V395" s="3">
        <v>2.2418969281393935</v>
      </c>
      <c r="X395" s="3">
        <v>0</v>
      </c>
      <c r="Y395" s="3">
        <v>0</v>
      </c>
      <c r="AA395" s="3">
        <v>0</v>
      </c>
      <c r="AB395" s="3">
        <v>0</v>
      </c>
      <c r="AC395" s="3">
        <v>0</v>
      </c>
    </row>
    <row r="396" spans="2:29" x14ac:dyDescent="0.2">
      <c r="B396" s="3" t="s">
        <v>805</v>
      </c>
      <c r="C396" s="3" t="s">
        <v>806</v>
      </c>
      <c r="D396" s="8">
        <v>42384</v>
      </c>
      <c r="E396" s="3">
        <v>1025</v>
      </c>
      <c r="F396" s="3" t="s">
        <v>25</v>
      </c>
      <c r="G396" s="3" t="s">
        <v>26</v>
      </c>
      <c r="H396" s="3">
        <v>916.6</v>
      </c>
      <c r="I396" s="3">
        <v>918.85</v>
      </c>
      <c r="J396" s="3">
        <v>921.1</v>
      </c>
      <c r="K396" s="3">
        <v>5.6</v>
      </c>
      <c r="L396" s="3">
        <v>6.35</v>
      </c>
      <c r="M396" s="3">
        <v>7.1</v>
      </c>
      <c r="N396" s="3">
        <v>1</v>
      </c>
      <c r="O396" s="3">
        <v>4.9180205635639372E-3</v>
      </c>
      <c r="P396" s="3">
        <v>2.1470460560664498E-2</v>
      </c>
      <c r="Q396" s="3">
        <v>0.28827911750158813</v>
      </c>
      <c r="R396" s="3">
        <v>916.00744771658583</v>
      </c>
      <c r="S396" s="3">
        <v>3.6177161183073423</v>
      </c>
      <c r="U396" s="3">
        <v>5.8702401406316085</v>
      </c>
      <c r="V396" s="3">
        <v>2.2525240223242662</v>
      </c>
      <c r="X396" s="3">
        <v>0</v>
      </c>
      <c r="Y396" s="3">
        <v>0</v>
      </c>
      <c r="AA396" s="3">
        <v>0</v>
      </c>
      <c r="AB396" s="3">
        <v>0</v>
      </c>
      <c r="AC396" s="3">
        <v>0</v>
      </c>
    </row>
    <row r="397" spans="2:29" x14ac:dyDescent="0.2">
      <c r="B397" s="3" t="s">
        <v>807</v>
      </c>
      <c r="C397" s="3" t="s">
        <v>808</v>
      </c>
      <c r="D397" s="8">
        <v>42384</v>
      </c>
      <c r="E397" s="3">
        <v>1050</v>
      </c>
      <c r="F397" s="3" t="s">
        <v>25</v>
      </c>
      <c r="G397" s="3" t="s">
        <v>26</v>
      </c>
      <c r="H397" s="3">
        <v>892.4</v>
      </c>
      <c r="I397" s="3">
        <v>894.7</v>
      </c>
      <c r="J397" s="3">
        <v>897</v>
      </c>
      <c r="K397" s="3">
        <v>6.2</v>
      </c>
      <c r="L397" s="3">
        <v>6.95</v>
      </c>
      <c r="M397" s="3">
        <v>7.7</v>
      </c>
      <c r="N397" s="3">
        <v>1</v>
      </c>
      <c r="O397" s="3">
        <v>4.9180205635639372E-3</v>
      </c>
      <c r="P397" s="3">
        <v>2.1470460560664498E-2</v>
      </c>
      <c r="Q397" s="3">
        <v>0.28827911750158813</v>
      </c>
      <c r="R397" s="3">
        <v>892.01893550955162</v>
      </c>
      <c r="S397" s="3">
        <v>4.4803517645672599</v>
      </c>
      <c r="U397" s="3">
        <v>6.5769509272357709</v>
      </c>
      <c r="V397" s="3">
        <v>2.096599162668511</v>
      </c>
      <c r="X397" s="3">
        <v>0</v>
      </c>
      <c r="Y397" s="3">
        <v>0</v>
      </c>
      <c r="AA397" s="3">
        <v>0</v>
      </c>
      <c r="AB397" s="3">
        <v>0</v>
      </c>
      <c r="AC397" s="3">
        <v>0</v>
      </c>
    </row>
    <row r="398" spans="2:29" x14ac:dyDescent="0.2">
      <c r="B398" s="3" t="s">
        <v>809</v>
      </c>
      <c r="C398" s="3" t="s">
        <v>810</v>
      </c>
      <c r="D398" s="8">
        <v>42384</v>
      </c>
      <c r="E398" s="3">
        <v>1075</v>
      </c>
      <c r="F398" s="3" t="s">
        <v>25</v>
      </c>
      <c r="G398" s="3" t="s">
        <v>26</v>
      </c>
      <c r="H398" s="3">
        <v>868.2</v>
      </c>
      <c r="I398" s="3">
        <v>870.55</v>
      </c>
      <c r="J398" s="3">
        <v>872.9</v>
      </c>
      <c r="K398" s="3">
        <v>6.9</v>
      </c>
      <c r="L398" s="3">
        <v>7.7</v>
      </c>
      <c r="M398" s="3">
        <v>8.5</v>
      </c>
      <c r="N398" s="3">
        <v>1</v>
      </c>
      <c r="O398" s="3">
        <v>4.9180205635639372E-3</v>
      </c>
      <c r="P398" s="3">
        <v>2.1470460560664498E-2</v>
      </c>
      <c r="Q398" s="3">
        <v>0.28827911750158813</v>
      </c>
      <c r="R398" s="3">
        <v>868.18334452369527</v>
      </c>
      <c r="S398" s="3">
        <v>5.495908632005218</v>
      </c>
      <c r="U398" s="3">
        <v>7.3268120127023622</v>
      </c>
      <c r="V398" s="3">
        <v>1.8309033806971442</v>
      </c>
      <c r="X398" s="3">
        <v>0</v>
      </c>
      <c r="Y398" s="3">
        <v>0</v>
      </c>
      <c r="AA398" s="3">
        <v>0</v>
      </c>
      <c r="AB398" s="3">
        <v>0</v>
      </c>
      <c r="AC398" s="3">
        <v>0</v>
      </c>
    </row>
    <row r="399" spans="2:29" x14ac:dyDescent="0.2">
      <c r="B399" s="3" t="s">
        <v>811</v>
      </c>
      <c r="C399" s="3" t="s">
        <v>812</v>
      </c>
      <c r="D399" s="8">
        <v>42384</v>
      </c>
      <c r="E399" s="3">
        <v>1100</v>
      </c>
      <c r="F399" s="3" t="s">
        <v>25</v>
      </c>
      <c r="G399" s="3" t="s">
        <v>26</v>
      </c>
      <c r="H399" s="3">
        <v>844.2</v>
      </c>
      <c r="I399" s="3">
        <v>846.65</v>
      </c>
      <c r="J399" s="3">
        <v>849.1</v>
      </c>
      <c r="K399" s="3">
        <v>7.7</v>
      </c>
      <c r="L399" s="3">
        <v>8.4499999999999993</v>
      </c>
      <c r="M399" s="3">
        <v>9.1999999999999993</v>
      </c>
      <c r="N399" s="3">
        <v>1</v>
      </c>
      <c r="O399" s="3">
        <v>4.9180205635639372E-3</v>
      </c>
      <c r="P399" s="3">
        <v>2.1470460560664498E-2</v>
      </c>
      <c r="Q399" s="3">
        <v>0.28827911750158813</v>
      </c>
      <c r="R399" s="3">
        <v>844.51766455647112</v>
      </c>
      <c r="S399" s="3">
        <v>6.6813765180753819</v>
      </c>
      <c r="U399" s="3">
        <v>8.2017770235802345</v>
      </c>
      <c r="V399" s="3">
        <v>1.5204005055048526</v>
      </c>
      <c r="X399" s="3">
        <v>0</v>
      </c>
      <c r="Y399" s="3">
        <v>0</v>
      </c>
      <c r="AA399" s="3">
        <v>0</v>
      </c>
      <c r="AB399" s="3">
        <v>0</v>
      </c>
      <c r="AC399" s="3">
        <v>0</v>
      </c>
    </row>
    <row r="400" spans="2:29" x14ac:dyDescent="0.2">
      <c r="B400" s="3" t="s">
        <v>813</v>
      </c>
      <c r="C400" s="3" t="s">
        <v>814</v>
      </c>
      <c r="D400" s="8">
        <v>42384</v>
      </c>
      <c r="E400" s="3">
        <v>1125</v>
      </c>
      <c r="F400" s="3" t="s">
        <v>25</v>
      </c>
      <c r="G400" s="3" t="s">
        <v>26</v>
      </c>
      <c r="H400" s="3">
        <v>820.1</v>
      </c>
      <c r="I400" s="3">
        <v>822.55</v>
      </c>
      <c r="J400" s="3">
        <v>825</v>
      </c>
      <c r="K400" s="3">
        <v>8.6</v>
      </c>
      <c r="L400" s="3">
        <v>9.35</v>
      </c>
      <c r="M400" s="3">
        <v>10.1</v>
      </c>
      <c r="N400" s="3">
        <v>1</v>
      </c>
      <c r="O400" s="3">
        <v>4.9180205635639372E-3</v>
      </c>
      <c r="P400" s="3">
        <v>2.1470460560664498E-2</v>
      </c>
      <c r="Q400" s="3">
        <v>0.28827911750158813</v>
      </c>
      <c r="R400" s="3">
        <v>821.03932331691112</v>
      </c>
      <c r="S400" s="3">
        <v>8.0541831318096229</v>
      </c>
      <c r="U400" s="3">
        <v>9.1260917721456281</v>
      </c>
      <c r="V400" s="3">
        <v>1.0719086403360052</v>
      </c>
      <c r="X400" s="3">
        <v>0</v>
      </c>
      <c r="Y400" s="3">
        <v>0</v>
      </c>
      <c r="AA400" s="3">
        <v>0</v>
      </c>
      <c r="AB400" s="3">
        <v>0</v>
      </c>
      <c r="AC400" s="3">
        <v>0</v>
      </c>
    </row>
    <row r="401" spans="2:29" x14ac:dyDescent="0.2">
      <c r="B401" s="3" t="s">
        <v>815</v>
      </c>
      <c r="C401" s="3" t="s">
        <v>816</v>
      </c>
      <c r="D401" s="8">
        <v>42384</v>
      </c>
      <c r="E401" s="3">
        <v>1150</v>
      </c>
      <c r="F401" s="3" t="s">
        <v>25</v>
      </c>
      <c r="G401" s="3" t="s">
        <v>26</v>
      </c>
      <c r="H401" s="3">
        <v>796</v>
      </c>
      <c r="I401" s="3">
        <v>798.5</v>
      </c>
      <c r="J401" s="3">
        <v>801</v>
      </c>
      <c r="K401" s="3">
        <v>9.5</v>
      </c>
      <c r="L401" s="3">
        <v>10.25</v>
      </c>
      <c r="M401" s="3">
        <v>11</v>
      </c>
      <c r="N401" s="3">
        <v>1</v>
      </c>
      <c r="O401" s="3">
        <v>4.9180205635639372E-3</v>
      </c>
      <c r="P401" s="3">
        <v>2.1470460560664498E-2</v>
      </c>
      <c r="Q401" s="3">
        <v>0.28827911750158813</v>
      </c>
      <c r="R401" s="3">
        <v>797.76604486384008</v>
      </c>
      <c r="S401" s="3">
        <v>9.6320525320328585</v>
      </c>
      <c r="U401" s="3">
        <v>10.131705200788474</v>
      </c>
      <c r="V401" s="3">
        <v>0.49965266875561554</v>
      </c>
      <c r="X401" s="3">
        <v>0</v>
      </c>
      <c r="Y401" s="3">
        <v>0</v>
      </c>
      <c r="AA401" s="3">
        <v>0</v>
      </c>
      <c r="AB401" s="3">
        <v>0</v>
      </c>
      <c r="AC401" s="3">
        <v>0</v>
      </c>
    </row>
    <row r="402" spans="2:29" x14ac:dyDescent="0.2">
      <c r="B402" s="3" t="s">
        <v>817</v>
      </c>
      <c r="C402" s="3" t="s">
        <v>818</v>
      </c>
      <c r="D402" s="8">
        <v>42384</v>
      </c>
      <c r="E402" s="3">
        <v>1175</v>
      </c>
      <c r="F402" s="3" t="s">
        <v>25</v>
      </c>
      <c r="G402" s="3" t="s">
        <v>26</v>
      </c>
      <c r="H402" s="3">
        <v>772.4</v>
      </c>
      <c r="I402" s="3">
        <v>774.9</v>
      </c>
      <c r="J402" s="3">
        <v>777.4</v>
      </c>
      <c r="K402" s="3">
        <v>10.5</v>
      </c>
      <c r="L402" s="3">
        <v>11.25</v>
      </c>
      <c r="M402" s="3">
        <v>12</v>
      </c>
      <c r="N402" s="3">
        <v>1</v>
      </c>
      <c r="O402" s="3">
        <v>4.9180205635639372E-3</v>
      </c>
      <c r="P402" s="3">
        <v>2.1470460560664498E-2</v>
      </c>
      <c r="Q402" s="3">
        <v>0.28827911750158813</v>
      </c>
      <c r="R402" s="3">
        <v>774.71570488508382</v>
      </c>
      <c r="S402" s="3">
        <v>11.432860406571194</v>
      </c>
      <c r="U402" s="3">
        <v>11.310282497954518</v>
      </c>
      <c r="V402" s="3">
        <v>-0.12257790861667672</v>
      </c>
      <c r="X402" s="3">
        <v>0</v>
      </c>
      <c r="Y402" s="3">
        <v>0</v>
      </c>
      <c r="AA402" s="3">
        <v>0</v>
      </c>
      <c r="AB402" s="3">
        <v>0</v>
      </c>
      <c r="AC402" s="3">
        <v>0</v>
      </c>
    </row>
    <row r="403" spans="2:29" x14ac:dyDescent="0.2">
      <c r="B403" s="3" t="s">
        <v>819</v>
      </c>
      <c r="C403" s="3" t="s">
        <v>820</v>
      </c>
      <c r="D403" s="8">
        <v>42384</v>
      </c>
      <c r="E403" s="3">
        <v>1200</v>
      </c>
      <c r="F403" s="3" t="s">
        <v>25</v>
      </c>
      <c r="G403" s="3" t="s">
        <v>26</v>
      </c>
      <c r="H403" s="3">
        <v>748.6</v>
      </c>
      <c r="I403" s="3">
        <v>751.35</v>
      </c>
      <c r="J403" s="3">
        <v>754.1</v>
      </c>
      <c r="K403" s="3">
        <v>11.6</v>
      </c>
      <c r="L403" s="3">
        <v>12.4</v>
      </c>
      <c r="M403" s="3">
        <v>13.2</v>
      </c>
      <c r="N403" s="3">
        <v>1</v>
      </c>
      <c r="O403" s="3">
        <v>4.9180205635639372E-3</v>
      </c>
      <c r="P403" s="3">
        <v>2.1470460560664498E-2</v>
      </c>
      <c r="Q403" s="3">
        <v>0.28419178751321827</v>
      </c>
      <c r="R403" s="3">
        <v>751.06753951410951</v>
      </c>
      <c r="S403" s="3">
        <v>12.635842888890721</v>
      </c>
      <c r="U403" s="3">
        <v>12.349311169732914</v>
      </c>
      <c r="V403" s="3">
        <v>-0.28653171915780717</v>
      </c>
      <c r="X403" s="3">
        <v>0</v>
      </c>
      <c r="Y403" s="3">
        <v>0</v>
      </c>
      <c r="AA403" s="3">
        <v>0</v>
      </c>
      <c r="AB403" s="3">
        <v>0</v>
      </c>
      <c r="AC403" s="3">
        <v>0</v>
      </c>
    </row>
    <row r="404" spans="2:29" x14ac:dyDescent="0.2">
      <c r="B404" s="3" t="s">
        <v>821</v>
      </c>
      <c r="C404" s="3" t="s">
        <v>822</v>
      </c>
      <c r="D404" s="8">
        <v>42384</v>
      </c>
      <c r="E404" s="3">
        <v>1225</v>
      </c>
      <c r="F404" s="3" t="s">
        <v>25</v>
      </c>
      <c r="G404" s="3" t="s">
        <v>26</v>
      </c>
      <c r="H404" s="3">
        <v>725</v>
      </c>
      <c r="I404" s="3">
        <v>727.65</v>
      </c>
      <c r="J404" s="3">
        <v>730.3</v>
      </c>
      <c r="K404" s="3">
        <v>13</v>
      </c>
      <c r="L404" s="3">
        <v>13.8</v>
      </c>
      <c r="M404" s="3">
        <v>14.6</v>
      </c>
      <c r="N404" s="3">
        <v>1</v>
      </c>
      <c r="O404" s="3">
        <v>4.9180205635639372E-3</v>
      </c>
      <c r="P404" s="3">
        <v>2.1470460560664498E-2</v>
      </c>
      <c r="Q404" s="3">
        <v>0.28010445752484847</v>
      </c>
      <c r="R404" s="3">
        <v>727.51496616212103</v>
      </c>
      <c r="S404" s="3">
        <v>13.93441739019697</v>
      </c>
      <c r="U404" s="3">
        <v>13.804558833097872</v>
      </c>
      <c r="V404" s="3">
        <v>-0.12985855709909799</v>
      </c>
      <c r="X404" s="3">
        <v>0</v>
      </c>
      <c r="Y404" s="3">
        <v>0</v>
      </c>
      <c r="AA404" s="3">
        <v>0</v>
      </c>
      <c r="AB404" s="3">
        <v>0</v>
      </c>
      <c r="AC404" s="3">
        <v>0</v>
      </c>
    </row>
    <row r="405" spans="2:29" x14ac:dyDescent="0.2">
      <c r="B405" s="3" t="s">
        <v>823</v>
      </c>
      <c r="C405" s="3" t="s">
        <v>824</v>
      </c>
      <c r="D405" s="8">
        <v>42384</v>
      </c>
      <c r="E405" s="3">
        <v>1250</v>
      </c>
      <c r="F405" s="3" t="s">
        <v>25</v>
      </c>
      <c r="G405" s="3" t="s">
        <v>26</v>
      </c>
      <c r="H405" s="3">
        <v>701.2</v>
      </c>
      <c r="I405" s="3">
        <v>703.9</v>
      </c>
      <c r="J405" s="3">
        <v>706.6</v>
      </c>
      <c r="K405" s="3">
        <v>14.4</v>
      </c>
      <c r="L405" s="3">
        <v>15.3</v>
      </c>
      <c r="M405" s="3">
        <v>16.2</v>
      </c>
      <c r="N405" s="3">
        <v>1</v>
      </c>
      <c r="O405" s="3">
        <v>4.9180205635639372E-3</v>
      </c>
      <c r="P405" s="3">
        <v>2.1470460560664498E-2</v>
      </c>
      <c r="Q405" s="3">
        <v>0.27600382156946235</v>
      </c>
      <c r="R405" s="3">
        <v>704.06077969443049</v>
      </c>
      <c r="S405" s="3">
        <v>15.331378775800474</v>
      </c>
      <c r="U405" s="3">
        <v>15.015890664267545</v>
      </c>
      <c r="V405" s="3">
        <v>-0.31548811153292888</v>
      </c>
      <c r="X405" s="3">
        <v>0</v>
      </c>
      <c r="Y405" s="3">
        <v>0</v>
      </c>
      <c r="AA405" s="3">
        <v>0</v>
      </c>
      <c r="AB405" s="3">
        <v>0</v>
      </c>
      <c r="AC405" s="3">
        <v>0</v>
      </c>
    </row>
    <row r="406" spans="2:29" x14ac:dyDescent="0.2">
      <c r="B406" s="3" t="s">
        <v>825</v>
      </c>
      <c r="C406" s="3" t="s">
        <v>826</v>
      </c>
      <c r="D406" s="8">
        <v>42384</v>
      </c>
      <c r="E406" s="3">
        <v>1275</v>
      </c>
      <c r="F406" s="3" t="s">
        <v>25</v>
      </c>
      <c r="G406" s="3" t="s">
        <v>26</v>
      </c>
      <c r="H406" s="3">
        <v>677.9</v>
      </c>
      <c r="I406" s="3">
        <v>680.6</v>
      </c>
      <c r="J406" s="3">
        <v>683.3</v>
      </c>
      <c r="K406" s="3">
        <v>16</v>
      </c>
      <c r="L406" s="3">
        <v>16.95</v>
      </c>
      <c r="M406" s="3">
        <v>17.899999999999999</v>
      </c>
      <c r="N406" s="3">
        <v>1</v>
      </c>
      <c r="O406" s="3">
        <v>4.9180205635639372E-3</v>
      </c>
      <c r="P406" s="3">
        <v>2.1470460560664498E-2</v>
      </c>
      <c r="Q406" s="3">
        <v>0.27190318561407628</v>
      </c>
      <c r="R406" s="3">
        <v>680.71394949214709</v>
      </c>
      <c r="S406" s="3">
        <v>16.835696426811523</v>
      </c>
      <c r="U406" s="3">
        <v>16.846057193640718</v>
      </c>
      <c r="V406" s="3">
        <v>1.036076682919429E-2</v>
      </c>
      <c r="X406" s="3">
        <v>0</v>
      </c>
      <c r="Y406" s="3">
        <v>0</v>
      </c>
      <c r="AA406" s="3">
        <v>0</v>
      </c>
      <c r="AB406" s="3">
        <v>0</v>
      </c>
      <c r="AC406" s="3">
        <v>0</v>
      </c>
    </row>
    <row r="407" spans="2:29" x14ac:dyDescent="0.2">
      <c r="B407" s="3" t="s">
        <v>827</v>
      </c>
      <c r="C407" s="3" t="s">
        <v>828</v>
      </c>
      <c r="D407" s="8">
        <v>42384</v>
      </c>
      <c r="E407" s="3">
        <v>1300</v>
      </c>
      <c r="F407" s="3" t="s">
        <v>25</v>
      </c>
      <c r="G407" s="3" t="s">
        <v>26</v>
      </c>
      <c r="H407" s="3">
        <v>654.70000000000005</v>
      </c>
      <c r="I407" s="3">
        <v>657.45</v>
      </c>
      <c r="J407" s="3">
        <v>660.2</v>
      </c>
      <c r="K407" s="3">
        <v>17.600000000000001</v>
      </c>
      <c r="L407" s="3">
        <v>18.600000000000001</v>
      </c>
      <c r="M407" s="3">
        <v>19.600000000000001</v>
      </c>
      <c r="N407" s="3">
        <v>1</v>
      </c>
      <c r="O407" s="3">
        <v>4.9180205635639372E-3</v>
      </c>
      <c r="P407" s="3">
        <v>2.1470460560664498E-2</v>
      </c>
      <c r="Q407" s="3">
        <v>0.26813307186263469</v>
      </c>
      <c r="R407" s="3">
        <v>657.57115435973105</v>
      </c>
      <c r="S407" s="3">
        <v>18.544049147689577</v>
      </c>
      <c r="U407" s="3">
        <v>18.345787771401888</v>
      </c>
      <c r="V407" s="3">
        <v>-0.19826137628768947</v>
      </c>
      <c r="X407" s="3">
        <v>0</v>
      </c>
      <c r="Y407" s="3">
        <v>0</v>
      </c>
      <c r="AA407" s="3">
        <v>0</v>
      </c>
      <c r="AB407" s="3">
        <v>0</v>
      </c>
      <c r="AC407" s="3">
        <v>0</v>
      </c>
    </row>
    <row r="408" spans="2:29" x14ac:dyDescent="0.2">
      <c r="B408" s="3" t="s">
        <v>829</v>
      </c>
      <c r="C408" s="3" t="s">
        <v>830</v>
      </c>
      <c r="D408" s="8">
        <v>42384</v>
      </c>
      <c r="E408" s="3">
        <v>1325</v>
      </c>
      <c r="F408" s="3" t="s">
        <v>25</v>
      </c>
      <c r="G408" s="3" t="s">
        <v>26</v>
      </c>
      <c r="H408" s="3">
        <v>631.70000000000005</v>
      </c>
      <c r="I408" s="3">
        <v>634.4</v>
      </c>
      <c r="J408" s="3">
        <v>637.1</v>
      </c>
      <c r="K408" s="3">
        <v>19.5</v>
      </c>
      <c r="L408" s="3">
        <v>20.55</v>
      </c>
      <c r="M408" s="3">
        <v>21.6</v>
      </c>
      <c r="N408" s="3">
        <v>1</v>
      </c>
      <c r="O408" s="3">
        <v>4.9180205635639372E-3</v>
      </c>
      <c r="P408" s="3">
        <v>2.1470460560664498E-2</v>
      </c>
      <c r="Q408" s="3">
        <v>0.26436295811119315</v>
      </c>
      <c r="R408" s="3">
        <v>634.56270780158547</v>
      </c>
      <c r="S408" s="3">
        <v>20.386750442838036</v>
      </c>
      <c r="U408" s="3">
        <v>20.226391232054993</v>
      </c>
      <c r="V408" s="3">
        <v>-0.16035921078304227</v>
      </c>
      <c r="X408" s="3">
        <v>0</v>
      </c>
      <c r="Y408" s="3">
        <v>0</v>
      </c>
      <c r="AA408" s="3">
        <v>0</v>
      </c>
      <c r="AB408" s="3">
        <v>0</v>
      </c>
      <c r="AC408" s="3">
        <v>0</v>
      </c>
    </row>
    <row r="409" spans="2:29" x14ac:dyDescent="0.2">
      <c r="B409" s="3" t="s">
        <v>831</v>
      </c>
      <c r="C409" s="3" t="s">
        <v>832</v>
      </c>
      <c r="D409" s="8">
        <v>42384</v>
      </c>
      <c r="E409" s="3">
        <v>1350</v>
      </c>
      <c r="F409" s="3" t="s">
        <v>25</v>
      </c>
      <c r="G409" s="3" t="s">
        <v>26</v>
      </c>
      <c r="H409" s="3">
        <v>608.9</v>
      </c>
      <c r="I409" s="3">
        <v>611.54999999999995</v>
      </c>
      <c r="J409" s="3">
        <v>614.20000000000005</v>
      </c>
      <c r="K409" s="3">
        <v>21.4</v>
      </c>
      <c r="L409" s="3">
        <v>22.5</v>
      </c>
      <c r="M409" s="3">
        <v>23.6</v>
      </c>
      <c r="N409" s="3">
        <v>1</v>
      </c>
      <c r="O409" s="3">
        <v>4.9180205635639372E-3</v>
      </c>
      <c r="P409" s="3">
        <v>2.1470460560664498E-2</v>
      </c>
      <c r="Q409" s="3">
        <v>0.26052333224150426</v>
      </c>
      <c r="R409" s="3">
        <v>611.67528973610843</v>
      </c>
      <c r="S409" s="3">
        <v>22.350480230655734</v>
      </c>
      <c r="U409" s="3">
        <v>22.103057287228694</v>
      </c>
      <c r="V409" s="3">
        <v>-0.24742294342703985</v>
      </c>
      <c r="X409" s="3">
        <v>0</v>
      </c>
      <c r="Y409" s="3">
        <v>0</v>
      </c>
      <c r="AA409" s="3">
        <v>0</v>
      </c>
      <c r="AB409" s="3">
        <v>0</v>
      </c>
      <c r="AC409" s="3">
        <v>0</v>
      </c>
    </row>
    <row r="410" spans="2:29" x14ac:dyDescent="0.2">
      <c r="B410" s="3" t="s">
        <v>833</v>
      </c>
      <c r="C410" s="3" t="s">
        <v>834</v>
      </c>
      <c r="D410" s="8">
        <v>42384</v>
      </c>
      <c r="E410" s="3">
        <v>1375</v>
      </c>
      <c r="F410" s="3" t="s">
        <v>25</v>
      </c>
      <c r="G410" s="3" t="s">
        <v>26</v>
      </c>
      <c r="H410" s="3">
        <v>586.1</v>
      </c>
      <c r="I410" s="3">
        <v>588.79999999999995</v>
      </c>
      <c r="J410" s="3">
        <v>591.5</v>
      </c>
      <c r="K410" s="3">
        <v>23.5</v>
      </c>
      <c r="L410" s="3">
        <v>24.6</v>
      </c>
      <c r="M410" s="3">
        <v>25.7</v>
      </c>
      <c r="N410" s="3">
        <v>1</v>
      </c>
      <c r="O410" s="3">
        <v>4.9180205635639372E-3</v>
      </c>
      <c r="P410" s="3">
        <v>2.1470460560664498E-2</v>
      </c>
      <c r="Q410" s="3">
        <v>0.25668370637181542</v>
      </c>
      <c r="R410" s="3">
        <v>588.93669213107523</v>
      </c>
      <c r="S410" s="3">
        <v>24.463030478916693</v>
      </c>
      <c r="U410" s="3">
        <v>23.945930129249632</v>
      </c>
      <c r="V410" s="3">
        <v>-0.51710034966706075</v>
      </c>
      <c r="X410" s="3">
        <v>0</v>
      </c>
      <c r="Y410" s="3">
        <v>0</v>
      </c>
      <c r="AA410" s="3">
        <v>0</v>
      </c>
      <c r="AB410" s="3">
        <v>0</v>
      </c>
      <c r="AC410" s="3">
        <v>0</v>
      </c>
    </row>
    <row r="411" spans="2:29" x14ac:dyDescent="0.2">
      <c r="B411" s="3" t="s">
        <v>835</v>
      </c>
      <c r="C411" s="3" t="s">
        <v>836</v>
      </c>
      <c r="D411" s="8">
        <v>42384</v>
      </c>
      <c r="E411" s="3">
        <v>1400</v>
      </c>
      <c r="F411" s="3" t="s">
        <v>25</v>
      </c>
      <c r="G411" s="3" t="s">
        <v>26</v>
      </c>
      <c r="H411" s="3">
        <v>563.5</v>
      </c>
      <c r="I411" s="3">
        <v>566.20000000000005</v>
      </c>
      <c r="J411" s="3">
        <v>568.9</v>
      </c>
      <c r="K411" s="3">
        <v>25.7</v>
      </c>
      <c r="L411" s="3">
        <v>26.85</v>
      </c>
      <c r="M411" s="3">
        <v>28</v>
      </c>
      <c r="N411" s="3">
        <v>1</v>
      </c>
      <c r="O411" s="3">
        <v>4.9180205635639372E-3</v>
      </c>
      <c r="P411" s="3">
        <v>2.1470460560664498E-2</v>
      </c>
      <c r="Q411" s="3">
        <v>0.25283256849023994</v>
      </c>
      <c r="R411" s="3">
        <v>566.35222739168807</v>
      </c>
      <c r="S411" s="3">
        <v>26.729713592824112</v>
      </c>
      <c r="U411" s="3">
        <v>26.309824039638215</v>
      </c>
      <c r="V411" s="3">
        <v>-0.4198895531858966</v>
      </c>
      <c r="X411" s="3">
        <v>0</v>
      </c>
      <c r="Y411" s="3">
        <v>0</v>
      </c>
      <c r="AA411" s="3">
        <v>0</v>
      </c>
      <c r="AB411" s="3">
        <v>0</v>
      </c>
      <c r="AC411" s="3">
        <v>0</v>
      </c>
    </row>
    <row r="412" spans="2:29" x14ac:dyDescent="0.2">
      <c r="B412" s="3" t="s">
        <v>837</v>
      </c>
      <c r="C412" s="3" t="s">
        <v>838</v>
      </c>
      <c r="D412" s="8">
        <v>42384</v>
      </c>
      <c r="E412" s="3">
        <v>1425</v>
      </c>
      <c r="F412" s="3" t="s">
        <v>25</v>
      </c>
      <c r="G412" s="3" t="s">
        <v>26</v>
      </c>
      <c r="H412" s="3">
        <v>541.1</v>
      </c>
      <c r="I412" s="3">
        <v>543.79999999999995</v>
      </c>
      <c r="J412" s="3">
        <v>546.5</v>
      </c>
      <c r="K412" s="3">
        <v>28.1</v>
      </c>
      <c r="L412" s="3">
        <v>29.3</v>
      </c>
      <c r="M412" s="3">
        <v>30.5</v>
      </c>
      <c r="N412" s="3">
        <v>1</v>
      </c>
      <c r="O412" s="3">
        <v>4.9180205635639372E-3</v>
      </c>
      <c r="P412" s="3">
        <v>2.1470460560664498E-2</v>
      </c>
      <c r="Q412" s="3">
        <v>0.24898143060866446</v>
      </c>
      <c r="R412" s="3">
        <v>543.93553304174611</v>
      </c>
      <c r="S412" s="3">
        <v>29.164167096176328</v>
      </c>
      <c r="U412" s="3">
        <v>28.679449586142823</v>
      </c>
      <c r="V412" s="3">
        <v>-0.48471751003350505</v>
      </c>
      <c r="X412" s="3">
        <v>0</v>
      </c>
      <c r="Y412" s="3">
        <v>0</v>
      </c>
      <c r="AA412" s="3">
        <v>0</v>
      </c>
      <c r="AB412" s="3">
        <v>0</v>
      </c>
      <c r="AC412" s="3">
        <v>0</v>
      </c>
    </row>
    <row r="413" spans="2:29" x14ac:dyDescent="0.2">
      <c r="B413" s="3" t="s">
        <v>839</v>
      </c>
      <c r="C413" s="3" t="s">
        <v>840</v>
      </c>
      <c r="D413" s="8">
        <v>42384</v>
      </c>
      <c r="E413" s="3">
        <v>1450</v>
      </c>
      <c r="F413" s="3" t="s">
        <v>25</v>
      </c>
      <c r="G413" s="3" t="s">
        <v>26</v>
      </c>
      <c r="H413" s="3">
        <v>518.9</v>
      </c>
      <c r="I413" s="3">
        <v>521.6</v>
      </c>
      <c r="J413" s="3">
        <v>524.29999999999995</v>
      </c>
      <c r="K413" s="3">
        <v>30.7</v>
      </c>
      <c r="L413" s="3">
        <v>31.95</v>
      </c>
      <c r="M413" s="3">
        <v>33.200000000000003</v>
      </c>
      <c r="N413" s="3">
        <v>1</v>
      </c>
      <c r="O413" s="3">
        <v>4.9180205635639372E-3</v>
      </c>
      <c r="P413" s="3">
        <v>2.1470460560664498E-2</v>
      </c>
      <c r="Q413" s="3">
        <v>0.24517174033608494</v>
      </c>
      <c r="R413" s="3">
        <v>521.71407118647767</v>
      </c>
      <c r="S413" s="3">
        <v>31.793853094202007</v>
      </c>
      <c r="U413" s="3">
        <v>31.697355873332185</v>
      </c>
      <c r="V413" s="3">
        <v>-9.6497220869821376E-2</v>
      </c>
      <c r="X413" s="3">
        <v>0</v>
      </c>
      <c r="Y413" s="3">
        <v>0</v>
      </c>
      <c r="AA413" s="3">
        <v>0</v>
      </c>
      <c r="AB413" s="3">
        <v>0</v>
      </c>
      <c r="AC413" s="3">
        <v>0</v>
      </c>
    </row>
    <row r="414" spans="2:29" x14ac:dyDescent="0.2">
      <c r="B414" s="3" t="s">
        <v>841</v>
      </c>
      <c r="C414" s="3" t="s">
        <v>842</v>
      </c>
      <c r="D414" s="8">
        <v>42384</v>
      </c>
      <c r="E414" s="3">
        <v>1475</v>
      </c>
      <c r="F414" s="3" t="s">
        <v>25</v>
      </c>
      <c r="G414" s="3" t="s">
        <v>26</v>
      </c>
      <c r="H414" s="3">
        <v>496.9</v>
      </c>
      <c r="I414" s="3">
        <v>499.6</v>
      </c>
      <c r="J414" s="3">
        <v>502.3</v>
      </c>
      <c r="K414" s="3">
        <v>33.4</v>
      </c>
      <c r="L414" s="3">
        <v>34.700000000000003</v>
      </c>
      <c r="M414" s="3">
        <v>36</v>
      </c>
      <c r="N414" s="3">
        <v>1</v>
      </c>
      <c r="O414" s="3">
        <v>4.9180205635639372E-3</v>
      </c>
      <c r="P414" s="3">
        <v>2.1470460560664498E-2</v>
      </c>
      <c r="Q414" s="3">
        <v>0.24136205006350542</v>
      </c>
      <c r="R414" s="3">
        <v>499.68454674127474</v>
      </c>
      <c r="S414" s="3">
        <v>34.615476502293433</v>
      </c>
      <c r="U414" s="3">
        <v>34.06561154704076</v>
      </c>
      <c r="V414" s="3">
        <v>-0.54986495525267287</v>
      </c>
      <c r="X414" s="3">
        <v>0</v>
      </c>
      <c r="Y414" s="3">
        <v>0</v>
      </c>
      <c r="AA414" s="3">
        <v>0</v>
      </c>
      <c r="AB414" s="3">
        <v>0</v>
      </c>
      <c r="AC414" s="3">
        <v>0</v>
      </c>
    </row>
    <row r="415" spans="2:29" x14ac:dyDescent="0.2">
      <c r="B415" s="3" t="s">
        <v>843</v>
      </c>
      <c r="C415" s="3" t="s">
        <v>844</v>
      </c>
      <c r="D415" s="8">
        <v>42384</v>
      </c>
      <c r="E415" s="3">
        <v>1500</v>
      </c>
      <c r="F415" s="3" t="s">
        <v>25</v>
      </c>
      <c r="G415" s="3" t="s">
        <v>26</v>
      </c>
      <c r="H415" s="3">
        <v>475.1</v>
      </c>
      <c r="I415" s="3">
        <v>478</v>
      </c>
      <c r="J415" s="3">
        <v>480.9</v>
      </c>
      <c r="K415" s="3">
        <v>36.4</v>
      </c>
      <c r="L415" s="3">
        <v>37.75</v>
      </c>
      <c r="M415" s="3">
        <v>39.1</v>
      </c>
      <c r="N415" s="3">
        <v>1</v>
      </c>
      <c r="O415" s="3">
        <v>4.9180205635639372E-3</v>
      </c>
      <c r="P415" s="3">
        <v>2.1470460560664498E-2</v>
      </c>
      <c r="Q415" s="3">
        <v>0.23755986643052152</v>
      </c>
      <c r="R415" s="3">
        <v>477.86265728497074</v>
      </c>
      <c r="S415" s="3">
        <v>37.644734899283804</v>
      </c>
      <c r="U415" s="3">
        <v>37.133173292418917</v>
      </c>
      <c r="V415" s="3">
        <v>-0.51156160686488761</v>
      </c>
      <c r="X415" s="3">
        <v>0</v>
      </c>
      <c r="Y415" s="3">
        <v>0</v>
      </c>
      <c r="AA415" s="3">
        <v>0</v>
      </c>
      <c r="AB415" s="3">
        <v>0</v>
      </c>
      <c r="AC415" s="3">
        <v>0</v>
      </c>
    </row>
    <row r="416" spans="2:29" x14ac:dyDescent="0.2">
      <c r="B416" s="3" t="s">
        <v>845</v>
      </c>
      <c r="C416" s="3" t="s">
        <v>846</v>
      </c>
      <c r="D416" s="8">
        <v>42384</v>
      </c>
      <c r="E416" s="3">
        <v>1525</v>
      </c>
      <c r="F416" s="3" t="s">
        <v>25</v>
      </c>
      <c r="G416" s="3" t="s">
        <v>26</v>
      </c>
      <c r="H416" s="3">
        <v>453.5</v>
      </c>
      <c r="I416" s="3">
        <v>456.2</v>
      </c>
      <c r="J416" s="3">
        <v>458.9</v>
      </c>
      <c r="K416" s="3">
        <v>39.6</v>
      </c>
      <c r="L416" s="3">
        <v>40.950000000000003</v>
      </c>
      <c r="M416" s="3">
        <v>42.3</v>
      </c>
      <c r="N416" s="3">
        <v>1</v>
      </c>
      <c r="O416" s="3">
        <v>4.9180205635639372E-3</v>
      </c>
      <c r="P416" s="3">
        <v>2.1470460560664498E-2</v>
      </c>
      <c r="Q416" s="3">
        <v>0.23375768279753761</v>
      </c>
      <c r="R416" s="3">
        <v>456.25849841094646</v>
      </c>
      <c r="S416" s="3">
        <v>40.891723878553648</v>
      </c>
      <c r="U416" s="3">
        <v>41.00232722233352</v>
      </c>
      <c r="V416" s="3">
        <v>0.11060334377987147</v>
      </c>
      <c r="X416" s="3">
        <v>0</v>
      </c>
      <c r="Y416" s="3">
        <v>0</v>
      </c>
      <c r="AA416" s="3">
        <v>0</v>
      </c>
      <c r="AB416" s="3">
        <v>0</v>
      </c>
      <c r="AC416" s="3">
        <v>0</v>
      </c>
    </row>
    <row r="417" spans="2:29" x14ac:dyDescent="0.2">
      <c r="B417" s="3" t="s">
        <v>847</v>
      </c>
      <c r="C417" s="3" t="s">
        <v>848</v>
      </c>
      <c r="D417" s="8">
        <v>42384</v>
      </c>
      <c r="E417" s="3">
        <v>1550</v>
      </c>
      <c r="F417" s="3" t="s">
        <v>25</v>
      </c>
      <c r="G417" s="3" t="s">
        <v>26</v>
      </c>
      <c r="H417" s="3">
        <v>432.1</v>
      </c>
      <c r="I417" s="3">
        <v>434.85</v>
      </c>
      <c r="J417" s="3">
        <v>437.6</v>
      </c>
      <c r="K417" s="3">
        <v>43</v>
      </c>
      <c r="L417" s="3">
        <v>44.5</v>
      </c>
      <c r="M417" s="3">
        <v>46</v>
      </c>
      <c r="N417" s="3">
        <v>1</v>
      </c>
      <c r="O417" s="3">
        <v>4.9180205635639372E-3</v>
      </c>
      <c r="P417" s="3">
        <v>2.1470460560664498E-2</v>
      </c>
      <c r="Q417" s="3">
        <v>0.22992901428656942</v>
      </c>
      <c r="R417" s="3">
        <v>434.87269287259323</v>
      </c>
      <c r="S417" s="3">
        <v>44.357066193494916</v>
      </c>
      <c r="U417" s="3">
        <v>44.155013721365435</v>
      </c>
      <c r="V417" s="3">
        <v>-0.20205247212948052</v>
      </c>
      <c r="X417" s="3">
        <v>0</v>
      </c>
      <c r="Y417" s="3">
        <v>0</v>
      </c>
      <c r="AA417" s="3">
        <v>0</v>
      </c>
      <c r="AB417" s="3">
        <v>0</v>
      </c>
      <c r="AC417" s="3">
        <v>0</v>
      </c>
    </row>
    <row r="418" spans="2:29" x14ac:dyDescent="0.2">
      <c r="B418" s="3" t="s">
        <v>849</v>
      </c>
      <c r="C418" s="3" t="s">
        <v>850</v>
      </c>
      <c r="D418" s="8">
        <v>42384</v>
      </c>
      <c r="E418" s="3">
        <v>1575</v>
      </c>
      <c r="F418" s="3" t="s">
        <v>25</v>
      </c>
      <c r="G418" s="3" t="s">
        <v>26</v>
      </c>
      <c r="H418" s="3">
        <v>411</v>
      </c>
      <c r="I418" s="3">
        <v>413.6</v>
      </c>
      <c r="J418" s="3">
        <v>416.2</v>
      </c>
      <c r="K418" s="3">
        <v>46.6</v>
      </c>
      <c r="L418" s="3">
        <v>48.2</v>
      </c>
      <c r="M418" s="3">
        <v>49.8</v>
      </c>
      <c r="N418" s="3">
        <v>1</v>
      </c>
      <c r="O418" s="3">
        <v>4.9180205635639372E-3</v>
      </c>
      <c r="P418" s="3">
        <v>2.1470460560664498E-2</v>
      </c>
      <c r="Q418" s="3">
        <v>0.22610034577560123</v>
      </c>
      <c r="R418" s="3">
        <v>413.73218435668673</v>
      </c>
      <c r="S418" s="3">
        <v>48.067705530882677</v>
      </c>
      <c r="U418" s="3">
        <v>48.167391543971235</v>
      </c>
      <c r="V418" s="3">
        <v>9.9686013088557957E-2</v>
      </c>
      <c r="X418" s="3">
        <v>0</v>
      </c>
      <c r="Y418" s="3">
        <v>0</v>
      </c>
      <c r="AA418" s="3">
        <v>0</v>
      </c>
      <c r="AB418" s="3">
        <v>0</v>
      </c>
      <c r="AC418" s="3">
        <v>0</v>
      </c>
    </row>
    <row r="419" spans="2:29" x14ac:dyDescent="0.2">
      <c r="B419" s="3" t="s">
        <v>851</v>
      </c>
      <c r="C419" s="3" t="s">
        <v>852</v>
      </c>
      <c r="D419" s="8">
        <v>42384</v>
      </c>
      <c r="E419" s="3">
        <v>1600</v>
      </c>
      <c r="F419" s="3" t="s">
        <v>25</v>
      </c>
      <c r="G419" s="3" t="s">
        <v>26</v>
      </c>
      <c r="H419" s="3">
        <v>390.1</v>
      </c>
      <c r="I419" s="3">
        <v>392.55</v>
      </c>
      <c r="J419" s="3">
        <v>395</v>
      </c>
      <c r="K419" s="3">
        <v>50.5</v>
      </c>
      <c r="L419" s="3">
        <v>52.15</v>
      </c>
      <c r="M419" s="3">
        <v>53.8</v>
      </c>
      <c r="N419" s="3">
        <v>1</v>
      </c>
      <c r="O419" s="3">
        <v>4.9180205635639372E-3</v>
      </c>
      <c r="P419" s="3">
        <v>2.1470460560664498E-2</v>
      </c>
      <c r="Q419" s="3">
        <v>0.22209915525749002</v>
      </c>
      <c r="R419" s="3">
        <v>392.75656561508481</v>
      </c>
      <c r="S419" s="3">
        <v>51.943234642574851</v>
      </c>
      <c r="U419" s="3">
        <v>52.264371983325361</v>
      </c>
      <c r="V419" s="3">
        <v>0.3211373407505107</v>
      </c>
      <c r="X419" s="3">
        <v>0</v>
      </c>
      <c r="Y419" s="3">
        <v>0</v>
      </c>
      <c r="AA419" s="3">
        <v>0</v>
      </c>
      <c r="AB419" s="3">
        <v>0</v>
      </c>
      <c r="AC419" s="3">
        <v>0</v>
      </c>
    </row>
    <row r="420" spans="2:29" x14ac:dyDescent="0.2">
      <c r="B420" s="3" t="s">
        <v>853</v>
      </c>
      <c r="C420" s="3" t="s">
        <v>854</v>
      </c>
      <c r="D420" s="8">
        <v>42384</v>
      </c>
      <c r="E420" s="3">
        <v>1625</v>
      </c>
      <c r="F420" s="3" t="s">
        <v>25</v>
      </c>
      <c r="G420" s="3" t="s">
        <v>26</v>
      </c>
      <c r="H420" s="3">
        <v>370.1</v>
      </c>
      <c r="I420" s="3">
        <v>372.6</v>
      </c>
      <c r="J420" s="3">
        <v>375.1</v>
      </c>
      <c r="K420" s="3">
        <v>54.8</v>
      </c>
      <c r="L420" s="3">
        <v>56.5</v>
      </c>
      <c r="M420" s="3">
        <v>58.2</v>
      </c>
      <c r="N420" s="3">
        <v>1</v>
      </c>
      <c r="O420" s="3">
        <v>4.9180205635639372E-3</v>
      </c>
      <c r="P420" s="3">
        <v>2.1470460560664498E-2</v>
      </c>
      <c r="Q420" s="3">
        <v>0.21891988389976319</v>
      </c>
      <c r="R420" s="3">
        <v>372.53112047917307</v>
      </c>
      <c r="S420" s="3">
        <v>56.568937359957431</v>
      </c>
      <c r="U420" s="3">
        <v>56.448765443014793</v>
      </c>
      <c r="V420" s="3">
        <v>-0.12017191694263829</v>
      </c>
      <c r="X420" s="3">
        <v>0</v>
      </c>
      <c r="Y420" s="3">
        <v>0</v>
      </c>
      <c r="AA420" s="3">
        <v>0</v>
      </c>
      <c r="AB420" s="3">
        <v>0</v>
      </c>
      <c r="AC420" s="3">
        <v>0</v>
      </c>
    </row>
    <row r="421" spans="2:29" x14ac:dyDescent="0.2">
      <c r="B421" s="3" t="s">
        <v>855</v>
      </c>
      <c r="C421" s="3" t="s">
        <v>856</v>
      </c>
      <c r="D421" s="8">
        <v>42384</v>
      </c>
      <c r="E421" s="3">
        <v>1650</v>
      </c>
      <c r="F421" s="3" t="s">
        <v>25</v>
      </c>
      <c r="G421" s="3" t="s">
        <v>26</v>
      </c>
      <c r="H421" s="3">
        <v>349.8</v>
      </c>
      <c r="I421" s="3">
        <v>351.7</v>
      </c>
      <c r="J421" s="3">
        <v>353.6</v>
      </c>
      <c r="K421" s="3">
        <v>59.3</v>
      </c>
      <c r="L421" s="3">
        <v>60.9</v>
      </c>
      <c r="M421" s="3">
        <v>62.5</v>
      </c>
      <c r="N421" s="3">
        <v>1</v>
      </c>
      <c r="O421" s="3">
        <v>4.9180205635639372E-3</v>
      </c>
      <c r="P421" s="3">
        <v>2.1470460560664498E-2</v>
      </c>
      <c r="Q421" s="3">
        <v>0.21446467714784795</v>
      </c>
      <c r="R421" s="3">
        <v>351.85556880510194</v>
      </c>
      <c r="S421" s="3">
        <v>60.744533539180566</v>
      </c>
      <c r="U421" s="3">
        <v>60.727699611056323</v>
      </c>
      <c r="V421" s="3">
        <v>-1.6833928124242448E-2</v>
      </c>
      <c r="X421" s="3">
        <v>0</v>
      </c>
      <c r="Y421" s="3">
        <v>0</v>
      </c>
      <c r="AA421" s="3">
        <v>0</v>
      </c>
      <c r="AB421" s="3">
        <v>0</v>
      </c>
      <c r="AC421" s="3">
        <v>0</v>
      </c>
    </row>
    <row r="422" spans="2:29" x14ac:dyDescent="0.2">
      <c r="B422" s="3" t="s">
        <v>857</v>
      </c>
      <c r="C422" s="3" t="s">
        <v>858</v>
      </c>
      <c r="D422" s="8">
        <v>42384</v>
      </c>
      <c r="E422" s="3">
        <v>1675</v>
      </c>
      <c r="F422" s="3" t="s">
        <v>25</v>
      </c>
      <c r="G422" s="3" t="s">
        <v>26</v>
      </c>
      <c r="H422" s="3">
        <v>329.9</v>
      </c>
      <c r="I422" s="3">
        <v>331.7</v>
      </c>
      <c r="J422" s="3">
        <v>333.5</v>
      </c>
      <c r="K422" s="3">
        <v>64.099999999999994</v>
      </c>
      <c r="L422" s="3">
        <v>65.650000000000006</v>
      </c>
      <c r="M422" s="3">
        <v>67.2</v>
      </c>
      <c r="N422" s="3">
        <v>1</v>
      </c>
      <c r="O422" s="3">
        <v>4.9180205635639372E-3</v>
      </c>
      <c r="P422" s="3">
        <v>2.1470460560664498E-2</v>
      </c>
      <c r="Q422" s="3">
        <v>0.21054593525416956</v>
      </c>
      <c r="R422" s="3">
        <v>331.80507134492359</v>
      </c>
      <c r="S422" s="3">
        <v>65.545183932296595</v>
      </c>
      <c r="U422" s="3">
        <v>66.059963940991622</v>
      </c>
      <c r="V422" s="3">
        <v>0.51478000869502694</v>
      </c>
      <c r="X422" s="3">
        <v>0</v>
      </c>
      <c r="Y422" s="3">
        <v>0</v>
      </c>
      <c r="AA422" s="3">
        <v>0</v>
      </c>
      <c r="AB422" s="3">
        <v>0</v>
      </c>
      <c r="AC422" s="3">
        <v>0</v>
      </c>
    </row>
    <row r="423" spans="2:29" x14ac:dyDescent="0.2">
      <c r="B423" s="3" t="s">
        <v>859</v>
      </c>
      <c r="C423" s="3" t="s">
        <v>860</v>
      </c>
      <c r="D423" s="8">
        <v>42384</v>
      </c>
      <c r="E423" s="3">
        <v>1700</v>
      </c>
      <c r="F423" s="3" t="s">
        <v>25</v>
      </c>
      <c r="G423" s="3" t="s">
        <v>26</v>
      </c>
      <c r="H423" s="3">
        <v>309.89999999999998</v>
      </c>
      <c r="I423" s="3">
        <v>311.85000000000002</v>
      </c>
      <c r="J423" s="3">
        <v>313.8</v>
      </c>
      <c r="K423" s="3">
        <v>69.3</v>
      </c>
      <c r="L423" s="3">
        <v>70.75</v>
      </c>
      <c r="M423" s="3">
        <v>72.2</v>
      </c>
      <c r="N423" s="3">
        <v>1</v>
      </c>
      <c r="O423" s="3">
        <v>4.9180205635639372E-3</v>
      </c>
      <c r="P423" s="3">
        <v>2.1470460560664498E-2</v>
      </c>
      <c r="Q423" s="3">
        <v>0.20650475115574846</v>
      </c>
      <c r="R423" s="3">
        <v>312.00480455518846</v>
      </c>
      <c r="S423" s="3">
        <v>70.596064995855613</v>
      </c>
      <c r="U423" s="3">
        <v>71.557261652951979</v>
      </c>
      <c r="V423" s="3">
        <v>0.96119665709636593</v>
      </c>
      <c r="X423" s="3">
        <v>0</v>
      </c>
      <c r="Y423" s="3">
        <v>0</v>
      </c>
      <c r="AA423" s="3">
        <v>0</v>
      </c>
      <c r="AB423" s="3">
        <v>0</v>
      </c>
      <c r="AC423" s="3">
        <v>0</v>
      </c>
    </row>
    <row r="424" spans="2:29" x14ac:dyDescent="0.2">
      <c r="B424" s="3" t="s">
        <v>861</v>
      </c>
      <c r="C424" s="3" t="s">
        <v>862</v>
      </c>
      <c r="D424" s="8">
        <v>42384</v>
      </c>
      <c r="E424" s="3">
        <v>1725</v>
      </c>
      <c r="F424" s="3" t="s">
        <v>25</v>
      </c>
      <c r="G424" s="3" t="s">
        <v>26</v>
      </c>
      <c r="H424" s="3">
        <v>290.7</v>
      </c>
      <c r="I424" s="3">
        <v>292.64999999999998</v>
      </c>
      <c r="J424" s="3">
        <v>294.60000000000002</v>
      </c>
      <c r="K424" s="3">
        <v>74.900000000000006</v>
      </c>
      <c r="L424" s="3">
        <v>76.349999999999994</v>
      </c>
      <c r="M424" s="3">
        <v>77.8</v>
      </c>
      <c r="N424" s="3">
        <v>1</v>
      </c>
      <c r="O424" s="3">
        <v>4.9180205635639372E-3</v>
      </c>
      <c r="P424" s="3">
        <v>2.1470460560664498E-2</v>
      </c>
      <c r="Q424" s="3">
        <v>0.20279214636903192</v>
      </c>
      <c r="R424" s="3">
        <v>292.77857440383218</v>
      </c>
      <c r="S424" s="3">
        <v>76.220982697793886</v>
      </c>
      <c r="U424" s="3">
        <v>77.234391095034425</v>
      </c>
      <c r="V424" s="3">
        <v>1.0134083972405392</v>
      </c>
      <c r="X424" s="3">
        <v>0</v>
      </c>
      <c r="Y424" s="3">
        <v>0</v>
      </c>
      <c r="AA424" s="3">
        <v>0</v>
      </c>
      <c r="AB424" s="3">
        <v>0</v>
      </c>
      <c r="AC424" s="3">
        <v>0</v>
      </c>
    </row>
    <row r="425" spans="2:29" x14ac:dyDescent="0.2">
      <c r="B425" s="3" t="s">
        <v>863</v>
      </c>
      <c r="C425" s="3" t="s">
        <v>864</v>
      </c>
      <c r="D425" s="8">
        <v>42384</v>
      </c>
      <c r="E425" s="3">
        <v>1750</v>
      </c>
      <c r="F425" s="3" t="s">
        <v>25</v>
      </c>
      <c r="G425" s="3" t="s">
        <v>26</v>
      </c>
      <c r="H425" s="3">
        <v>272.2</v>
      </c>
      <c r="I425" s="3">
        <v>273.95</v>
      </c>
      <c r="J425" s="3">
        <v>275.7</v>
      </c>
      <c r="K425" s="3">
        <v>80.900000000000006</v>
      </c>
      <c r="L425" s="3">
        <v>82.4</v>
      </c>
      <c r="M425" s="3">
        <v>83.9</v>
      </c>
      <c r="N425" s="3">
        <v>1</v>
      </c>
      <c r="O425" s="3">
        <v>4.9180205635639372E-3</v>
      </c>
      <c r="P425" s="3">
        <v>2.1470460560664498E-2</v>
      </c>
      <c r="Q425" s="3">
        <v>0.19920322481957098</v>
      </c>
      <c r="R425" s="3">
        <v>274.02818263533436</v>
      </c>
      <c r="S425" s="3">
        <v>82.321738782590046</v>
      </c>
      <c r="U425" s="3">
        <v>83.110805727093464</v>
      </c>
      <c r="V425" s="3">
        <v>0.78906694450341774</v>
      </c>
      <c r="X425" s="3">
        <v>0</v>
      </c>
      <c r="Y425" s="3">
        <v>0</v>
      </c>
      <c r="AA425" s="3">
        <v>0</v>
      </c>
      <c r="AB425" s="3">
        <v>0</v>
      </c>
      <c r="AC425" s="3">
        <v>0</v>
      </c>
    </row>
    <row r="426" spans="2:29" x14ac:dyDescent="0.2">
      <c r="B426" s="3" t="s">
        <v>865</v>
      </c>
      <c r="C426" s="3" t="s">
        <v>866</v>
      </c>
      <c r="D426" s="8">
        <v>42384</v>
      </c>
      <c r="E426" s="3">
        <v>1775</v>
      </c>
      <c r="F426" s="3" t="s">
        <v>25</v>
      </c>
      <c r="G426" s="3" t="s">
        <v>26</v>
      </c>
      <c r="H426" s="3">
        <v>253.8</v>
      </c>
      <c r="I426" s="3">
        <v>255.5</v>
      </c>
      <c r="J426" s="3">
        <v>257.2</v>
      </c>
      <c r="K426" s="3">
        <v>87.3</v>
      </c>
      <c r="L426" s="3">
        <v>88.75</v>
      </c>
      <c r="M426" s="3">
        <v>90.2</v>
      </c>
      <c r="N426" s="3">
        <v>1</v>
      </c>
      <c r="O426" s="3">
        <v>4.9180205635639372E-3</v>
      </c>
      <c r="P426" s="3">
        <v>2.1470460560664498E-2</v>
      </c>
      <c r="Q426" s="3">
        <v>0.19542114667596033</v>
      </c>
      <c r="R426" s="3">
        <v>255.55264809173786</v>
      </c>
      <c r="S426" s="3">
        <v>88.697352092288043</v>
      </c>
      <c r="U426" s="3">
        <v>90.218664436388508</v>
      </c>
      <c r="V426" s="3">
        <v>1.5213123441004655</v>
      </c>
      <c r="X426" s="3">
        <v>0</v>
      </c>
      <c r="Y426" s="3">
        <v>0</v>
      </c>
      <c r="AA426" s="3">
        <v>0</v>
      </c>
      <c r="AB426" s="3">
        <v>0</v>
      </c>
      <c r="AC426" s="3">
        <v>0</v>
      </c>
    </row>
    <row r="427" spans="2:29" x14ac:dyDescent="0.2">
      <c r="B427" s="3" t="s">
        <v>867</v>
      </c>
      <c r="C427" s="3" t="s">
        <v>868</v>
      </c>
      <c r="D427" s="8">
        <v>42384</v>
      </c>
      <c r="E427" s="3">
        <v>1800</v>
      </c>
      <c r="F427" s="3" t="s">
        <v>25</v>
      </c>
      <c r="G427" s="3" t="s">
        <v>26</v>
      </c>
      <c r="H427" s="3">
        <v>235.7</v>
      </c>
      <c r="I427" s="3">
        <v>237.45</v>
      </c>
      <c r="J427" s="3">
        <v>239.2</v>
      </c>
      <c r="K427" s="3">
        <v>94.1</v>
      </c>
      <c r="L427" s="3">
        <v>95.6</v>
      </c>
      <c r="M427" s="3">
        <v>97.1</v>
      </c>
      <c r="N427" s="3">
        <v>1</v>
      </c>
      <c r="O427" s="3">
        <v>4.9180205635639372E-3</v>
      </c>
      <c r="P427" s="3">
        <v>2.1470460560664498E-2</v>
      </c>
      <c r="Q427" s="3">
        <v>0.19166014187230002</v>
      </c>
      <c r="R427" s="3">
        <v>237.52707174323109</v>
      </c>
      <c r="S427" s="3">
        <v>95.522923597075419</v>
      </c>
      <c r="U427" s="3">
        <v>96.580724044931742</v>
      </c>
      <c r="V427" s="3">
        <v>1.057800447856323</v>
      </c>
      <c r="X427" s="3">
        <v>0</v>
      </c>
      <c r="Y427" s="3">
        <v>0</v>
      </c>
      <c r="AA427" s="3">
        <v>0</v>
      </c>
      <c r="AB427" s="3">
        <v>0</v>
      </c>
      <c r="AC427" s="3">
        <v>0</v>
      </c>
    </row>
    <row r="428" spans="2:29" x14ac:dyDescent="0.2">
      <c r="B428" s="3" t="s">
        <v>869</v>
      </c>
      <c r="C428" s="3" t="s">
        <v>870</v>
      </c>
      <c r="D428" s="8">
        <v>42384</v>
      </c>
      <c r="E428" s="3">
        <v>1825</v>
      </c>
      <c r="F428" s="3" t="s">
        <v>25</v>
      </c>
      <c r="G428" s="3" t="s">
        <v>26</v>
      </c>
      <c r="H428" s="3">
        <v>218.3</v>
      </c>
      <c r="I428" s="3">
        <v>220.05</v>
      </c>
      <c r="J428" s="3">
        <v>221.8</v>
      </c>
      <c r="K428" s="3">
        <v>101.4</v>
      </c>
      <c r="L428" s="3">
        <v>102.9</v>
      </c>
      <c r="M428" s="3">
        <v>104.4</v>
      </c>
      <c r="N428" s="3">
        <v>1</v>
      </c>
      <c r="O428" s="3">
        <v>4.9180205635639372E-3</v>
      </c>
      <c r="P428" s="3">
        <v>2.1470460560664498E-2</v>
      </c>
      <c r="Q428" s="3">
        <v>0.18801107670820916</v>
      </c>
      <c r="R428" s="3">
        <v>220.05087671000615</v>
      </c>
      <c r="S428" s="3">
        <v>102.89787641714486</v>
      </c>
      <c r="U428" s="3">
        <v>104.24715504850724</v>
      </c>
      <c r="V428" s="3">
        <v>1.349278631362381</v>
      </c>
      <c r="X428" s="3">
        <v>0</v>
      </c>
      <c r="Y428" s="3">
        <v>0</v>
      </c>
      <c r="AA428" s="3">
        <v>0</v>
      </c>
      <c r="AB428" s="3">
        <v>0</v>
      </c>
      <c r="AC428" s="3">
        <v>0</v>
      </c>
    </row>
    <row r="429" spans="2:29" x14ac:dyDescent="0.2">
      <c r="B429" s="3" t="s">
        <v>871</v>
      </c>
      <c r="C429" s="3" t="s">
        <v>872</v>
      </c>
      <c r="D429" s="8">
        <v>42384</v>
      </c>
      <c r="E429" s="3">
        <v>1850</v>
      </c>
      <c r="F429" s="3" t="s">
        <v>25</v>
      </c>
      <c r="G429" s="3" t="s">
        <v>26</v>
      </c>
      <c r="H429" s="3">
        <v>201.3</v>
      </c>
      <c r="I429" s="3">
        <v>203.05</v>
      </c>
      <c r="J429" s="3">
        <v>204.8</v>
      </c>
      <c r="K429" s="3">
        <v>109.3</v>
      </c>
      <c r="L429" s="3">
        <v>110.85</v>
      </c>
      <c r="M429" s="3">
        <v>112.4</v>
      </c>
      <c r="N429" s="3">
        <v>1</v>
      </c>
      <c r="O429" s="3">
        <v>4.9180205635639372E-3</v>
      </c>
      <c r="P429" s="3">
        <v>2.1470460560664498E-2</v>
      </c>
      <c r="Q429" s="3">
        <v>0.18440193048105868</v>
      </c>
      <c r="R429" s="3">
        <v>203.10086133153209</v>
      </c>
      <c r="S429" s="3">
        <v>110.79900889196506</v>
      </c>
      <c r="U429" s="3">
        <v>112.24026328449813</v>
      </c>
      <c r="V429" s="3">
        <v>1.4412543925330681</v>
      </c>
      <c r="X429" s="3">
        <v>0</v>
      </c>
      <c r="Y429" s="3">
        <v>0</v>
      </c>
      <c r="AA429" s="3">
        <v>0</v>
      </c>
      <c r="AB429" s="3">
        <v>0</v>
      </c>
      <c r="AC429" s="3">
        <v>0</v>
      </c>
    </row>
    <row r="430" spans="2:29" x14ac:dyDescent="0.2">
      <c r="B430" s="3" t="s">
        <v>873</v>
      </c>
      <c r="C430" s="3" t="s">
        <v>874</v>
      </c>
      <c r="D430" s="8">
        <v>42384</v>
      </c>
      <c r="E430" s="3">
        <v>1875</v>
      </c>
      <c r="F430" s="3" t="s">
        <v>25</v>
      </c>
      <c r="G430" s="3" t="s">
        <v>26</v>
      </c>
      <c r="H430" s="3">
        <v>184.6</v>
      </c>
      <c r="I430" s="3">
        <v>186.45</v>
      </c>
      <c r="J430" s="3">
        <v>188.3</v>
      </c>
      <c r="K430" s="3">
        <v>117.6</v>
      </c>
      <c r="L430" s="3">
        <v>119.25</v>
      </c>
      <c r="M430" s="3">
        <v>120.9</v>
      </c>
      <c r="N430" s="3">
        <v>1</v>
      </c>
      <c r="O430" s="3">
        <v>4.9180205635639372E-3</v>
      </c>
      <c r="P430" s="3">
        <v>2.1470460560664498E-2</v>
      </c>
      <c r="Q430" s="3">
        <v>0.18067092257664186</v>
      </c>
      <c r="R430" s="3">
        <v>186.57534853561617</v>
      </c>
      <c r="S430" s="3">
        <v>119.12464394934329</v>
      </c>
      <c r="U430" s="3">
        <v>120.59487892732716</v>
      </c>
      <c r="V430" s="3">
        <v>1.4702349779838642</v>
      </c>
      <c r="X430" s="3">
        <v>0</v>
      </c>
      <c r="Y430" s="3">
        <v>0</v>
      </c>
      <c r="AA430" s="3">
        <v>0</v>
      </c>
      <c r="AB430" s="3">
        <v>0</v>
      </c>
      <c r="AC430" s="3">
        <v>0</v>
      </c>
    </row>
    <row r="431" spans="2:29" x14ac:dyDescent="0.2">
      <c r="B431" s="3" t="s">
        <v>875</v>
      </c>
      <c r="C431" s="3" t="s">
        <v>876</v>
      </c>
      <c r="D431" s="8">
        <v>42384</v>
      </c>
      <c r="E431" s="3">
        <v>1900</v>
      </c>
      <c r="F431" s="3" t="s">
        <v>25</v>
      </c>
      <c r="G431" s="3" t="s">
        <v>26</v>
      </c>
      <c r="H431" s="3">
        <v>169.1</v>
      </c>
      <c r="I431" s="3">
        <v>170.75</v>
      </c>
      <c r="J431" s="3">
        <v>172.4</v>
      </c>
      <c r="K431" s="3">
        <v>126.5</v>
      </c>
      <c r="L431" s="3">
        <v>128.1</v>
      </c>
      <c r="M431" s="3">
        <v>129.69999999999999</v>
      </c>
      <c r="N431" s="3">
        <v>1</v>
      </c>
      <c r="O431" s="3">
        <v>4.9180205635639372E-3</v>
      </c>
      <c r="P431" s="3">
        <v>2.1470460560664498E-2</v>
      </c>
      <c r="Q431" s="3">
        <v>0.17709024276402718</v>
      </c>
      <c r="R431" s="3">
        <v>170.72446025321381</v>
      </c>
      <c r="S431" s="3">
        <v>128.12490352023542</v>
      </c>
      <c r="U431" s="3">
        <v>130.35463477668969</v>
      </c>
      <c r="V431" s="3">
        <v>2.2297312564542722</v>
      </c>
      <c r="X431" s="3">
        <v>0</v>
      </c>
      <c r="Y431" s="3">
        <v>0</v>
      </c>
      <c r="AA431" s="3">
        <v>0</v>
      </c>
      <c r="AB431" s="3">
        <v>0</v>
      </c>
      <c r="AC431" s="3">
        <v>0</v>
      </c>
    </row>
    <row r="432" spans="2:29" x14ac:dyDescent="0.2">
      <c r="B432" s="3" t="s">
        <v>877</v>
      </c>
      <c r="C432" s="3" t="s">
        <v>878</v>
      </c>
      <c r="D432" s="8">
        <v>42384</v>
      </c>
      <c r="E432" s="3">
        <v>1925</v>
      </c>
      <c r="F432" s="3" t="s">
        <v>25</v>
      </c>
      <c r="G432" s="3" t="s">
        <v>26</v>
      </c>
      <c r="H432" s="3">
        <v>153.9</v>
      </c>
      <c r="I432" s="3">
        <v>155.5</v>
      </c>
      <c r="J432" s="3">
        <v>157.1</v>
      </c>
      <c r="K432" s="3">
        <v>136.1</v>
      </c>
      <c r="L432" s="3">
        <v>137.80000000000001</v>
      </c>
      <c r="M432" s="3">
        <v>139.5</v>
      </c>
      <c r="N432" s="3">
        <v>1</v>
      </c>
      <c r="O432" s="3">
        <v>4.9180205635639372E-3</v>
      </c>
      <c r="P432" s="3">
        <v>2.1470460560664498E-2</v>
      </c>
      <c r="Q432" s="3">
        <v>0.17358923965834658</v>
      </c>
      <c r="R432" s="3">
        <v>155.52421645993297</v>
      </c>
      <c r="S432" s="3">
        <v>137.77580758024897</v>
      </c>
      <c r="U432" s="3">
        <v>139.54332250037038</v>
      </c>
      <c r="V432" s="3">
        <v>1.767514920121414</v>
      </c>
      <c r="X432" s="3">
        <v>0</v>
      </c>
      <c r="Y432" s="3">
        <v>0</v>
      </c>
      <c r="AA432" s="3">
        <v>0</v>
      </c>
      <c r="AB432" s="3">
        <v>0</v>
      </c>
      <c r="AC432" s="3">
        <v>0</v>
      </c>
    </row>
    <row r="433" spans="2:29" x14ac:dyDescent="0.2">
      <c r="B433" s="3" t="s">
        <v>879</v>
      </c>
      <c r="C433" s="3" t="s">
        <v>880</v>
      </c>
      <c r="D433" s="8">
        <v>42384</v>
      </c>
      <c r="E433" s="3">
        <v>1950</v>
      </c>
      <c r="F433" s="3" t="s">
        <v>25</v>
      </c>
      <c r="G433" s="3" t="s">
        <v>26</v>
      </c>
      <c r="H433" s="3">
        <v>139.30000000000001</v>
      </c>
      <c r="I433" s="3">
        <v>140.85</v>
      </c>
      <c r="J433" s="3">
        <v>142.4</v>
      </c>
      <c r="K433" s="3">
        <v>146.30000000000001</v>
      </c>
      <c r="L433" s="3">
        <v>148</v>
      </c>
      <c r="M433" s="3">
        <v>149.69999999999999</v>
      </c>
      <c r="N433" s="3">
        <v>1</v>
      </c>
      <c r="O433" s="3">
        <v>4.9180205635639372E-3</v>
      </c>
      <c r="P433" s="3">
        <v>2.1470460560664498E-2</v>
      </c>
      <c r="Q433" s="3">
        <v>0.17001171388364467</v>
      </c>
      <c r="R433" s="3">
        <v>140.87363106144119</v>
      </c>
      <c r="S433" s="3">
        <v>147.97637003505145</v>
      </c>
      <c r="U433" s="3">
        <v>150.19496639673145</v>
      </c>
      <c r="V433" s="3">
        <v>2.2185963616799995</v>
      </c>
      <c r="X433" s="3">
        <v>0</v>
      </c>
      <c r="Y433" s="3">
        <v>0</v>
      </c>
      <c r="AA433" s="3">
        <v>0</v>
      </c>
      <c r="AB433" s="3">
        <v>0</v>
      </c>
      <c r="AC433" s="3">
        <v>0</v>
      </c>
    </row>
    <row r="434" spans="2:29" x14ac:dyDescent="0.2">
      <c r="B434" s="3" t="s">
        <v>881</v>
      </c>
      <c r="C434" s="3" t="s">
        <v>882</v>
      </c>
      <c r="D434" s="8">
        <v>42384</v>
      </c>
      <c r="E434" s="3">
        <v>1975</v>
      </c>
      <c r="F434" s="3" t="s">
        <v>25</v>
      </c>
      <c r="G434" s="3" t="s">
        <v>26</v>
      </c>
      <c r="H434" s="3">
        <v>125.6</v>
      </c>
      <c r="I434" s="3">
        <v>127</v>
      </c>
      <c r="J434" s="3">
        <v>128.4</v>
      </c>
      <c r="K434" s="3">
        <v>157.19999999999999</v>
      </c>
      <c r="L434" s="3">
        <v>158.69999999999999</v>
      </c>
      <c r="M434" s="3">
        <v>160.19999999999999</v>
      </c>
      <c r="N434" s="3">
        <v>1</v>
      </c>
      <c r="O434" s="3">
        <v>4.9180205635639372E-3</v>
      </c>
      <c r="P434" s="3">
        <v>2.1470460560664498E-2</v>
      </c>
      <c r="Q434" s="3">
        <v>0.16644262452695244</v>
      </c>
      <c r="R434" s="3">
        <v>126.87304993438397</v>
      </c>
      <c r="S434" s="3">
        <v>158.82693676128849</v>
      </c>
      <c r="U434" s="3">
        <v>161.34534840528946</v>
      </c>
      <c r="V434" s="3">
        <v>2.5184116440009632</v>
      </c>
      <c r="X434" s="3">
        <v>0</v>
      </c>
      <c r="Y434" s="3">
        <v>0</v>
      </c>
      <c r="AA434" s="3">
        <v>0</v>
      </c>
      <c r="AB434" s="3">
        <v>0</v>
      </c>
      <c r="AC434" s="3">
        <v>0</v>
      </c>
    </row>
    <row r="435" spans="2:29" x14ac:dyDescent="0.2">
      <c r="B435" s="3" t="s">
        <v>883</v>
      </c>
      <c r="C435" s="3" t="s">
        <v>884</v>
      </c>
      <c r="D435" s="8">
        <v>42384</v>
      </c>
      <c r="E435" s="3">
        <v>2000</v>
      </c>
      <c r="F435" s="3" t="s">
        <v>25</v>
      </c>
      <c r="G435" s="3" t="s">
        <v>26</v>
      </c>
      <c r="H435" s="3">
        <v>112.4</v>
      </c>
      <c r="I435" s="3">
        <v>113.75</v>
      </c>
      <c r="J435" s="3">
        <v>115.1</v>
      </c>
      <c r="K435" s="3">
        <v>168.8</v>
      </c>
      <c r="L435" s="3">
        <v>170.35</v>
      </c>
      <c r="M435" s="3">
        <v>171.9</v>
      </c>
      <c r="N435" s="3">
        <v>1</v>
      </c>
      <c r="O435" s="3">
        <v>4.9180205635639372E-3</v>
      </c>
      <c r="P435" s="3">
        <v>2.1470460560664498E-2</v>
      </c>
      <c r="Q435" s="3">
        <v>0.16299510490387786</v>
      </c>
      <c r="R435" s="3">
        <v>113.64748098981033</v>
      </c>
      <c r="S435" s="3">
        <v>170.45251567000912</v>
      </c>
      <c r="U435" s="3">
        <v>173.03720810807846</v>
      </c>
      <c r="V435" s="3">
        <v>2.5846924380693395</v>
      </c>
      <c r="X435" s="3">
        <v>0</v>
      </c>
      <c r="Y435" s="3">
        <v>0</v>
      </c>
      <c r="AA435" s="3">
        <v>0</v>
      </c>
      <c r="AB435" s="3">
        <v>0</v>
      </c>
      <c r="AC435" s="3">
        <v>0</v>
      </c>
    </row>
    <row r="436" spans="2:29" x14ac:dyDescent="0.2">
      <c r="B436" s="3" t="s">
        <v>885</v>
      </c>
      <c r="C436" s="3" t="s">
        <v>886</v>
      </c>
      <c r="D436" s="8">
        <v>42384</v>
      </c>
      <c r="E436" s="3">
        <v>2025</v>
      </c>
      <c r="F436" s="3" t="s">
        <v>25</v>
      </c>
      <c r="G436" s="3" t="s">
        <v>26</v>
      </c>
      <c r="H436" s="3">
        <v>99.9</v>
      </c>
      <c r="I436" s="3">
        <v>101.25</v>
      </c>
      <c r="J436" s="3">
        <v>102.6</v>
      </c>
      <c r="K436" s="3">
        <v>181.1</v>
      </c>
      <c r="L436" s="3">
        <v>182.75</v>
      </c>
      <c r="M436" s="3">
        <v>184.4</v>
      </c>
      <c r="N436" s="3">
        <v>1</v>
      </c>
      <c r="O436" s="3">
        <v>4.9180205635639372E-3</v>
      </c>
      <c r="P436" s="3">
        <v>2.1470460560664498E-2</v>
      </c>
      <c r="Q436" s="3">
        <v>0.15960870466361032</v>
      </c>
      <c r="R436" s="3">
        <v>101.17185306217266</v>
      </c>
      <c r="S436" s="3">
        <v>182.82803559566537</v>
      </c>
      <c r="U436" s="3">
        <v>185.31590860069642</v>
      </c>
      <c r="V436" s="3">
        <v>2.487873005031048</v>
      </c>
      <c r="X436" s="3">
        <v>0</v>
      </c>
      <c r="Y436" s="3">
        <v>0</v>
      </c>
      <c r="AA436" s="3">
        <v>0</v>
      </c>
      <c r="AB436" s="3">
        <v>0</v>
      </c>
      <c r="AC436" s="3">
        <v>0</v>
      </c>
    </row>
    <row r="437" spans="2:29" x14ac:dyDescent="0.2">
      <c r="B437" s="3" t="s">
        <v>887</v>
      </c>
      <c r="C437" s="3" t="s">
        <v>888</v>
      </c>
      <c r="D437" s="8">
        <v>42384</v>
      </c>
      <c r="E437" s="3">
        <v>2050</v>
      </c>
      <c r="F437" s="3" t="s">
        <v>25</v>
      </c>
      <c r="G437" s="3" t="s">
        <v>26</v>
      </c>
      <c r="H437" s="3">
        <v>87.9</v>
      </c>
      <c r="I437" s="3">
        <v>89.35</v>
      </c>
      <c r="J437" s="3">
        <v>90.8</v>
      </c>
      <c r="K437" s="3">
        <v>194.2</v>
      </c>
      <c r="L437" s="3">
        <v>195.8</v>
      </c>
      <c r="M437" s="3">
        <v>197.4</v>
      </c>
      <c r="N437" s="3">
        <v>1</v>
      </c>
      <c r="O437" s="3">
        <v>4.9180205635639372E-3</v>
      </c>
      <c r="P437" s="3">
        <v>2.1470460560664498E-2</v>
      </c>
      <c r="Q437" s="3">
        <v>0.15610614851330618</v>
      </c>
      <c r="R437" s="3">
        <v>89.322131797561951</v>
      </c>
      <c r="S437" s="3">
        <v>195.82946218434927</v>
      </c>
      <c r="U437" s="3">
        <v>198.22859352821206</v>
      </c>
      <c r="V437" s="3">
        <v>2.3991313438627913</v>
      </c>
      <c r="X437" s="3">
        <v>0</v>
      </c>
      <c r="Y437" s="3">
        <v>0</v>
      </c>
      <c r="AA437" s="3">
        <v>0</v>
      </c>
      <c r="AB437" s="3">
        <v>0</v>
      </c>
      <c r="AC437" s="3">
        <v>0</v>
      </c>
    </row>
    <row r="438" spans="2:29" x14ac:dyDescent="0.2">
      <c r="B438" s="3" t="s">
        <v>889</v>
      </c>
      <c r="C438" s="3" t="s">
        <v>890</v>
      </c>
      <c r="D438" s="8">
        <v>42384</v>
      </c>
      <c r="E438" s="3">
        <v>2075</v>
      </c>
      <c r="F438" s="3" t="s">
        <v>25</v>
      </c>
      <c r="G438" s="3" t="s">
        <v>26</v>
      </c>
      <c r="H438" s="3">
        <v>77.099999999999994</v>
      </c>
      <c r="I438" s="3">
        <v>78.400000000000006</v>
      </c>
      <c r="J438" s="3">
        <v>79.7</v>
      </c>
      <c r="K438" s="3">
        <v>208.2</v>
      </c>
      <c r="L438" s="3">
        <v>209.75</v>
      </c>
      <c r="M438" s="3">
        <v>211.3</v>
      </c>
      <c r="N438" s="3">
        <v>1</v>
      </c>
      <c r="O438" s="3">
        <v>4.9180205635639372E-3</v>
      </c>
      <c r="P438" s="3">
        <v>2.1470460560664498E-2</v>
      </c>
      <c r="Q438" s="3">
        <v>0.15282029216002888</v>
      </c>
      <c r="R438" s="3">
        <v>78.395761315823165</v>
      </c>
      <c r="S438" s="3">
        <v>209.75423955590463</v>
      </c>
      <c r="U438" s="3">
        <v>212.63173998788349</v>
      </c>
      <c r="V438" s="3">
        <v>2.8775004319788593</v>
      </c>
      <c r="X438" s="3">
        <v>0</v>
      </c>
      <c r="Y438" s="3">
        <v>0</v>
      </c>
      <c r="AA438" s="3">
        <v>0</v>
      </c>
      <c r="AB438" s="3">
        <v>0</v>
      </c>
      <c r="AC438" s="3">
        <v>0</v>
      </c>
    </row>
    <row r="439" spans="2:29" x14ac:dyDescent="0.2">
      <c r="B439" s="3" t="s">
        <v>891</v>
      </c>
      <c r="C439" s="3" t="s">
        <v>892</v>
      </c>
      <c r="D439" s="8">
        <v>42384</v>
      </c>
      <c r="E439" s="3">
        <v>2100</v>
      </c>
      <c r="F439" s="3" t="s">
        <v>25</v>
      </c>
      <c r="G439" s="3" t="s">
        <v>26</v>
      </c>
      <c r="H439" s="3">
        <v>67.3</v>
      </c>
      <c r="I439" s="3">
        <v>68.45</v>
      </c>
      <c r="J439" s="3">
        <v>69.599999999999994</v>
      </c>
      <c r="K439" s="3">
        <v>222.9</v>
      </c>
      <c r="L439" s="3">
        <v>224.55</v>
      </c>
      <c r="M439" s="3">
        <v>226.2</v>
      </c>
      <c r="N439" s="3">
        <v>1</v>
      </c>
      <c r="O439" s="3">
        <v>4.9180205635639372E-3</v>
      </c>
      <c r="P439" s="3">
        <v>2.1470460560664498E-2</v>
      </c>
      <c r="Q439" s="3">
        <v>0.14974704343342016</v>
      </c>
      <c r="R439" s="3">
        <v>68.395157707804287</v>
      </c>
      <c r="S439" s="3">
        <v>224.60478380118025</v>
      </c>
      <c r="U439" s="3">
        <v>226.90642074567768</v>
      </c>
      <c r="V439" s="3">
        <v>2.3016369444974316</v>
      </c>
      <c r="X439" s="3">
        <v>0</v>
      </c>
      <c r="Y439" s="3">
        <v>0</v>
      </c>
      <c r="AA439" s="3">
        <v>0</v>
      </c>
      <c r="AB439" s="3">
        <v>0</v>
      </c>
      <c r="AC439" s="3">
        <v>0</v>
      </c>
    </row>
    <row r="440" spans="2:29" x14ac:dyDescent="0.2">
      <c r="B440" s="3" t="s">
        <v>893</v>
      </c>
      <c r="C440" s="3" t="s">
        <v>894</v>
      </c>
      <c r="D440" s="8">
        <v>42384</v>
      </c>
      <c r="E440" s="3">
        <v>2125</v>
      </c>
      <c r="F440" s="3" t="s">
        <v>25</v>
      </c>
      <c r="G440" s="3" t="s">
        <v>26</v>
      </c>
      <c r="H440" s="3">
        <v>58.2</v>
      </c>
      <c r="I440" s="3">
        <v>59.25</v>
      </c>
      <c r="J440" s="3">
        <v>60.3</v>
      </c>
      <c r="K440" s="3">
        <v>238.5</v>
      </c>
      <c r="L440" s="3">
        <v>240.15</v>
      </c>
      <c r="M440" s="3">
        <v>241.8</v>
      </c>
      <c r="N440" s="3">
        <v>1</v>
      </c>
      <c r="O440" s="3">
        <v>4.9180205635639372E-3</v>
      </c>
      <c r="P440" s="3">
        <v>2.1470460560664498E-2</v>
      </c>
      <c r="Q440" s="3">
        <v>0.14669374087140491</v>
      </c>
      <c r="R440" s="3">
        <v>59.169290983496694</v>
      </c>
      <c r="S440" s="3">
        <v>240.23006493016669</v>
      </c>
      <c r="U440" s="3">
        <v>242.65981851553715</v>
      </c>
      <c r="V440" s="3">
        <v>2.429753585370463</v>
      </c>
      <c r="X440" s="3">
        <v>0</v>
      </c>
      <c r="Y440" s="3">
        <v>0</v>
      </c>
      <c r="AA440" s="3">
        <v>0</v>
      </c>
      <c r="AB440" s="3">
        <v>0</v>
      </c>
      <c r="AC440" s="3">
        <v>0</v>
      </c>
    </row>
    <row r="441" spans="2:29" x14ac:dyDescent="0.2">
      <c r="B441" s="3" t="s">
        <v>895</v>
      </c>
      <c r="C441" s="3" t="s">
        <v>896</v>
      </c>
      <c r="D441" s="8">
        <v>42384</v>
      </c>
      <c r="E441" s="3">
        <v>2150</v>
      </c>
      <c r="F441" s="3" t="s">
        <v>25</v>
      </c>
      <c r="G441" s="3" t="s">
        <v>26</v>
      </c>
      <c r="H441" s="3">
        <v>50</v>
      </c>
      <c r="I441" s="3">
        <v>50.9</v>
      </c>
      <c r="J441" s="3">
        <v>51.8</v>
      </c>
      <c r="K441" s="3">
        <v>255</v>
      </c>
      <c r="L441" s="3">
        <v>256.64999999999998</v>
      </c>
      <c r="M441" s="3">
        <v>258.3</v>
      </c>
      <c r="N441" s="3">
        <v>1</v>
      </c>
      <c r="O441" s="3">
        <v>4.9180205635639372E-3</v>
      </c>
      <c r="P441" s="3">
        <v>2.1470460560664498E-2</v>
      </c>
      <c r="Q441" s="3">
        <v>0.143794998434326</v>
      </c>
      <c r="R441" s="3">
        <v>50.819116666623415</v>
      </c>
      <c r="S441" s="3">
        <v>256.73103846658751</v>
      </c>
      <c r="U441" s="3">
        <v>259.10964610084739</v>
      </c>
      <c r="V441" s="3">
        <v>2.378607634259879</v>
      </c>
      <c r="X441" s="3">
        <v>0</v>
      </c>
      <c r="Y441" s="3">
        <v>0</v>
      </c>
      <c r="AA441" s="3">
        <v>0</v>
      </c>
      <c r="AB441" s="3">
        <v>0</v>
      </c>
      <c r="AC441" s="3">
        <v>0</v>
      </c>
    </row>
    <row r="442" spans="2:29" x14ac:dyDescent="0.2">
      <c r="B442" s="3" t="s">
        <v>897</v>
      </c>
      <c r="C442" s="3" t="s">
        <v>898</v>
      </c>
      <c r="D442" s="8">
        <v>42384</v>
      </c>
      <c r="E442" s="3">
        <v>2175</v>
      </c>
      <c r="F442" s="3" t="s">
        <v>25</v>
      </c>
      <c r="G442" s="3" t="s">
        <v>26</v>
      </c>
      <c r="H442" s="3">
        <v>42.5</v>
      </c>
      <c r="I442" s="3">
        <v>43.4</v>
      </c>
      <c r="J442" s="3">
        <v>44.3</v>
      </c>
      <c r="K442" s="3">
        <v>272.3</v>
      </c>
      <c r="L442" s="3">
        <v>274.05</v>
      </c>
      <c r="M442" s="3">
        <v>275.8</v>
      </c>
      <c r="N442" s="3">
        <v>1</v>
      </c>
      <c r="O442" s="3">
        <v>4.9180205635639372E-3</v>
      </c>
      <c r="P442" s="3">
        <v>2.1470460560664498E-2</v>
      </c>
      <c r="Q442" s="3">
        <v>0.14107505718733446</v>
      </c>
      <c r="R442" s="3">
        <v>43.343480329003455</v>
      </c>
      <c r="S442" s="3">
        <v>274.10654998226209</v>
      </c>
      <c r="U442" s="3">
        <v>276.2766126813205</v>
      </c>
      <c r="V442" s="3">
        <v>2.1700626990584055</v>
      </c>
      <c r="X442" s="3">
        <v>0</v>
      </c>
      <c r="Y442" s="3">
        <v>0</v>
      </c>
      <c r="AA442" s="3">
        <v>0</v>
      </c>
      <c r="AB442" s="3">
        <v>0</v>
      </c>
      <c r="AC442" s="3">
        <v>0</v>
      </c>
    </row>
    <row r="443" spans="2:29" x14ac:dyDescent="0.2">
      <c r="B443" s="3" t="s">
        <v>899</v>
      </c>
      <c r="C443" s="3" t="s">
        <v>900</v>
      </c>
      <c r="D443" s="8">
        <v>42384</v>
      </c>
      <c r="E443" s="3">
        <v>2200</v>
      </c>
      <c r="F443" s="3" t="s">
        <v>25</v>
      </c>
      <c r="G443" s="3" t="s">
        <v>26</v>
      </c>
      <c r="H443" s="3">
        <v>35.799999999999997</v>
      </c>
      <c r="I443" s="3">
        <v>36.65</v>
      </c>
      <c r="J443" s="3">
        <v>37.5</v>
      </c>
      <c r="K443" s="3">
        <v>290.3</v>
      </c>
      <c r="L443" s="3">
        <v>292</v>
      </c>
      <c r="M443" s="3">
        <v>293.7</v>
      </c>
      <c r="N443" s="3">
        <v>1</v>
      </c>
      <c r="O443" s="3">
        <v>4.9180205635639372E-3</v>
      </c>
      <c r="P443" s="3">
        <v>2.1470460560664498E-2</v>
      </c>
      <c r="Q443" s="3">
        <v>0.13823362346181442</v>
      </c>
      <c r="R443" s="3">
        <v>36.517824499061135</v>
      </c>
      <c r="S443" s="3">
        <v>292.13204200561427</v>
      </c>
      <c r="U443" s="3">
        <v>294.17367027267392</v>
      </c>
      <c r="V443" s="3">
        <v>2.0416282670596502</v>
      </c>
      <c r="X443" s="3">
        <v>0</v>
      </c>
      <c r="Y443" s="3">
        <v>0</v>
      </c>
      <c r="AA443" s="3">
        <v>0</v>
      </c>
      <c r="AB443" s="3">
        <v>0</v>
      </c>
      <c r="AC443" s="3">
        <v>0</v>
      </c>
    </row>
    <row r="444" spans="2:29" x14ac:dyDescent="0.2">
      <c r="B444" s="3" t="s">
        <v>901</v>
      </c>
      <c r="C444" s="3" t="s">
        <v>902</v>
      </c>
      <c r="D444" s="8">
        <v>42384</v>
      </c>
      <c r="E444" s="3">
        <v>2225</v>
      </c>
      <c r="F444" s="3" t="s">
        <v>25</v>
      </c>
      <c r="G444" s="3" t="s">
        <v>26</v>
      </c>
      <c r="H444" s="3">
        <v>29.7</v>
      </c>
      <c r="I444" s="3">
        <v>30.6</v>
      </c>
      <c r="J444" s="3">
        <v>31.5</v>
      </c>
      <c r="K444" s="3">
        <v>309.10000000000002</v>
      </c>
      <c r="L444" s="3">
        <v>311.14999999999998</v>
      </c>
      <c r="M444" s="3">
        <v>313.2</v>
      </c>
      <c r="N444" s="3">
        <v>1</v>
      </c>
      <c r="O444" s="3">
        <v>4.9180205635639372E-3</v>
      </c>
      <c r="P444" s="3">
        <v>2.1470460560664498E-2</v>
      </c>
      <c r="Q444" s="3">
        <v>0.13576964267273817</v>
      </c>
      <c r="R444" s="3">
        <v>30.642408662691253</v>
      </c>
      <c r="S444" s="3">
        <v>311.10777402253871</v>
      </c>
      <c r="U444" s="3">
        <v>312.80407302208471</v>
      </c>
      <c r="V444" s="3">
        <v>1.6962989995460021</v>
      </c>
      <c r="X444" s="3">
        <v>0</v>
      </c>
      <c r="Y444" s="3">
        <v>0</v>
      </c>
      <c r="AA444" s="3">
        <v>0</v>
      </c>
      <c r="AB444" s="3">
        <v>0</v>
      </c>
      <c r="AC444" s="3">
        <v>0</v>
      </c>
    </row>
    <row r="445" spans="2:29" x14ac:dyDescent="0.2">
      <c r="B445" s="3" t="s">
        <v>903</v>
      </c>
      <c r="C445" s="3" t="s">
        <v>904</v>
      </c>
      <c r="D445" s="8">
        <v>42384</v>
      </c>
      <c r="E445" s="3">
        <v>2250</v>
      </c>
      <c r="F445" s="3" t="s">
        <v>25</v>
      </c>
      <c r="G445" s="3" t="s">
        <v>26</v>
      </c>
      <c r="H445" s="3">
        <v>24.6</v>
      </c>
      <c r="I445" s="3">
        <v>25.5</v>
      </c>
      <c r="J445" s="3">
        <v>26.4</v>
      </c>
      <c r="K445" s="3">
        <v>328.7</v>
      </c>
      <c r="L445" s="3">
        <v>330.8</v>
      </c>
      <c r="M445" s="3">
        <v>332.9</v>
      </c>
      <c r="N445" s="3">
        <v>1</v>
      </c>
      <c r="O445" s="3">
        <v>4.9180205635639372E-3</v>
      </c>
      <c r="P445" s="3">
        <v>2.1470460560664498E-2</v>
      </c>
      <c r="Q445" s="3">
        <v>0.13341087758644743</v>
      </c>
      <c r="R445" s="3">
        <v>25.49174435387522</v>
      </c>
      <c r="S445" s="3">
        <v>330.80825756701665</v>
      </c>
      <c r="U445" s="3">
        <v>332.15974074280081</v>
      </c>
      <c r="V445" s="3">
        <v>1.3514831757841534</v>
      </c>
      <c r="X445" s="3">
        <v>0</v>
      </c>
      <c r="Y445" s="3">
        <v>0</v>
      </c>
      <c r="AA445" s="3">
        <v>0</v>
      </c>
      <c r="AB445" s="3">
        <v>0</v>
      </c>
      <c r="AC445" s="3">
        <v>0</v>
      </c>
    </row>
    <row r="446" spans="2:29" x14ac:dyDescent="0.2">
      <c r="B446" s="3" t="s">
        <v>905</v>
      </c>
      <c r="C446" s="3" t="s">
        <v>906</v>
      </c>
      <c r="D446" s="8">
        <v>42384</v>
      </c>
      <c r="E446" s="3">
        <v>2275</v>
      </c>
      <c r="F446" s="3" t="s">
        <v>25</v>
      </c>
      <c r="G446" s="3" t="s">
        <v>26</v>
      </c>
      <c r="H446" s="3">
        <v>20.2</v>
      </c>
      <c r="I446" s="3">
        <v>21.1</v>
      </c>
      <c r="J446" s="3">
        <v>22</v>
      </c>
      <c r="K446" s="3">
        <v>349.1</v>
      </c>
      <c r="L446" s="3">
        <v>351.2</v>
      </c>
      <c r="M446" s="3">
        <v>353.3</v>
      </c>
      <c r="N446" s="3">
        <v>1</v>
      </c>
      <c r="O446" s="3">
        <v>4.9180205635639372E-3</v>
      </c>
      <c r="P446" s="3">
        <v>2.1470460560664498E-2</v>
      </c>
      <c r="Q446" s="3">
        <v>0.13124653574054856</v>
      </c>
      <c r="R446" s="3">
        <v>21.066150939549175</v>
      </c>
      <c r="S446" s="3">
        <v>351.2338120059851</v>
      </c>
      <c r="U446" s="3">
        <v>352.59934847932391</v>
      </c>
      <c r="V446" s="3">
        <v>1.3655364733388069</v>
      </c>
      <c r="X446" s="3">
        <v>0</v>
      </c>
      <c r="Y446" s="3">
        <v>0</v>
      </c>
      <c r="AA446" s="3">
        <v>0</v>
      </c>
      <c r="AB446" s="3">
        <v>0</v>
      </c>
      <c r="AC446" s="3">
        <v>0</v>
      </c>
    </row>
    <row r="447" spans="2:29" x14ac:dyDescent="0.2">
      <c r="B447" s="3" t="s">
        <v>907</v>
      </c>
      <c r="C447" s="3" t="s">
        <v>908</v>
      </c>
      <c r="D447" s="8">
        <v>42384</v>
      </c>
      <c r="E447" s="3">
        <v>2300</v>
      </c>
      <c r="F447" s="3" t="s">
        <v>25</v>
      </c>
      <c r="G447" s="3" t="s">
        <v>26</v>
      </c>
      <c r="H447" s="3">
        <v>16.399999999999999</v>
      </c>
      <c r="I447" s="3">
        <v>17.2</v>
      </c>
      <c r="J447" s="3">
        <v>18</v>
      </c>
      <c r="K447" s="3">
        <v>370.1</v>
      </c>
      <c r="L447" s="3">
        <v>372.1</v>
      </c>
      <c r="M447" s="3">
        <v>374.1</v>
      </c>
      <c r="N447" s="3">
        <v>1</v>
      </c>
      <c r="O447" s="3">
        <v>4.9180205635639372E-3</v>
      </c>
      <c r="P447" s="3">
        <v>2.1470460560664498E-2</v>
      </c>
      <c r="Q447" s="3">
        <v>0.12892146468412852</v>
      </c>
      <c r="R447" s="3">
        <v>17.140566886688731</v>
      </c>
      <c r="S447" s="3">
        <v>372.15937580641867</v>
      </c>
      <c r="U447" s="3">
        <v>373.27772998741654</v>
      </c>
      <c r="V447" s="3">
        <v>1.1183541809978692</v>
      </c>
      <c r="X447" s="3">
        <v>0</v>
      </c>
      <c r="Y447" s="3">
        <v>0</v>
      </c>
      <c r="AA447" s="3">
        <v>0</v>
      </c>
      <c r="AB447" s="3">
        <v>0</v>
      </c>
      <c r="AC447" s="3">
        <v>0</v>
      </c>
    </row>
    <row r="448" spans="2:29" x14ac:dyDescent="0.2">
      <c r="B448" s="3" t="s">
        <v>909</v>
      </c>
      <c r="C448" s="3" t="s">
        <v>910</v>
      </c>
      <c r="D448" s="8">
        <v>42384</v>
      </c>
      <c r="E448" s="3">
        <v>2325</v>
      </c>
      <c r="F448" s="3" t="s">
        <v>25</v>
      </c>
      <c r="G448" s="3" t="s">
        <v>26</v>
      </c>
      <c r="H448" s="3">
        <v>13.2</v>
      </c>
      <c r="I448" s="3">
        <v>13.95</v>
      </c>
      <c r="J448" s="3">
        <v>14.7</v>
      </c>
      <c r="K448" s="3">
        <v>391.7</v>
      </c>
      <c r="L448" s="3">
        <v>393.7</v>
      </c>
      <c r="M448" s="3">
        <v>395.7</v>
      </c>
      <c r="N448" s="3">
        <v>1</v>
      </c>
      <c r="O448" s="3">
        <v>4.9180205635639372E-3</v>
      </c>
      <c r="P448" s="3">
        <v>2.1470460560664498E-2</v>
      </c>
      <c r="Q448" s="3">
        <v>0.12690263336726154</v>
      </c>
      <c r="R448" s="3">
        <v>13.8899643653412</v>
      </c>
      <c r="S448" s="3">
        <v>393.75992113836537</v>
      </c>
      <c r="U448" s="3">
        <v>394.86587193968313</v>
      </c>
      <c r="V448" s="3">
        <v>1.1059508013177606</v>
      </c>
      <c r="X448" s="3">
        <v>0</v>
      </c>
      <c r="Y448" s="3">
        <v>0</v>
      </c>
      <c r="AA448" s="3">
        <v>0</v>
      </c>
      <c r="AB448" s="3">
        <v>0</v>
      </c>
      <c r="AC448" s="3">
        <v>0</v>
      </c>
    </row>
    <row r="449" spans="2:29" x14ac:dyDescent="0.2">
      <c r="B449" s="3" t="s">
        <v>911</v>
      </c>
      <c r="C449" s="3" t="s">
        <v>912</v>
      </c>
      <c r="D449" s="8">
        <v>42384</v>
      </c>
      <c r="E449" s="3">
        <v>2350</v>
      </c>
      <c r="F449" s="3" t="s">
        <v>25</v>
      </c>
      <c r="G449" s="3" t="s">
        <v>26</v>
      </c>
      <c r="H449" s="3">
        <v>10.5</v>
      </c>
      <c r="I449" s="3">
        <v>11.25</v>
      </c>
      <c r="J449" s="3">
        <v>12</v>
      </c>
      <c r="K449" s="3">
        <v>413.8</v>
      </c>
      <c r="L449" s="3">
        <v>415.85</v>
      </c>
      <c r="M449" s="3">
        <v>417.9</v>
      </c>
      <c r="N449" s="3">
        <v>1</v>
      </c>
      <c r="O449" s="3">
        <v>4.9180205635639372E-3</v>
      </c>
      <c r="P449" s="3">
        <v>2.1470460560664498E-2</v>
      </c>
      <c r="Q449" s="3">
        <v>0.12508114571004347</v>
      </c>
      <c r="R449" s="3">
        <v>11.189447620775695</v>
      </c>
      <c r="S449" s="3">
        <v>415.91055224709476</v>
      </c>
      <c r="U449" s="3">
        <v>416.94271528324794</v>
      </c>
      <c r="V449" s="3">
        <v>1.0321630361531788</v>
      </c>
      <c r="X449" s="3">
        <v>0</v>
      </c>
      <c r="Y449" s="3">
        <v>0</v>
      </c>
      <c r="AA449" s="3">
        <v>0</v>
      </c>
      <c r="AB449" s="3">
        <v>0</v>
      </c>
      <c r="AC449" s="3">
        <v>0</v>
      </c>
    </row>
    <row r="450" spans="2:29" x14ac:dyDescent="0.2">
      <c r="B450" s="3" t="s">
        <v>913</v>
      </c>
      <c r="C450" s="3" t="s">
        <v>914</v>
      </c>
      <c r="D450" s="8">
        <v>42384</v>
      </c>
      <c r="E450" s="3">
        <v>2375</v>
      </c>
      <c r="F450" s="3" t="s">
        <v>25</v>
      </c>
      <c r="G450" s="3" t="s">
        <v>26</v>
      </c>
      <c r="H450" s="3">
        <v>8.3000000000000007</v>
      </c>
      <c r="I450" s="3">
        <v>9.0500000000000007</v>
      </c>
      <c r="J450" s="3">
        <v>9.8000000000000007</v>
      </c>
      <c r="K450" s="3">
        <v>436.4</v>
      </c>
      <c r="L450" s="3">
        <v>438.55</v>
      </c>
      <c r="M450" s="3">
        <v>440.7</v>
      </c>
      <c r="N450" s="3">
        <v>1</v>
      </c>
      <c r="O450" s="3">
        <v>4.9180205635639372E-3</v>
      </c>
      <c r="P450" s="3">
        <v>2.1470460560664498E-2</v>
      </c>
      <c r="Q450" s="3">
        <v>0.12359827171869964</v>
      </c>
      <c r="R450" s="3">
        <v>9.0138254670257254</v>
      </c>
      <c r="S450" s="3">
        <v>438.58607794663885</v>
      </c>
      <c r="U450" s="3">
        <v>439.4616157211338</v>
      </c>
      <c r="V450" s="3">
        <v>0.87553777449494419</v>
      </c>
      <c r="X450" s="3">
        <v>0</v>
      </c>
      <c r="Y450" s="3">
        <v>0</v>
      </c>
      <c r="AA450" s="3">
        <v>0</v>
      </c>
      <c r="AB450" s="3">
        <v>0</v>
      </c>
      <c r="AC450" s="3">
        <v>0</v>
      </c>
    </row>
    <row r="451" spans="2:29" x14ac:dyDescent="0.2">
      <c r="B451" s="3" t="s">
        <v>915</v>
      </c>
      <c r="C451" s="3" t="s">
        <v>916</v>
      </c>
      <c r="D451" s="8">
        <v>42384</v>
      </c>
      <c r="E451" s="3">
        <v>2400</v>
      </c>
      <c r="F451" s="3" t="s">
        <v>25</v>
      </c>
      <c r="G451" s="3" t="s">
        <v>26</v>
      </c>
      <c r="H451" s="3">
        <v>6.5</v>
      </c>
      <c r="I451" s="3">
        <v>7.25</v>
      </c>
      <c r="J451" s="3">
        <v>8</v>
      </c>
      <c r="K451" s="3">
        <v>459.6</v>
      </c>
      <c r="L451" s="3">
        <v>461.65</v>
      </c>
      <c r="M451" s="3">
        <v>463.7</v>
      </c>
      <c r="N451" s="3">
        <v>1</v>
      </c>
      <c r="O451" s="3">
        <v>4.9180205635639372E-3</v>
      </c>
      <c r="P451" s="3">
        <v>2.1470460560664498E-2</v>
      </c>
      <c r="Q451" s="3">
        <v>0.12230788315610938</v>
      </c>
      <c r="R451" s="3">
        <v>7.2382997426890228</v>
      </c>
      <c r="S451" s="3">
        <v>461.66170007559595</v>
      </c>
      <c r="U451" s="3">
        <v>462.37327168270809</v>
      </c>
      <c r="V451" s="3">
        <v>0.71157160711214829</v>
      </c>
      <c r="X451" s="3">
        <v>0</v>
      </c>
      <c r="Y451" s="3">
        <v>0</v>
      </c>
      <c r="AA451" s="3">
        <v>0</v>
      </c>
      <c r="AB451" s="3">
        <v>0</v>
      </c>
      <c r="AC451" s="3">
        <v>0</v>
      </c>
    </row>
    <row r="452" spans="2:29" x14ac:dyDescent="0.2">
      <c r="B452" s="3" t="s">
        <v>917</v>
      </c>
      <c r="C452" s="3" t="s">
        <v>918</v>
      </c>
      <c r="D452" s="8">
        <v>42384</v>
      </c>
      <c r="E452" s="3">
        <v>2500</v>
      </c>
      <c r="F452" s="3" t="s">
        <v>25</v>
      </c>
      <c r="G452" s="3" t="s">
        <v>26</v>
      </c>
      <c r="H452" s="3">
        <v>2.2999999999999998</v>
      </c>
      <c r="I452" s="3">
        <v>3.1</v>
      </c>
      <c r="J452" s="3">
        <v>3.9</v>
      </c>
      <c r="K452" s="3">
        <v>554.9</v>
      </c>
      <c r="L452" s="3">
        <v>556.79999999999995</v>
      </c>
      <c r="M452" s="3">
        <v>558.70000000000005</v>
      </c>
      <c r="N452" s="3">
        <v>1</v>
      </c>
      <c r="O452" s="3">
        <v>4.9180205635639372E-3</v>
      </c>
      <c r="P452" s="3">
        <v>2.1470460560664498E-2</v>
      </c>
      <c r="Q452" s="3">
        <v>0.1196878240782531</v>
      </c>
      <c r="R452" s="3">
        <v>3.0930786256950995</v>
      </c>
      <c r="S452" s="3">
        <v>556.92107037177971</v>
      </c>
      <c r="U452" s="3">
        <v>557.05294578045471</v>
      </c>
      <c r="V452" s="3">
        <v>0.13187540867500047</v>
      </c>
      <c r="X452" s="3">
        <v>0</v>
      </c>
      <c r="Y452" s="3">
        <v>0</v>
      </c>
      <c r="AA452" s="3">
        <v>0</v>
      </c>
      <c r="AB452" s="3">
        <v>0</v>
      </c>
      <c r="AC452" s="3">
        <v>0</v>
      </c>
    </row>
    <row r="453" spans="2:29" x14ac:dyDescent="0.2">
      <c r="B453" s="3" t="s">
        <v>919</v>
      </c>
      <c r="C453" s="3" t="s">
        <v>920</v>
      </c>
      <c r="D453" s="8">
        <v>42538</v>
      </c>
      <c r="E453" s="3">
        <v>450</v>
      </c>
      <c r="F453" s="3" t="s">
        <v>25</v>
      </c>
      <c r="G453" s="3" t="s">
        <v>26</v>
      </c>
      <c r="H453" s="3">
        <v>1466.8</v>
      </c>
      <c r="I453" s="3">
        <v>1469.2</v>
      </c>
      <c r="J453" s="3">
        <v>1471.6</v>
      </c>
      <c r="K453" s="3">
        <v>0.15</v>
      </c>
      <c r="L453" s="3">
        <v>0.65</v>
      </c>
      <c r="M453" s="3">
        <v>1.1499999999999999</v>
      </c>
      <c r="N453" s="3">
        <v>0</v>
      </c>
      <c r="O453" s="3">
        <v>6.1406196159944082E-3</v>
      </c>
      <c r="P453" s="3">
        <v>2.1133856530553684E-2</v>
      </c>
      <c r="Q453" s="3">
        <v>0.27908109503511691</v>
      </c>
      <c r="R453" s="3">
        <v>1469.4737090501949</v>
      </c>
      <c r="S453" s="3">
        <v>1.5763192880566441E-3</v>
      </c>
      <c r="U453" s="3">
        <v>0.47736033880937612</v>
      </c>
      <c r="V453" s="3">
        <v>0.47578401952131949</v>
      </c>
      <c r="X453" s="3">
        <v>0</v>
      </c>
      <c r="Y453" s="3">
        <v>0</v>
      </c>
      <c r="AA453" s="3">
        <v>0</v>
      </c>
      <c r="AB453" s="3">
        <v>0</v>
      </c>
      <c r="AC453" s="3">
        <v>0</v>
      </c>
    </row>
    <row r="454" spans="2:29" x14ac:dyDescent="0.2">
      <c r="B454" s="3" t="s">
        <v>921</v>
      </c>
      <c r="C454" s="3" t="s">
        <v>922</v>
      </c>
      <c r="D454" s="8">
        <v>42538</v>
      </c>
      <c r="E454" s="3">
        <v>500</v>
      </c>
      <c r="F454" s="3" t="s">
        <v>25</v>
      </c>
      <c r="G454" s="3" t="s">
        <v>26</v>
      </c>
      <c r="H454" s="3">
        <v>1417.6</v>
      </c>
      <c r="I454" s="3">
        <v>1420.75</v>
      </c>
      <c r="J454" s="3">
        <v>1423.9</v>
      </c>
      <c r="K454" s="3">
        <v>0.9</v>
      </c>
      <c r="L454" s="3">
        <v>1.1499999999999999</v>
      </c>
      <c r="M454" s="3">
        <v>1.4</v>
      </c>
      <c r="N454" s="3">
        <v>0</v>
      </c>
      <c r="O454" s="3">
        <v>6.1406196159944082E-3</v>
      </c>
      <c r="P454" s="3">
        <v>2.1133856530553684E-2</v>
      </c>
      <c r="Q454" s="3">
        <v>0.27908109503511691</v>
      </c>
      <c r="R454" s="3">
        <v>1419.9776432797796</v>
      </c>
      <c r="S454" s="3">
        <v>6.0506033586218977E-3</v>
      </c>
      <c r="U454" s="3">
        <v>1.1642068673629637</v>
      </c>
      <c r="V454" s="3">
        <v>1.1581562640043419</v>
      </c>
      <c r="X454" s="3">
        <v>0</v>
      </c>
      <c r="Y454" s="3">
        <v>0</v>
      </c>
      <c r="AA454" s="3">
        <v>0</v>
      </c>
      <c r="AB454" s="3">
        <v>0</v>
      </c>
      <c r="AC454" s="3">
        <v>0</v>
      </c>
    </row>
    <row r="455" spans="2:29" x14ac:dyDescent="0.2">
      <c r="B455" s="3" t="s">
        <v>923</v>
      </c>
      <c r="C455" s="3" t="s">
        <v>924</v>
      </c>
      <c r="D455" s="8">
        <v>42538</v>
      </c>
      <c r="E455" s="3">
        <v>550</v>
      </c>
      <c r="F455" s="3" t="s">
        <v>25</v>
      </c>
      <c r="G455" s="3" t="s">
        <v>26</v>
      </c>
      <c r="H455" s="3">
        <v>1368.3</v>
      </c>
      <c r="I455" s="3">
        <v>1371</v>
      </c>
      <c r="J455" s="3">
        <v>1373.7</v>
      </c>
      <c r="K455" s="3">
        <v>0.75</v>
      </c>
      <c r="L455" s="3">
        <v>1.25</v>
      </c>
      <c r="M455" s="3">
        <v>1.75</v>
      </c>
      <c r="N455" s="3">
        <v>0</v>
      </c>
      <c r="O455" s="3">
        <v>6.1406196159944082E-3</v>
      </c>
      <c r="P455" s="3">
        <v>2.1133856530553684E-2</v>
      </c>
      <c r="Q455" s="3">
        <v>0.27908109503511691</v>
      </c>
      <c r="R455" s="3">
        <v>1370.490130558482</v>
      </c>
      <c r="S455" s="3">
        <v>1.9077936546541163E-2</v>
      </c>
      <c r="U455" s="3">
        <v>1.3311689656125054</v>
      </c>
      <c r="V455" s="3">
        <v>1.3120910290659642</v>
      </c>
      <c r="X455" s="3">
        <v>0</v>
      </c>
      <c r="Y455" s="3">
        <v>0</v>
      </c>
      <c r="AA455" s="3">
        <v>0</v>
      </c>
      <c r="AB455" s="3">
        <v>0</v>
      </c>
      <c r="AC455" s="3">
        <v>0</v>
      </c>
    </row>
    <row r="456" spans="2:29" x14ac:dyDescent="0.2">
      <c r="B456" s="3" t="s">
        <v>925</v>
      </c>
      <c r="C456" s="3" t="s">
        <v>926</v>
      </c>
      <c r="D456" s="8">
        <v>42538</v>
      </c>
      <c r="E456" s="3">
        <v>600</v>
      </c>
      <c r="F456" s="3" t="s">
        <v>25</v>
      </c>
      <c r="G456" s="3" t="s">
        <v>26</v>
      </c>
      <c r="H456" s="3">
        <v>1319.2</v>
      </c>
      <c r="I456" s="3">
        <v>1322</v>
      </c>
      <c r="J456" s="3">
        <v>1324.8</v>
      </c>
      <c r="K456" s="3">
        <v>1.1499999999999999</v>
      </c>
      <c r="L456" s="3">
        <v>1.65</v>
      </c>
      <c r="M456" s="3">
        <v>2.15</v>
      </c>
      <c r="N456" s="3">
        <v>1</v>
      </c>
      <c r="O456" s="3">
        <v>6.1406196159944082E-3</v>
      </c>
      <c r="P456" s="3">
        <v>2.1133856530553684E-2</v>
      </c>
      <c r="Q456" s="3">
        <v>0.27908109503511691</v>
      </c>
      <c r="R456" s="3">
        <v>1321.0219701327228</v>
      </c>
      <c r="S456" s="3">
        <v>5.1457565273182015E-2</v>
      </c>
      <c r="U456" s="3">
        <v>1.4967905220521516</v>
      </c>
      <c r="V456" s="3">
        <v>1.4453329567789694</v>
      </c>
      <c r="X456" s="3">
        <v>0</v>
      </c>
      <c r="Y456" s="3">
        <v>0</v>
      </c>
      <c r="AA456" s="3">
        <v>0</v>
      </c>
      <c r="AB456" s="3">
        <v>0</v>
      </c>
      <c r="AC456" s="3">
        <v>0</v>
      </c>
    </row>
    <row r="457" spans="2:29" x14ac:dyDescent="0.2">
      <c r="B457" s="3" t="s">
        <v>927</v>
      </c>
      <c r="C457" s="3" t="s">
        <v>928</v>
      </c>
      <c r="D457" s="8">
        <v>42538</v>
      </c>
      <c r="E457" s="3">
        <v>650</v>
      </c>
      <c r="F457" s="3" t="s">
        <v>25</v>
      </c>
      <c r="G457" s="3" t="s">
        <v>26</v>
      </c>
      <c r="H457" s="3">
        <v>1270.3</v>
      </c>
      <c r="I457" s="3">
        <v>1273.5999999999999</v>
      </c>
      <c r="J457" s="3">
        <v>1276.9000000000001</v>
      </c>
      <c r="K457" s="3">
        <v>1.9</v>
      </c>
      <c r="L457" s="3">
        <v>2</v>
      </c>
      <c r="M457" s="3">
        <v>2.1</v>
      </c>
      <c r="N457" s="3">
        <v>1</v>
      </c>
      <c r="O457" s="3">
        <v>6.1406196159944082E-3</v>
      </c>
      <c r="P457" s="3">
        <v>2.1133856530553684E-2</v>
      </c>
      <c r="Q457" s="3">
        <v>0.27908109503511691</v>
      </c>
      <c r="R457" s="3">
        <v>1271.5922962290256</v>
      </c>
      <c r="S457" s="3">
        <v>0.12232371606180581</v>
      </c>
      <c r="U457" s="3">
        <v>1.4337932091573293</v>
      </c>
      <c r="V457" s="3">
        <v>1.3114694930955235</v>
      </c>
      <c r="X457" s="3">
        <v>0</v>
      </c>
      <c r="Y457" s="3">
        <v>0</v>
      </c>
      <c r="AA457" s="3">
        <v>0</v>
      </c>
      <c r="AB457" s="3">
        <v>0</v>
      </c>
      <c r="AC457" s="3">
        <v>0</v>
      </c>
    </row>
    <row r="458" spans="2:29" x14ac:dyDescent="0.2">
      <c r="B458" s="3" t="s">
        <v>929</v>
      </c>
      <c r="C458" s="3" t="s">
        <v>930</v>
      </c>
      <c r="D458" s="8">
        <v>42538</v>
      </c>
      <c r="E458" s="3">
        <v>700</v>
      </c>
      <c r="F458" s="3" t="s">
        <v>25</v>
      </c>
      <c r="G458" s="3" t="s">
        <v>26</v>
      </c>
      <c r="H458" s="3">
        <v>1221.4000000000001</v>
      </c>
      <c r="I458" s="3">
        <v>1224.25</v>
      </c>
      <c r="J458" s="3">
        <v>1227.0999999999999</v>
      </c>
      <c r="K458" s="3">
        <v>2.2000000000000002</v>
      </c>
      <c r="L458" s="3">
        <v>2.7</v>
      </c>
      <c r="M458" s="3">
        <v>3.2</v>
      </c>
      <c r="N458" s="3">
        <v>1</v>
      </c>
      <c r="O458" s="3">
        <v>6.1406196159944082E-3</v>
      </c>
      <c r="P458" s="3">
        <v>2.1133856530553684E-2</v>
      </c>
      <c r="Q458" s="3">
        <v>0.27908109503511691</v>
      </c>
      <c r="R458" s="3">
        <v>1222.2315496180399</v>
      </c>
      <c r="S458" s="3">
        <v>0.26211715956142667</v>
      </c>
      <c r="U458" s="3">
        <v>2.1750173833895587</v>
      </c>
      <c r="V458" s="3">
        <v>1.9129002238281321</v>
      </c>
      <c r="X458" s="3">
        <v>0</v>
      </c>
      <c r="Y458" s="3">
        <v>0</v>
      </c>
      <c r="AA458" s="3">
        <v>0</v>
      </c>
      <c r="AB458" s="3">
        <v>0</v>
      </c>
      <c r="AC458" s="3">
        <v>0</v>
      </c>
    </row>
    <row r="459" spans="2:29" x14ac:dyDescent="0.2">
      <c r="B459" s="3" t="s">
        <v>931</v>
      </c>
      <c r="C459" s="3" t="s">
        <v>932</v>
      </c>
      <c r="D459" s="8">
        <v>42538</v>
      </c>
      <c r="E459" s="3">
        <v>750</v>
      </c>
      <c r="F459" s="3" t="s">
        <v>25</v>
      </c>
      <c r="G459" s="3" t="s">
        <v>26</v>
      </c>
      <c r="H459" s="3">
        <v>1172.7</v>
      </c>
      <c r="I459" s="3">
        <v>1175.55</v>
      </c>
      <c r="J459" s="3">
        <v>1178.4000000000001</v>
      </c>
      <c r="K459" s="3">
        <v>2.65</v>
      </c>
      <c r="L459" s="3">
        <v>3.42</v>
      </c>
      <c r="M459" s="3">
        <v>4.2</v>
      </c>
      <c r="N459" s="3">
        <v>1</v>
      </c>
      <c r="O459" s="3">
        <v>6.1406196159944082E-3</v>
      </c>
      <c r="P459" s="3">
        <v>2.1133856530553684E-2</v>
      </c>
      <c r="Q459" s="3">
        <v>0.27908109503511691</v>
      </c>
      <c r="R459" s="3">
        <v>1172.9840525846603</v>
      </c>
      <c r="S459" s="3">
        <v>0.51516018066788227</v>
      </c>
      <c r="U459" s="3">
        <v>2.91025435788697</v>
      </c>
      <c r="V459" s="3">
        <v>2.3950941772190877</v>
      </c>
      <c r="X459" s="3">
        <v>0</v>
      </c>
      <c r="Y459" s="3">
        <v>0</v>
      </c>
      <c r="AA459" s="3">
        <v>0</v>
      </c>
      <c r="AB459" s="3">
        <v>0</v>
      </c>
      <c r="AC459" s="3">
        <v>0</v>
      </c>
    </row>
    <row r="460" spans="2:29" x14ac:dyDescent="0.2">
      <c r="B460" s="3" t="s">
        <v>933</v>
      </c>
      <c r="C460" s="3" t="s">
        <v>934</v>
      </c>
      <c r="D460" s="8">
        <v>42538</v>
      </c>
      <c r="E460" s="3">
        <v>775</v>
      </c>
      <c r="F460" s="3" t="s">
        <v>25</v>
      </c>
      <c r="G460" s="3" t="s">
        <v>26</v>
      </c>
      <c r="H460" s="3">
        <v>1148.4000000000001</v>
      </c>
      <c r="I460" s="3">
        <v>1151.25</v>
      </c>
      <c r="J460" s="3">
        <v>1154.0999999999999</v>
      </c>
      <c r="K460" s="3">
        <v>3</v>
      </c>
      <c r="L460" s="3">
        <v>3.8</v>
      </c>
      <c r="M460" s="3">
        <v>4.5999999999999996</v>
      </c>
      <c r="N460" s="3">
        <v>1</v>
      </c>
      <c r="O460" s="3">
        <v>6.1406196159944082E-3</v>
      </c>
      <c r="P460" s="3">
        <v>2.1133856530553684E-2</v>
      </c>
      <c r="Q460" s="3">
        <v>0.27908109503511691</v>
      </c>
      <c r="R460" s="3">
        <v>1148.420867818571</v>
      </c>
      <c r="S460" s="3">
        <v>0.70224544182129556</v>
      </c>
      <c r="U460" s="3">
        <v>3.0610655581529045</v>
      </c>
      <c r="V460" s="3">
        <v>2.3588201163316089</v>
      </c>
      <c r="X460" s="3">
        <v>0</v>
      </c>
      <c r="Y460" s="3">
        <v>0</v>
      </c>
      <c r="AA460" s="3">
        <v>0</v>
      </c>
      <c r="AB460" s="3">
        <v>0</v>
      </c>
      <c r="AC460" s="3">
        <v>0</v>
      </c>
    </row>
    <row r="461" spans="2:29" x14ac:dyDescent="0.2">
      <c r="B461" s="3" t="s">
        <v>935</v>
      </c>
      <c r="C461" s="3" t="s">
        <v>936</v>
      </c>
      <c r="D461" s="8">
        <v>42538</v>
      </c>
      <c r="E461" s="3">
        <v>800</v>
      </c>
      <c r="F461" s="3" t="s">
        <v>25</v>
      </c>
      <c r="G461" s="3" t="s">
        <v>26</v>
      </c>
      <c r="H461" s="3">
        <v>1124.0999999999999</v>
      </c>
      <c r="I461" s="3">
        <v>1127</v>
      </c>
      <c r="J461" s="3">
        <v>1129.9000000000001</v>
      </c>
      <c r="K461" s="3">
        <v>3.5</v>
      </c>
      <c r="L461" s="3">
        <v>4.3</v>
      </c>
      <c r="M461" s="3">
        <v>5.0999999999999996</v>
      </c>
      <c r="N461" s="3">
        <v>1</v>
      </c>
      <c r="O461" s="3">
        <v>6.1406196159944082E-3</v>
      </c>
      <c r="P461" s="3">
        <v>2.1133856530553684E-2</v>
      </c>
      <c r="Q461" s="3">
        <v>0.27908109503511691</v>
      </c>
      <c r="R461" s="3">
        <v>1123.9097399340367</v>
      </c>
      <c r="S461" s="3">
        <v>0.94138758452971683</v>
      </c>
      <c r="U461" s="3">
        <v>3.2858382035631166</v>
      </c>
      <c r="V461" s="3">
        <v>2.3444506190333998</v>
      </c>
      <c r="X461" s="3">
        <v>0</v>
      </c>
      <c r="Y461" s="3">
        <v>0</v>
      </c>
      <c r="AA461" s="3">
        <v>0</v>
      </c>
      <c r="AB461" s="3">
        <v>0</v>
      </c>
      <c r="AC461" s="3">
        <v>0</v>
      </c>
    </row>
    <row r="462" spans="2:29" x14ac:dyDescent="0.2">
      <c r="B462" s="3" t="s">
        <v>937</v>
      </c>
      <c r="C462" s="3" t="s">
        <v>938</v>
      </c>
      <c r="D462" s="8">
        <v>42538</v>
      </c>
      <c r="E462" s="3">
        <v>825</v>
      </c>
      <c r="F462" s="3" t="s">
        <v>25</v>
      </c>
      <c r="G462" s="3" t="s">
        <v>26</v>
      </c>
      <c r="H462" s="3">
        <v>1099.9000000000001</v>
      </c>
      <c r="I462" s="3">
        <v>1102.75</v>
      </c>
      <c r="J462" s="3">
        <v>1105.5999999999999</v>
      </c>
      <c r="K462" s="3">
        <v>4</v>
      </c>
      <c r="L462" s="3">
        <v>4.8</v>
      </c>
      <c r="M462" s="3">
        <v>5.6</v>
      </c>
      <c r="N462" s="3">
        <v>1</v>
      </c>
      <c r="O462" s="3">
        <v>6.1406196159944082E-3</v>
      </c>
      <c r="P462" s="3">
        <v>2.1133856530553684E-2</v>
      </c>
      <c r="Q462" s="3">
        <v>0.27908109503511691</v>
      </c>
      <c r="R462" s="3">
        <v>1099.4606964454047</v>
      </c>
      <c r="S462" s="3">
        <v>1.2426141231406262</v>
      </c>
      <c r="U462" s="3">
        <v>4.156714122373387</v>
      </c>
      <c r="V462" s="3">
        <v>2.9140999992327608</v>
      </c>
      <c r="X462" s="3">
        <v>0</v>
      </c>
      <c r="Y462" s="3">
        <v>0</v>
      </c>
      <c r="AA462" s="3">
        <v>0</v>
      </c>
      <c r="AB462" s="3">
        <v>0</v>
      </c>
      <c r="AC462" s="3">
        <v>0</v>
      </c>
    </row>
    <row r="463" spans="2:29" x14ac:dyDescent="0.2">
      <c r="B463" s="3" t="s">
        <v>939</v>
      </c>
      <c r="C463" s="3" t="s">
        <v>940</v>
      </c>
      <c r="D463" s="8">
        <v>42538</v>
      </c>
      <c r="E463" s="3">
        <v>850</v>
      </c>
      <c r="F463" s="3" t="s">
        <v>25</v>
      </c>
      <c r="G463" s="3" t="s">
        <v>26</v>
      </c>
      <c r="H463" s="3">
        <v>1075.5999999999999</v>
      </c>
      <c r="I463" s="3">
        <v>1078.55</v>
      </c>
      <c r="J463" s="3">
        <v>1081.5</v>
      </c>
      <c r="K463" s="3">
        <v>4.5</v>
      </c>
      <c r="L463" s="3">
        <v>5.3</v>
      </c>
      <c r="M463" s="3">
        <v>6.1</v>
      </c>
      <c r="N463" s="3">
        <v>1</v>
      </c>
      <c r="O463" s="3">
        <v>6.1406196159944082E-3</v>
      </c>
      <c r="P463" s="3">
        <v>2.1133856530553684E-2</v>
      </c>
      <c r="Q463" s="3">
        <v>0.27908109503511691</v>
      </c>
      <c r="R463" s="3">
        <v>1075.0847447476458</v>
      </c>
      <c r="S463" s="3">
        <v>1.6169324526246243</v>
      </c>
      <c r="U463" s="3">
        <v>4.3923178789971189</v>
      </c>
      <c r="V463" s="3">
        <v>2.7753854263724946</v>
      </c>
      <c r="X463" s="3">
        <v>0</v>
      </c>
      <c r="Y463" s="3">
        <v>0</v>
      </c>
      <c r="AA463" s="3">
        <v>0</v>
      </c>
      <c r="AB463" s="3">
        <v>0</v>
      </c>
      <c r="AC463" s="3">
        <v>0</v>
      </c>
    </row>
    <row r="464" spans="2:29" x14ac:dyDescent="0.2">
      <c r="B464" s="3" t="s">
        <v>941</v>
      </c>
      <c r="C464" s="3" t="s">
        <v>942</v>
      </c>
      <c r="D464" s="8">
        <v>42538</v>
      </c>
      <c r="E464" s="3">
        <v>875</v>
      </c>
      <c r="F464" s="3" t="s">
        <v>25</v>
      </c>
      <c r="G464" s="3" t="s">
        <v>26</v>
      </c>
      <c r="H464" s="3">
        <v>1051.5</v>
      </c>
      <c r="I464" s="3">
        <v>1054.4000000000001</v>
      </c>
      <c r="J464" s="3">
        <v>1057.3</v>
      </c>
      <c r="K464" s="3">
        <v>5.0999999999999996</v>
      </c>
      <c r="L464" s="3">
        <v>5.9</v>
      </c>
      <c r="M464" s="3">
        <v>6.7</v>
      </c>
      <c r="N464" s="3">
        <v>1</v>
      </c>
      <c r="O464" s="3">
        <v>6.1406196159944082E-3</v>
      </c>
      <c r="P464" s="3">
        <v>2.1133856530553684E-2</v>
      </c>
      <c r="Q464" s="3">
        <v>0.27908109503511691</v>
      </c>
      <c r="R464" s="3">
        <v>1050.7938219152688</v>
      </c>
      <c r="S464" s="3">
        <v>2.0762796474903222</v>
      </c>
      <c r="U464" s="3">
        <v>5.1462999420987217</v>
      </c>
      <c r="V464" s="3">
        <v>3.0700202946083994</v>
      </c>
      <c r="X464" s="3">
        <v>0</v>
      </c>
      <c r="Y464" s="3">
        <v>0</v>
      </c>
      <c r="AA464" s="3">
        <v>0</v>
      </c>
      <c r="AB464" s="3">
        <v>0</v>
      </c>
      <c r="AC464" s="3">
        <v>0</v>
      </c>
    </row>
    <row r="465" spans="2:29" x14ac:dyDescent="0.2">
      <c r="B465" s="3" t="s">
        <v>943</v>
      </c>
      <c r="C465" s="3" t="s">
        <v>944</v>
      </c>
      <c r="D465" s="8">
        <v>42538</v>
      </c>
      <c r="E465" s="3">
        <v>900</v>
      </c>
      <c r="F465" s="3" t="s">
        <v>25</v>
      </c>
      <c r="G465" s="3" t="s">
        <v>26</v>
      </c>
      <c r="H465" s="3">
        <v>1027.4000000000001</v>
      </c>
      <c r="I465" s="3">
        <v>1030.3499999999999</v>
      </c>
      <c r="J465" s="3">
        <v>1033.3</v>
      </c>
      <c r="K465" s="3">
        <v>5.6</v>
      </c>
      <c r="L465" s="3">
        <v>6.6</v>
      </c>
      <c r="M465" s="3">
        <v>7.6</v>
      </c>
      <c r="N465" s="3">
        <v>1</v>
      </c>
      <c r="O465" s="3">
        <v>6.1406196159944082E-3</v>
      </c>
      <c r="P465" s="3">
        <v>2.1133856530553684E-2</v>
      </c>
      <c r="Q465" s="3">
        <v>0.27908109503511691</v>
      </c>
      <c r="R465" s="3">
        <v>1026.6007270481155</v>
      </c>
      <c r="S465" s="3">
        <v>2.6334548075796</v>
      </c>
      <c r="U465" s="3">
        <v>5.8260624630422626</v>
      </c>
      <c r="V465" s="3">
        <v>3.1926076554626626</v>
      </c>
      <c r="X465" s="3">
        <v>0</v>
      </c>
      <c r="Y465" s="3">
        <v>0</v>
      </c>
      <c r="AA465" s="3">
        <v>0</v>
      </c>
      <c r="AB465" s="3">
        <v>0</v>
      </c>
      <c r="AC465" s="3">
        <v>0</v>
      </c>
    </row>
    <row r="466" spans="2:29" x14ac:dyDescent="0.2">
      <c r="B466" s="3" t="s">
        <v>945</v>
      </c>
      <c r="C466" s="3" t="s">
        <v>946</v>
      </c>
      <c r="D466" s="8">
        <v>42538</v>
      </c>
      <c r="E466" s="3">
        <v>925</v>
      </c>
      <c r="F466" s="3" t="s">
        <v>25</v>
      </c>
      <c r="G466" s="3" t="s">
        <v>26</v>
      </c>
      <c r="H466" s="3">
        <v>1003.4</v>
      </c>
      <c r="I466" s="3">
        <v>1006.35</v>
      </c>
      <c r="J466" s="3">
        <v>1009.3</v>
      </c>
      <c r="K466" s="3">
        <v>6.4</v>
      </c>
      <c r="L466" s="3">
        <v>7.35</v>
      </c>
      <c r="M466" s="3">
        <v>8.3000000000000007</v>
      </c>
      <c r="N466" s="3">
        <v>1</v>
      </c>
      <c r="O466" s="3">
        <v>6.1406196159944082E-3</v>
      </c>
      <c r="P466" s="3">
        <v>2.1133856530553684E-2</v>
      </c>
      <c r="Q466" s="3">
        <v>0.27908109503511691</v>
      </c>
      <c r="R466" s="3">
        <v>1002.5190381222467</v>
      </c>
      <c r="S466" s="3">
        <v>3.3020359089539006</v>
      </c>
      <c r="U466" s="3">
        <v>6.4555203091977091</v>
      </c>
      <c r="V466" s="3">
        <v>3.1534844002438085</v>
      </c>
      <c r="X466" s="3">
        <v>0</v>
      </c>
      <c r="Y466" s="3">
        <v>0</v>
      </c>
      <c r="AA466" s="3">
        <v>0</v>
      </c>
      <c r="AB466" s="3">
        <v>0</v>
      </c>
      <c r="AC466" s="3">
        <v>0</v>
      </c>
    </row>
    <row r="467" spans="2:29" x14ac:dyDescent="0.2">
      <c r="B467" s="3" t="s">
        <v>947</v>
      </c>
      <c r="C467" s="3" t="s">
        <v>948</v>
      </c>
      <c r="D467" s="8">
        <v>42538</v>
      </c>
      <c r="E467" s="3">
        <v>950</v>
      </c>
      <c r="F467" s="3" t="s">
        <v>25</v>
      </c>
      <c r="G467" s="3" t="s">
        <v>26</v>
      </c>
      <c r="H467" s="3">
        <v>979.5</v>
      </c>
      <c r="I467" s="3">
        <v>982.5</v>
      </c>
      <c r="J467" s="3">
        <v>985.5</v>
      </c>
      <c r="K467" s="3">
        <v>7.3</v>
      </c>
      <c r="L467" s="3">
        <v>8.1999999999999993</v>
      </c>
      <c r="M467" s="3">
        <v>9.1</v>
      </c>
      <c r="N467" s="3">
        <v>1</v>
      </c>
      <c r="O467" s="3">
        <v>6.1406196159944082E-3</v>
      </c>
      <c r="P467" s="3">
        <v>2.1133856530553684E-2</v>
      </c>
      <c r="Q467" s="3">
        <v>0.27908109503511691</v>
      </c>
      <c r="R467" s="3">
        <v>978.56301563175532</v>
      </c>
      <c r="S467" s="3">
        <v>4.0962834457051258</v>
      </c>
      <c r="U467" s="3">
        <v>7.0683173322491939</v>
      </c>
      <c r="V467" s="3">
        <v>2.9720338865440681</v>
      </c>
      <c r="X467" s="3">
        <v>0</v>
      </c>
      <c r="Y467" s="3">
        <v>0</v>
      </c>
      <c r="AA467" s="3">
        <v>0</v>
      </c>
      <c r="AB467" s="3">
        <v>0</v>
      </c>
      <c r="AC467" s="3">
        <v>0</v>
      </c>
    </row>
    <row r="468" spans="2:29" x14ac:dyDescent="0.2">
      <c r="B468" s="3" t="s">
        <v>949</v>
      </c>
      <c r="C468" s="3" t="s">
        <v>950</v>
      </c>
      <c r="D468" s="8">
        <v>42538</v>
      </c>
      <c r="E468" s="3">
        <v>975</v>
      </c>
      <c r="F468" s="3" t="s">
        <v>25</v>
      </c>
      <c r="G468" s="3" t="s">
        <v>26</v>
      </c>
      <c r="H468" s="3">
        <v>955.7</v>
      </c>
      <c r="I468" s="3">
        <v>958.65</v>
      </c>
      <c r="J468" s="3">
        <v>961.6</v>
      </c>
      <c r="K468" s="3">
        <v>8.1</v>
      </c>
      <c r="L468" s="3">
        <v>9</v>
      </c>
      <c r="M468" s="3">
        <v>9.9</v>
      </c>
      <c r="N468" s="3">
        <v>1</v>
      </c>
      <c r="O468" s="3">
        <v>6.1406196159944082E-3</v>
      </c>
      <c r="P468" s="3">
        <v>2.1133856530553684E-2</v>
      </c>
      <c r="Q468" s="3">
        <v>0.27908109503511691</v>
      </c>
      <c r="R468" s="3">
        <v>954.74749551807508</v>
      </c>
      <c r="S468" s="3">
        <v>5.0310333592679939</v>
      </c>
      <c r="U468" s="3">
        <v>7.9863278827046997</v>
      </c>
      <c r="V468" s="3">
        <v>2.9552945234367058</v>
      </c>
      <c r="X468" s="3">
        <v>0</v>
      </c>
      <c r="Y468" s="3">
        <v>0</v>
      </c>
      <c r="AA468" s="3">
        <v>0</v>
      </c>
      <c r="AB468" s="3">
        <v>0</v>
      </c>
      <c r="AC468" s="3">
        <v>0</v>
      </c>
    </row>
    <row r="469" spans="2:29" x14ac:dyDescent="0.2">
      <c r="B469" s="3" t="s">
        <v>951</v>
      </c>
      <c r="C469" s="3" t="s">
        <v>952</v>
      </c>
      <c r="D469" s="8">
        <v>42538</v>
      </c>
      <c r="E469" s="3">
        <v>1000</v>
      </c>
      <c r="F469" s="3" t="s">
        <v>25</v>
      </c>
      <c r="G469" s="3" t="s">
        <v>26</v>
      </c>
      <c r="H469" s="3">
        <v>931.9</v>
      </c>
      <c r="I469" s="3">
        <v>934.9</v>
      </c>
      <c r="J469" s="3">
        <v>937.9</v>
      </c>
      <c r="K469" s="3">
        <v>9.1</v>
      </c>
      <c r="L469" s="3">
        <v>9.9499999999999993</v>
      </c>
      <c r="M469" s="3">
        <v>10.8</v>
      </c>
      <c r="N469" s="3">
        <v>1</v>
      </c>
      <c r="O469" s="3">
        <v>6.1406196159944082E-3</v>
      </c>
      <c r="P469" s="3">
        <v>2.1133856530553684E-2</v>
      </c>
      <c r="Q469" s="3">
        <v>0.27908109503511691</v>
      </c>
      <c r="R469" s="3">
        <v>931.08777398550012</v>
      </c>
      <c r="S469" s="3">
        <v>6.121581853935723</v>
      </c>
      <c r="U469" s="3">
        <v>8.8748510035342179</v>
      </c>
      <c r="V469" s="3">
        <v>2.7532691495984949</v>
      </c>
      <c r="X469" s="3">
        <v>0</v>
      </c>
      <c r="Y469" s="3">
        <v>0</v>
      </c>
      <c r="AA469" s="3">
        <v>0</v>
      </c>
      <c r="AB469" s="3">
        <v>0</v>
      </c>
      <c r="AC469" s="3">
        <v>0</v>
      </c>
    </row>
    <row r="470" spans="2:29" x14ac:dyDescent="0.2">
      <c r="B470" s="3" t="s">
        <v>953</v>
      </c>
      <c r="C470" s="3" t="s">
        <v>954</v>
      </c>
      <c r="D470" s="8">
        <v>42538</v>
      </c>
      <c r="E470" s="3">
        <v>1025</v>
      </c>
      <c r="F470" s="3" t="s">
        <v>25</v>
      </c>
      <c r="G470" s="3" t="s">
        <v>26</v>
      </c>
      <c r="H470" s="3">
        <v>908.2</v>
      </c>
      <c r="I470" s="3">
        <v>911.2</v>
      </c>
      <c r="J470" s="3">
        <v>914.2</v>
      </c>
      <c r="K470" s="3">
        <v>10.1</v>
      </c>
      <c r="L470" s="3">
        <v>10.95</v>
      </c>
      <c r="M470" s="3">
        <v>11.8</v>
      </c>
      <c r="N470" s="3">
        <v>1</v>
      </c>
      <c r="O470" s="3">
        <v>6.1406196159944082E-3</v>
      </c>
      <c r="P470" s="3">
        <v>2.1133856530553684E-2</v>
      </c>
      <c r="Q470" s="3">
        <v>0.27908109503511691</v>
      </c>
      <c r="R470" s="3">
        <v>907.59948680711329</v>
      </c>
      <c r="S470" s="3">
        <v>7.3835647027917304</v>
      </c>
      <c r="U470" s="3">
        <v>9.9662417015080109</v>
      </c>
      <c r="V470" s="3">
        <v>2.5826769987162805</v>
      </c>
      <c r="X470" s="3">
        <v>0</v>
      </c>
      <c r="Y470" s="3">
        <v>0</v>
      </c>
      <c r="AA470" s="3">
        <v>0</v>
      </c>
      <c r="AB470" s="3">
        <v>0</v>
      </c>
      <c r="AC470" s="3">
        <v>0</v>
      </c>
    </row>
    <row r="471" spans="2:29" x14ac:dyDescent="0.2">
      <c r="B471" s="3" t="s">
        <v>955</v>
      </c>
      <c r="C471" s="3" t="s">
        <v>956</v>
      </c>
      <c r="D471" s="8">
        <v>42538</v>
      </c>
      <c r="E471" s="3">
        <v>1050</v>
      </c>
      <c r="F471" s="3" t="s">
        <v>25</v>
      </c>
      <c r="G471" s="3" t="s">
        <v>26</v>
      </c>
      <c r="H471" s="3">
        <v>884.5</v>
      </c>
      <c r="I471" s="3">
        <v>887.55</v>
      </c>
      <c r="J471" s="3">
        <v>890.6</v>
      </c>
      <c r="K471" s="3">
        <v>11.2</v>
      </c>
      <c r="L471" s="3">
        <v>12.05</v>
      </c>
      <c r="M471" s="3">
        <v>12.9</v>
      </c>
      <c r="N471" s="3">
        <v>1</v>
      </c>
      <c r="O471" s="3">
        <v>6.1406196159944082E-3</v>
      </c>
      <c r="P471" s="3">
        <v>2.1133856530553684E-2</v>
      </c>
      <c r="Q471" s="3">
        <v>0.27908109503511691</v>
      </c>
      <c r="R471" s="3">
        <v>884.29848564853194</v>
      </c>
      <c r="S471" s="3">
        <v>8.8328335714533495</v>
      </c>
      <c r="U471" s="3">
        <v>11.047185177249276</v>
      </c>
      <c r="V471" s="3">
        <v>2.214351605795926</v>
      </c>
      <c r="X471" s="3">
        <v>0</v>
      </c>
      <c r="Y471" s="3">
        <v>0</v>
      </c>
      <c r="AA471" s="3">
        <v>0</v>
      </c>
      <c r="AB471" s="3">
        <v>0</v>
      </c>
      <c r="AC471" s="3">
        <v>0</v>
      </c>
    </row>
    <row r="472" spans="2:29" x14ac:dyDescent="0.2">
      <c r="B472" s="3" t="s">
        <v>957</v>
      </c>
      <c r="C472" s="3" t="s">
        <v>958</v>
      </c>
      <c r="D472" s="8">
        <v>42538</v>
      </c>
      <c r="E472" s="3">
        <v>1075</v>
      </c>
      <c r="F472" s="3" t="s">
        <v>25</v>
      </c>
      <c r="G472" s="3" t="s">
        <v>26</v>
      </c>
      <c r="H472" s="3">
        <v>861</v>
      </c>
      <c r="I472" s="3">
        <v>864.05</v>
      </c>
      <c r="J472" s="3">
        <v>867.1</v>
      </c>
      <c r="K472" s="3">
        <v>12.5</v>
      </c>
      <c r="L472" s="3">
        <v>13.65</v>
      </c>
      <c r="M472" s="3">
        <v>14.8</v>
      </c>
      <c r="N472" s="3">
        <v>1</v>
      </c>
      <c r="O472" s="3">
        <v>6.1406196159944082E-3</v>
      </c>
      <c r="P472" s="3">
        <v>2.1133856530553684E-2</v>
      </c>
      <c r="Q472" s="3">
        <v>0.27908109503511691</v>
      </c>
      <c r="R472" s="3">
        <v>861.20071379303056</v>
      </c>
      <c r="S472" s="3">
        <v>10.485331743194578</v>
      </c>
      <c r="U472" s="3">
        <v>12.188525480692533</v>
      </c>
      <c r="V472" s="3">
        <v>1.7031937374979549</v>
      </c>
      <c r="X472" s="3">
        <v>0</v>
      </c>
      <c r="Y472" s="3">
        <v>0</v>
      </c>
      <c r="AA472" s="3">
        <v>0</v>
      </c>
      <c r="AB472" s="3">
        <v>0</v>
      </c>
      <c r="AC472" s="3">
        <v>0</v>
      </c>
    </row>
    <row r="473" spans="2:29" x14ac:dyDescent="0.2">
      <c r="B473" s="3" t="s">
        <v>959</v>
      </c>
      <c r="C473" s="3" t="s">
        <v>960</v>
      </c>
      <c r="D473" s="8">
        <v>42538</v>
      </c>
      <c r="E473" s="3">
        <v>1100</v>
      </c>
      <c r="F473" s="3" t="s">
        <v>25</v>
      </c>
      <c r="G473" s="3" t="s">
        <v>26</v>
      </c>
      <c r="H473" s="3">
        <v>837.6</v>
      </c>
      <c r="I473" s="3">
        <v>840.7</v>
      </c>
      <c r="J473" s="3">
        <v>843.8</v>
      </c>
      <c r="K473" s="3">
        <v>13.8</v>
      </c>
      <c r="L473" s="3">
        <v>14.95</v>
      </c>
      <c r="M473" s="3">
        <v>16.100000000000001</v>
      </c>
      <c r="N473" s="3">
        <v>1</v>
      </c>
      <c r="O473" s="3">
        <v>6.1406196159944082E-3</v>
      </c>
      <c r="P473" s="3">
        <v>2.1133856530553684E-2</v>
      </c>
      <c r="Q473" s="3">
        <v>0.27908109503511691</v>
      </c>
      <c r="R473" s="3">
        <v>838.32208345611548</v>
      </c>
      <c r="S473" s="3">
        <v>12.356971433522304</v>
      </c>
      <c r="U473" s="3">
        <v>13.485349840455456</v>
      </c>
      <c r="V473" s="3">
        <v>1.1283784069331517</v>
      </c>
      <c r="X473" s="3">
        <v>0</v>
      </c>
      <c r="Y473" s="3">
        <v>0</v>
      </c>
      <c r="AA473" s="3">
        <v>0</v>
      </c>
      <c r="AB473" s="3">
        <v>0</v>
      </c>
      <c r="AC473" s="3">
        <v>0</v>
      </c>
    </row>
    <row r="474" spans="2:29" x14ac:dyDescent="0.2">
      <c r="B474" s="3" t="s">
        <v>961</v>
      </c>
      <c r="C474" s="3" t="s">
        <v>962</v>
      </c>
      <c r="D474" s="8">
        <v>42538</v>
      </c>
      <c r="E474" s="3">
        <v>1125</v>
      </c>
      <c r="F474" s="3" t="s">
        <v>25</v>
      </c>
      <c r="G474" s="3" t="s">
        <v>26</v>
      </c>
      <c r="H474" s="3">
        <v>814.3</v>
      </c>
      <c r="I474" s="3">
        <v>817.4</v>
      </c>
      <c r="J474" s="3">
        <v>820.5</v>
      </c>
      <c r="K474" s="3">
        <v>15.2</v>
      </c>
      <c r="L474" s="3">
        <v>16.350000000000001</v>
      </c>
      <c r="M474" s="3">
        <v>17.5</v>
      </c>
      <c r="N474" s="3">
        <v>1</v>
      </c>
      <c r="O474" s="3">
        <v>6.1406196159944082E-3</v>
      </c>
      <c r="P474" s="3">
        <v>2.1133856530553684E-2</v>
      </c>
      <c r="Q474" s="3">
        <v>0.27908109503511691</v>
      </c>
      <c r="R474" s="3">
        <v>815.67835664510494</v>
      </c>
      <c r="S474" s="3">
        <v>14.463514649754387</v>
      </c>
      <c r="U474" s="3">
        <v>14.865870606603153</v>
      </c>
      <c r="V474" s="3">
        <v>0.40235595684876557</v>
      </c>
      <c r="X474" s="3">
        <v>0</v>
      </c>
      <c r="Y474" s="3">
        <v>0</v>
      </c>
      <c r="AA474" s="3">
        <v>0</v>
      </c>
      <c r="AB474" s="3">
        <v>0</v>
      </c>
      <c r="AC474" s="3">
        <v>0</v>
      </c>
    </row>
    <row r="475" spans="2:29" x14ac:dyDescent="0.2">
      <c r="B475" s="3" t="s">
        <v>963</v>
      </c>
      <c r="C475" s="3" t="s">
        <v>964</v>
      </c>
      <c r="D475" s="8">
        <v>42538</v>
      </c>
      <c r="E475" s="3">
        <v>1150</v>
      </c>
      <c r="F475" s="3" t="s">
        <v>25</v>
      </c>
      <c r="G475" s="3" t="s">
        <v>26</v>
      </c>
      <c r="H475" s="3">
        <v>791.1</v>
      </c>
      <c r="I475" s="3">
        <v>794.2</v>
      </c>
      <c r="J475" s="3">
        <v>797.3</v>
      </c>
      <c r="K475" s="3">
        <v>16.8</v>
      </c>
      <c r="L475" s="3">
        <v>17.95</v>
      </c>
      <c r="M475" s="3">
        <v>19.100000000000001</v>
      </c>
      <c r="N475" s="3">
        <v>1</v>
      </c>
      <c r="O475" s="3">
        <v>6.1406196159944082E-3</v>
      </c>
      <c r="P475" s="3">
        <v>2.1133856530553684E-2</v>
      </c>
      <c r="Q475" s="3">
        <v>0.27908109503511691</v>
      </c>
      <c r="R475" s="3">
        <v>793.28503126307828</v>
      </c>
      <c r="S475" s="3">
        <v>16.820459294970973</v>
      </c>
      <c r="U475" s="3">
        <v>16.345015946741114</v>
      </c>
      <c r="V475" s="3">
        <v>-0.47544334822985945</v>
      </c>
      <c r="X475" s="3">
        <v>0</v>
      </c>
      <c r="Y475" s="3">
        <v>0</v>
      </c>
      <c r="AA475" s="3">
        <v>0</v>
      </c>
      <c r="AB475" s="3">
        <v>0</v>
      </c>
      <c r="AC475" s="3">
        <v>0</v>
      </c>
    </row>
    <row r="476" spans="2:29" x14ac:dyDescent="0.2">
      <c r="B476" s="3" t="s">
        <v>965</v>
      </c>
      <c r="C476" s="3" t="s">
        <v>966</v>
      </c>
      <c r="D476" s="8">
        <v>42538</v>
      </c>
      <c r="E476" s="3">
        <v>1175</v>
      </c>
      <c r="F476" s="3" t="s">
        <v>25</v>
      </c>
      <c r="G476" s="3" t="s">
        <v>26</v>
      </c>
      <c r="H476" s="3">
        <v>767.9</v>
      </c>
      <c r="I476" s="3">
        <v>771.05</v>
      </c>
      <c r="J476" s="3">
        <v>774.2</v>
      </c>
      <c r="K476" s="3">
        <v>18.399999999999999</v>
      </c>
      <c r="L476" s="3">
        <v>19.55</v>
      </c>
      <c r="M476" s="3">
        <v>20.7</v>
      </c>
      <c r="N476" s="3">
        <v>1</v>
      </c>
      <c r="O476" s="3">
        <v>6.1406196159944082E-3</v>
      </c>
      <c r="P476" s="3">
        <v>2.1133856530553684E-2</v>
      </c>
      <c r="Q476" s="3">
        <v>0.27908109503511691</v>
      </c>
      <c r="R476" s="3">
        <v>771.15723388854894</v>
      </c>
      <c r="S476" s="3">
        <v>19.442931947684698</v>
      </c>
      <c r="U476" s="3">
        <v>18.010511583731159</v>
      </c>
      <c r="V476" s="3">
        <v>-1.4324203639535398</v>
      </c>
      <c r="X476" s="3">
        <v>0</v>
      </c>
      <c r="Y476" s="3">
        <v>0</v>
      </c>
      <c r="AA476" s="3">
        <v>0</v>
      </c>
      <c r="AB476" s="3">
        <v>0</v>
      </c>
      <c r="AC476" s="3">
        <v>0</v>
      </c>
    </row>
    <row r="477" spans="2:29" x14ac:dyDescent="0.2">
      <c r="B477" s="3" t="s">
        <v>967</v>
      </c>
      <c r="C477" s="3" t="s">
        <v>968</v>
      </c>
      <c r="D477" s="8">
        <v>42538</v>
      </c>
      <c r="E477" s="3">
        <v>1200</v>
      </c>
      <c r="F477" s="3" t="s">
        <v>25</v>
      </c>
      <c r="G477" s="3" t="s">
        <v>26</v>
      </c>
      <c r="H477" s="3">
        <v>745</v>
      </c>
      <c r="I477" s="3">
        <v>748.15</v>
      </c>
      <c r="J477" s="3">
        <v>751.3</v>
      </c>
      <c r="K477" s="3">
        <v>20.100000000000001</v>
      </c>
      <c r="L477" s="3">
        <v>21.15</v>
      </c>
      <c r="M477" s="3">
        <v>22.2</v>
      </c>
      <c r="N477" s="3">
        <v>1</v>
      </c>
      <c r="O477" s="3">
        <v>6.1406196159944082E-3</v>
      </c>
      <c r="P477" s="3">
        <v>2.1133856530553684E-2</v>
      </c>
      <c r="Q477" s="3">
        <v>0.27544631094287264</v>
      </c>
      <c r="R477" s="3">
        <v>748.19789861882009</v>
      </c>
      <c r="S477" s="3">
        <v>21.23386670519811</v>
      </c>
      <c r="U477" s="3">
        <v>19.59861416111687</v>
      </c>
      <c r="V477" s="3">
        <v>-1.63525254408124</v>
      </c>
      <c r="X477" s="3">
        <v>0</v>
      </c>
      <c r="Y477" s="3">
        <v>0</v>
      </c>
      <c r="AA477" s="3">
        <v>0</v>
      </c>
      <c r="AB477" s="3">
        <v>0</v>
      </c>
      <c r="AC477" s="3">
        <v>0</v>
      </c>
    </row>
    <row r="478" spans="2:29" x14ac:dyDescent="0.2">
      <c r="B478" s="3" t="s">
        <v>969</v>
      </c>
      <c r="C478" s="3" t="s">
        <v>970</v>
      </c>
      <c r="D478" s="8">
        <v>42538</v>
      </c>
      <c r="E478" s="3">
        <v>1225</v>
      </c>
      <c r="F478" s="3" t="s">
        <v>25</v>
      </c>
      <c r="G478" s="3" t="s">
        <v>26</v>
      </c>
      <c r="H478" s="3">
        <v>722.2</v>
      </c>
      <c r="I478" s="3">
        <v>725.35</v>
      </c>
      <c r="J478" s="3">
        <v>728.5</v>
      </c>
      <c r="K478" s="3">
        <v>22.1</v>
      </c>
      <c r="L478" s="3">
        <v>23.15</v>
      </c>
      <c r="M478" s="3">
        <v>24.2</v>
      </c>
      <c r="N478" s="3">
        <v>1</v>
      </c>
      <c r="O478" s="3">
        <v>6.1406196159944082E-3</v>
      </c>
      <c r="P478" s="3">
        <v>2.1133856530553684E-2</v>
      </c>
      <c r="Q478" s="3">
        <v>0.27181152685062837</v>
      </c>
      <c r="R478" s="3">
        <v>725.35702051701765</v>
      </c>
      <c r="S478" s="3">
        <v>23.143258630638627</v>
      </c>
      <c r="U478" s="3">
        <v>21.588698988138617</v>
      </c>
      <c r="V478" s="3">
        <v>-1.5545596425000099</v>
      </c>
      <c r="X478" s="3">
        <v>0</v>
      </c>
      <c r="Y478" s="3">
        <v>0</v>
      </c>
      <c r="AA478" s="3">
        <v>0</v>
      </c>
      <c r="AB478" s="3">
        <v>0</v>
      </c>
      <c r="AC478" s="3">
        <v>0</v>
      </c>
    </row>
    <row r="479" spans="2:29" x14ac:dyDescent="0.2">
      <c r="B479" s="3" t="s">
        <v>971</v>
      </c>
      <c r="C479" s="3" t="s">
        <v>972</v>
      </c>
      <c r="D479" s="8">
        <v>42538</v>
      </c>
      <c r="E479" s="3">
        <v>1250</v>
      </c>
      <c r="F479" s="3" t="s">
        <v>25</v>
      </c>
      <c r="G479" s="3" t="s">
        <v>26</v>
      </c>
      <c r="H479" s="3">
        <v>699.5</v>
      </c>
      <c r="I479" s="3">
        <v>702.7</v>
      </c>
      <c r="J479" s="3">
        <v>705.9</v>
      </c>
      <c r="K479" s="3">
        <v>24.1</v>
      </c>
      <c r="L479" s="3">
        <v>25.45</v>
      </c>
      <c r="M479" s="3">
        <v>26.8</v>
      </c>
      <c r="N479" s="3">
        <v>1</v>
      </c>
      <c r="O479" s="3">
        <v>6.1406196159944082E-3</v>
      </c>
      <c r="P479" s="3">
        <v>2.1133856530553684E-2</v>
      </c>
      <c r="Q479" s="3">
        <v>0.26858947376983744</v>
      </c>
      <c r="R479" s="3">
        <v>702.7824474806996</v>
      </c>
      <c r="S479" s="3">
        <v>25.318955621563589</v>
      </c>
      <c r="U479" s="3">
        <v>23.404435009947633</v>
      </c>
      <c r="V479" s="3">
        <v>-1.9145206116159557</v>
      </c>
      <c r="X479" s="3">
        <v>0</v>
      </c>
      <c r="Y479" s="3">
        <v>0</v>
      </c>
      <c r="AA479" s="3">
        <v>0</v>
      </c>
      <c r="AB479" s="3">
        <v>0</v>
      </c>
      <c r="AC479" s="3">
        <v>0</v>
      </c>
    </row>
    <row r="480" spans="2:29" x14ac:dyDescent="0.2">
      <c r="B480" s="3" t="s">
        <v>973</v>
      </c>
      <c r="C480" s="3" t="s">
        <v>974</v>
      </c>
      <c r="D480" s="8">
        <v>42538</v>
      </c>
      <c r="E480" s="3">
        <v>1275</v>
      </c>
      <c r="F480" s="3" t="s">
        <v>25</v>
      </c>
      <c r="G480" s="3" t="s">
        <v>26</v>
      </c>
      <c r="H480" s="3">
        <v>677.1</v>
      </c>
      <c r="I480" s="3">
        <v>680.3</v>
      </c>
      <c r="J480" s="3">
        <v>683.5</v>
      </c>
      <c r="K480" s="3">
        <v>26.3</v>
      </c>
      <c r="L480" s="3">
        <v>27.7</v>
      </c>
      <c r="M480" s="3">
        <v>29.1</v>
      </c>
      <c r="N480" s="3">
        <v>1</v>
      </c>
      <c r="O480" s="3">
        <v>6.1406196159944082E-3</v>
      </c>
      <c r="P480" s="3">
        <v>2.1133856530553684E-2</v>
      </c>
      <c r="Q480" s="3">
        <v>0.26536742068904656</v>
      </c>
      <c r="R480" s="3">
        <v>680.35643684586557</v>
      </c>
      <c r="S480" s="3">
        <v>27.643215013972394</v>
      </c>
      <c r="U480" s="3">
        <v>25.813795262357417</v>
      </c>
      <c r="V480" s="3">
        <v>-1.8294197516149779</v>
      </c>
      <c r="X480" s="3">
        <v>0</v>
      </c>
      <c r="Y480" s="3">
        <v>0</v>
      </c>
      <c r="AA480" s="3">
        <v>0</v>
      </c>
      <c r="AB480" s="3">
        <v>0</v>
      </c>
      <c r="AC480" s="3">
        <v>0</v>
      </c>
    </row>
    <row r="481" spans="2:29" x14ac:dyDescent="0.2">
      <c r="B481" s="3" t="s">
        <v>975</v>
      </c>
      <c r="C481" s="3" t="s">
        <v>976</v>
      </c>
      <c r="D481" s="8">
        <v>42538</v>
      </c>
      <c r="E481" s="3">
        <v>1300</v>
      </c>
      <c r="F481" s="3" t="s">
        <v>25</v>
      </c>
      <c r="G481" s="3" t="s">
        <v>26</v>
      </c>
      <c r="H481" s="3">
        <v>654.70000000000005</v>
      </c>
      <c r="I481" s="3">
        <v>657.95</v>
      </c>
      <c r="J481" s="3">
        <v>661.2</v>
      </c>
      <c r="K481" s="3">
        <v>28.7</v>
      </c>
      <c r="L481" s="3">
        <v>30.05</v>
      </c>
      <c r="M481" s="3">
        <v>31.4</v>
      </c>
      <c r="N481" s="3">
        <v>1</v>
      </c>
      <c r="O481" s="3">
        <v>6.1406196159944082E-3</v>
      </c>
      <c r="P481" s="3">
        <v>2.1133856530553684E-2</v>
      </c>
      <c r="Q481" s="3">
        <v>0.2620878002517098</v>
      </c>
      <c r="R481" s="3">
        <v>658.06362125706846</v>
      </c>
      <c r="S481" s="3">
        <v>30.100669452418174</v>
      </c>
      <c r="U481" s="3">
        <v>27.969034578344235</v>
      </c>
      <c r="V481" s="3">
        <v>-2.1316348740739386</v>
      </c>
      <c r="X481" s="3">
        <v>0</v>
      </c>
      <c r="Y481" s="3">
        <v>0</v>
      </c>
      <c r="AA481" s="3">
        <v>0</v>
      </c>
      <c r="AB481" s="3">
        <v>0</v>
      </c>
      <c r="AC481" s="3">
        <v>0</v>
      </c>
    </row>
    <row r="482" spans="2:29" x14ac:dyDescent="0.2">
      <c r="B482" s="3" t="s">
        <v>977</v>
      </c>
      <c r="C482" s="3" t="s">
        <v>978</v>
      </c>
      <c r="D482" s="8">
        <v>42538</v>
      </c>
      <c r="E482" s="3">
        <v>1325</v>
      </c>
      <c r="F482" s="3" t="s">
        <v>25</v>
      </c>
      <c r="G482" s="3" t="s">
        <v>26</v>
      </c>
      <c r="H482" s="3">
        <v>632.6</v>
      </c>
      <c r="I482" s="3">
        <v>635.85</v>
      </c>
      <c r="J482" s="3">
        <v>639.1</v>
      </c>
      <c r="K482" s="3">
        <v>31.3</v>
      </c>
      <c r="L482" s="3">
        <v>32.799999999999997</v>
      </c>
      <c r="M482" s="3">
        <v>34.299999999999997</v>
      </c>
      <c r="N482" s="3">
        <v>1</v>
      </c>
      <c r="O482" s="3">
        <v>6.1406196159944082E-3</v>
      </c>
      <c r="P482" s="3">
        <v>2.1133856530553684E-2</v>
      </c>
      <c r="Q482" s="3">
        <v>0.25880817981437304</v>
      </c>
      <c r="R482" s="3">
        <v>635.93120207818902</v>
      </c>
      <c r="S482" s="3">
        <v>32.718520300781478</v>
      </c>
      <c r="U482" s="3">
        <v>30.509582403431978</v>
      </c>
      <c r="V482" s="3">
        <v>-2.2089378973495002</v>
      </c>
      <c r="X482" s="3">
        <v>0</v>
      </c>
      <c r="Y482" s="3">
        <v>0</v>
      </c>
      <c r="AA482" s="3">
        <v>0</v>
      </c>
      <c r="AB482" s="3">
        <v>0</v>
      </c>
      <c r="AC482" s="3">
        <v>0</v>
      </c>
    </row>
    <row r="483" spans="2:29" x14ac:dyDescent="0.2">
      <c r="B483" s="3" t="s">
        <v>979</v>
      </c>
      <c r="C483" s="3" t="s">
        <v>980</v>
      </c>
      <c r="D483" s="8">
        <v>42538</v>
      </c>
      <c r="E483" s="3">
        <v>1350</v>
      </c>
      <c r="F483" s="3" t="s">
        <v>25</v>
      </c>
      <c r="G483" s="3" t="s">
        <v>26</v>
      </c>
      <c r="H483" s="3">
        <v>610.6</v>
      </c>
      <c r="I483" s="3">
        <v>614.70000000000005</v>
      </c>
      <c r="J483" s="3">
        <v>618.79999999999995</v>
      </c>
      <c r="K483" s="3">
        <v>34</v>
      </c>
      <c r="L483" s="3">
        <v>35.4</v>
      </c>
      <c r="M483" s="3">
        <v>36.799999999999997</v>
      </c>
      <c r="N483" s="3">
        <v>1</v>
      </c>
      <c r="O483" s="3">
        <v>6.1406196159944082E-3</v>
      </c>
      <c r="P483" s="3">
        <v>2.1133856530553684E-2</v>
      </c>
      <c r="Q483" s="3">
        <v>0.25523473206700487</v>
      </c>
      <c r="R483" s="3">
        <v>613.83785378800485</v>
      </c>
      <c r="S483" s="3">
        <v>35.375442037840003</v>
      </c>
      <c r="U483" s="3">
        <v>33.089495995177344</v>
      </c>
      <c r="V483" s="3">
        <v>-2.2859460426626583</v>
      </c>
      <c r="X483" s="3">
        <v>0</v>
      </c>
      <c r="Y483" s="3">
        <v>0</v>
      </c>
      <c r="AA483" s="3">
        <v>0</v>
      </c>
      <c r="AB483" s="3">
        <v>0</v>
      </c>
      <c r="AC483" s="3">
        <v>0</v>
      </c>
    </row>
    <row r="484" spans="2:29" x14ac:dyDescent="0.2">
      <c r="B484" s="3" t="s">
        <v>981</v>
      </c>
      <c r="C484" s="3" t="s">
        <v>982</v>
      </c>
      <c r="D484" s="8">
        <v>42538</v>
      </c>
      <c r="E484" s="3">
        <v>1375</v>
      </c>
      <c r="F484" s="3" t="s">
        <v>25</v>
      </c>
      <c r="G484" s="3" t="s">
        <v>26</v>
      </c>
      <c r="H484" s="3">
        <v>588.79999999999995</v>
      </c>
      <c r="I484" s="3">
        <v>592.04999999999995</v>
      </c>
      <c r="J484" s="3">
        <v>595.29999999999995</v>
      </c>
      <c r="K484" s="3">
        <v>36.799999999999997</v>
      </c>
      <c r="L484" s="3">
        <v>38.049999999999997</v>
      </c>
      <c r="M484" s="3">
        <v>39.299999999999997</v>
      </c>
      <c r="N484" s="3">
        <v>1</v>
      </c>
      <c r="O484" s="3">
        <v>6.1406196159944082E-3</v>
      </c>
      <c r="P484" s="3">
        <v>2.1133856530553684E-2</v>
      </c>
      <c r="Q484" s="3">
        <v>0.25166128431963675</v>
      </c>
      <c r="R484" s="3">
        <v>591.90608253053915</v>
      </c>
      <c r="S484" s="3">
        <v>38.193940807617281</v>
      </c>
      <c r="U484" s="3">
        <v>35.68187495382324</v>
      </c>
      <c r="V484" s="3">
        <v>-2.5120658537940415</v>
      </c>
      <c r="X484" s="3">
        <v>0</v>
      </c>
      <c r="Y484" s="3">
        <v>0</v>
      </c>
      <c r="AA484" s="3">
        <v>0</v>
      </c>
      <c r="AB484" s="3">
        <v>0</v>
      </c>
      <c r="AC484" s="3">
        <v>0</v>
      </c>
    </row>
    <row r="485" spans="2:29" x14ac:dyDescent="0.2">
      <c r="B485" s="3" t="s">
        <v>983</v>
      </c>
      <c r="C485" s="3" t="s">
        <v>984</v>
      </c>
      <c r="D485" s="8">
        <v>42538</v>
      </c>
      <c r="E485" s="3">
        <v>1400</v>
      </c>
      <c r="F485" s="3" t="s">
        <v>25</v>
      </c>
      <c r="G485" s="3" t="s">
        <v>26</v>
      </c>
      <c r="H485" s="3">
        <v>567</v>
      </c>
      <c r="I485" s="3">
        <v>571.15</v>
      </c>
      <c r="J485" s="3">
        <v>575.29999999999995</v>
      </c>
      <c r="K485" s="3">
        <v>39.799999999999997</v>
      </c>
      <c r="L485" s="3">
        <v>41.05</v>
      </c>
      <c r="M485" s="3">
        <v>42.3</v>
      </c>
      <c r="N485" s="3">
        <v>1</v>
      </c>
      <c r="O485" s="3">
        <v>6.1406196159944082E-3</v>
      </c>
      <c r="P485" s="3">
        <v>2.1133856530553684E-2</v>
      </c>
      <c r="Q485" s="3">
        <v>0.24856831743057978</v>
      </c>
      <c r="R485" s="3">
        <v>570.37870016360648</v>
      </c>
      <c r="S485" s="3">
        <v>41.41682846792736</v>
      </c>
      <c r="U485" s="3">
        <v>38.790867957996056</v>
      </c>
      <c r="V485" s="3">
        <v>-2.6259605099313035</v>
      </c>
      <c r="X485" s="3">
        <v>0</v>
      </c>
      <c r="Y485" s="3">
        <v>0</v>
      </c>
      <c r="AA485" s="3">
        <v>0</v>
      </c>
      <c r="AB485" s="3">
        <v>0</v>
      </c>
      <c r="AC485" s="3">
        <v>0</v>
      </c>
    </row>
    <row r="486" spans="2:29" x14ac:dyDescent="0.2">
      <c r="B486" s="3" t="s">
        <v>985</v>
      </c>
      <c r="C486" s="3" t="s">
        <v>986</v>
      </c>
      <c r="D486" s="8">
        <v>42538</v>
      </c>
      <c r="E486" s="3">
        <v>1425</v>
      </c>
      <c r="F486" s="3" t="s">
        <v>25</v>
      </c>
      <c r="G486" s="3" t="s">
        <v>26</v>
      </c>
      <c r="H486" s="3">
        <v>545.5</v>
      </c>
      <c r="I486" s="3">
        <v>549.70000000000005</v>
      </c>
      <c r="J486" s="3">
        <v>553.9</v>
      </c>
      <c r="K486" s="3">
        <v>43</v>
      </c>
      <c r="L486" s="3">
        <v>44.2</v>
      </c>
      <c r="M486" s="3">
        <v>45.4</v>
      </c>
      <c r="N486" s="3">
        <v>1</v>
      </c>
      <c r="O486" s="3">
        <v>6.1406196159944082E-3</v>
      </c>
      <c r="P486" s="3">
        <v>2.1133856530553684E-2</v>
      </c>
      <c r="Q486" s="3">
        <v>0.24547535054152281</v>
      </c>
      <c r="R486" s="3">
        <v>549.05425571800356</v>
      </c>
      <c r="S486" s="3">
        <v>44.842654049567273</v>
      </c>
      <c r="U486" s="3">
        <v>41.949713714360996</v>
      </c>
      <c r="V486" s="3">
        <v>-2.8929403352062764</v>
      </c>
      <c r="X486" s="3">
        <v>0</v>
      </c>
      <c r="Y486" s="3">
        <v>0</v>
      </c>
      <c r="AA486" s="3">
        <v>0</v>
      </c>
      <c r="AB486" s="3">
        <v>0</v>
      </c>
      <c r="AC486" s="3">
        <v>0</v>
      </c>
    </row>
    <row r="487" spans="2:29" x14ac:dyDescent="0.2">
      <c r="B487" s="3" t="s">
        <v>987</v>
      </c>
      <c r="C487" s="3" t="s">
        <v>988</v>
      </c>
      <c r="D487" s="8">
        <v>42538</v>
      </c>
      <c r="E487" s="3">
        <v>1450</v>
      </c>
      <c r="F487" s="3" t="s">
        <v>25</v>
      </c>
      <c r="G487" s="3" t="s">
        <v>26</v>
      </c>
      <c r="H487" s="3">
        <v>524.29999999999995</v>
      </c>
      <c r="I487" s="3">
        <v>528.45000000000005</v>
      </c>
      <c r="J487" s="3">
        <v>532.6</v>
      </c>
      <c r="K487" s="3">
        <v>46.3</v>
      </c>
      <c r="L487" s="3">
        <v>47.6</v>
      </c>
      <c r="M487" s="3">
        <v>48.9</v>
      </c>
      <c r="N487" s="3">
        <v>1</v>
      </c>
      <c r="O487" s="3">
        <v>6.1406196159944082E-3</v>
      </c>
      <c r="P487" s="3">
        <v>2.1133856530553684E-2</v>
      </c>
      <c r="Q487" s="3">
        <v>0.24209812504930225</v>
      </c>
      <c r="R487" s="3">
        <v>527.78818505481945</v>
      </c>
      <c r="S487" s="3">
        <v>48.326853413625827</v>
      </c>
      <c r="U487" s="3">
        <v>45.742171060608371</v>
      </c>
      <c r="V487" s="3">
        <v>-2.5846823530174561</v>
      </c>
      <c r="X487" s="3">
        <v>0</v>
      </c>
      <c r="Y487" s="3">
        <v>0</v>
      </c>
      <c r="AA487" s="3">
        <v>0</v>
      </c>
      <c r="AB487" s="3">
        <v>0</v>
      </c>
      <c r="AC487" s="3">
        <v>0</v>
      </c>
    </row>
    <row r="488" spans="2:29" x14ac:dyDescent="0.2">
      <c r="B488" s="3" t="s">
        <v>989</v>
      </c>
      <c r="C488" s="3" t="s">
        <v>990</v>
      </c>
      <c r="D488" s="8">
        <v>42538</v>
      </c>
      <c r="E488" s="3">
        <v>1475</v>
      </c>
      <c r="F488" s="3" t="s">
        <v>25</v>
      </c>
      <c r="G488" s="3" t="s">
        <v>26</v>
      </c>
      <c r="H488" s="3">
        <v>503.2</v>
      </c>
      <c r="I488" s="3">
        <v>507.4</v>
      </c>
      <c r="J488" s="3">
        <v>511.6</v>
      </c>
      <c r="K488" s="3">
        <v>49.9</v>
      </c>
      <c r="L488" s="3">
        <v>51.35</v>
      </c>
      <c r="M488" s="3">
        <v>52.8</v>
      </c>
      <c r="N488" s="3">
        <v>1</v>
      </c>
      <c r="O488" s="3">
        <v>6.1406196159944082E-3</v>
      </c>
      <c r="P488" s="3">
        <v>2.1133856530553684E-2</v>
      </c>
      <c r="Q488" s="3">
        <v>0.2387208995570817</v>
      </c>
      <c r="R488" s="3">
        <v>506.72927760162997</v>
      </c>
      <c r="S488" s="3">
        <v>52.018215987679241</v>
      </c>
      <c r="U488" s="3">
        <v>48.990116785444911</v>
      </c>
      <c r="V488" s="3">
        <v>-3.0280992022343298</v>
      </c>
      <c r="X488" s="3">
        <v>0</v>
      </c>
      <c r="Y488" s="3">
        <v>0</v>
      </c>
      <c r="AA488" s="3">
        <v>0</v>
      </c>
      <c r="AB488" s="3">
        <v>0</v>
      </c>
      <c r="AC488" s="3">
        <v>0</v>
      </c>
    </row>
    <row r="489" spans="2:29" x14ac:dyDescent="0.2">
      <c r="B489" s="3" t="s">
        <v>991</v>
      </c>
      <c r="C489" s="3" t="s">
        <v>992</v>
      </c>
      <c r="D489" s="8">
        <v>42538</v>
      </c>
      <c r="E489" s="3">
        <v>1500</v>
      </c>
      <c r="F489" s="3" t="s">
        <v>25</v>
      </c>
      <c r="G489" s="3" t="s">
        <v>26</v>
      </c>
      <c r="H489" s="3">
        <v>482.4</v>
      </c>
      <c r="I489" s="3">
        <v>486.55</v>
      </c>
      <c r="J489" s="3">
        <v>490.7</v>
      </c>
      <c r="K489" s="3">
        <v>53.8</v>
      </c>
      <c r="L489" s="3">
        <v>55.1</v>
      </c>
      <c r="M489" s="3">
        <v>56.4</v>
      </c>
      <c r="N489" s="3">
        <v>1</v>
      </c>
      <c r="O489" s="3">
        <v>6.1406196159944082E-3</v>
      </c>
      <c r="P489" s="3">
        <v>2.1133856530553684E-2</v>
      </c>
      <c r="Q489" s="3">
        <v>0.23550933207045655</v>
      </c>
      <c r="R489" s="3">
        <v>485.98630993926645</v>
      </c>
      <c r="S489" s="3">
        <v>56.025518352558493</v>
      </c>
      <c r="U489" s="3">
        <v>52.918322424104417</v>
      </c>
      <c r="V489" s="3">
        <v>-3.1071959284540753</v>
      </c>
      <c r="X489" s="3">
        <v>0</v>
      </c>
      <c r="Y489" s="3">
        <v>0</v>
      </c>
      <c r="AA489" s="3">
        <v>0</v>
      </c>
      <c r="AB489" s="3">
        <v>0</v>
      </c>
      <c r="AC489" s="3">
        <v>0</v>
      </c>
    </row>
    <row r="490" spans="2:29" x14ac:dyDescent="0.2">
      <c r="B490" s="3" t="s">
        <v>993</v>
      </c>
      <c r="C490" s="3" t="s">
        <v>994</v>
      </c>
      <c r="D490" s="8">
        <v>42538</v>
      </c>
      <c r="E490" s="3">
        <v>1525</v>
      </c>
      <c r="F490" s="3" t="s">
        <v>25</v>
      </c>
      <c r="G490" s="3" t="s">
        <v>26</v>
      </c>
      <c r="H490" s="3">
        <v>461.7</v>
      </c>
      <c r="I490" s="3">
        <v>465.8</v>
      </c>
      <c r="J490" s="3">
        <v>469.9</v>
      </c>
      <c r="K490" s="3">
        <v>57.9</v>
      </c>
      <c r="L490" s="3">
        <v>59.95</v>
      </c>
      <c r="M490" s="3">
        <v>62</v>
      </c>
      <c r="N490" s="3">
        <v>1</v>
      </c>
      <c r="O490" s="3">
        <v>6.1406196159944082E-3</v>
      </c>
      <c r="P490" s="3">
        <v>2.1133856530553684E-2</v>
      </c>
      <c r="Q490" s="3">
        <v>0.23229776458383136</v>
      </c>
      <c r="R490" s="3">
        <v>465.48034417349982</v>
      </c>
      <c r="S490" s="3">
        <v>60.269822614034865</v>
      </c>
      <c r="U490" s="3">
        <v>57.618683567252447</v>
      </c>
      <c r="V490" s="3">
        <v>-2.6511390467824185</v>
      </c>
      <c r="X490" s="3">
        <v>0</v>
      </c>
      <c r="Y490" s="3">
        <v>0</v>
      </c>
      <c r="AA490" s="3">
        <v>0</v>
      </c>
      <c r="AB490" s="3">
        <v>0</v>
      </c>
      <c r="AC490" s="3">
        <v>0</v>
      </c>
    </row>
    <row r="491" spans="2:29" x14ac:dyDescent="0.2">
      <c r="B491" s="3" t="s">
        <v>995</v>
      </c>
      <c r="C491" s="3" t="s">
        <v>996</v>
      </c>
      <c r="D491" s="8">
        <v>42538</v>
      </c>
      <c r="E491" s="3">
        <v>1550</v>
      </c>
      <c r="F491" s="3" t="s">
        <v>25</v>
      </c>
      <c r="G491" s="3" t="s">
        <v>26</v>
      </c>
      <c r="H491" s="3">
        <v>441.4</v>
      </c>
      <c r="I491" s="3">
        <v>445.6</v>
      </c>
      <c r="J491" s="3">
        <v>449.8</v>
      </c>
      <c r="K491" s="3">
        <v>62.2</v>
      </c>
      <c r="L491" s="3">
        <v>64.3</v>
      </c>
      <c r="M491" s="3">
        <v>66.400000000000006</v>
      </c>
      <c r="N491" s="3">
        <v>1</v>
      </c>
      <c r="O491" s="3">
        <v>6.1406196159944082E-3</v>
      </c>
      <c r="P491" s="3">
        <v>2.1133856530553684E-2</v>
      </c>
      <c r="Q491" s="3">
        <v>0.2284793901499178</v>
      </c>
      <c r="R491" s="3">
        <v>444.82854312480254</v>
      </c>
      <c r="S491" s="3">
        <v>64.36829159258042</v>
      </c>
      <c r="U491" s="3">
        <v>61.714451697879156</v>
      </c>
      <c r="V491" s="3">
        <v>-2.6538398947012638</v>
      </c>
      <c r="X491" s="3">
        <v>0</v>
      </c>
      <c r="Y491" s="3">
        <v>0</v>
      </c>
      <c r="AA491" s="3">
        <v>0</v>
      </c>
      <c r="AB491" s="3">
        <v>0</v>
      </c>
      <c r="AC491" s="3">
        <v>0</v>
      </c>
    </row>
    <row r="492" spans="2:29" x14ac:dyDescent="0.2">
      <c r="B492" s="3" t="s">
        <v>997</v>
      </c>
      <c r="C492" s="3" t="s">
        <v>998</v>
      </c>
      <c r="D492" s="8">
        <v>42538</v>
      </c>
      <c r="E492" s="3">
        <v>1575</v>
      </c>
      <c r="F492" s="3" t="s">
        <v>25</v>
      </c>
      <c r="G492" s="3" t="s">
        <v>26</v>
      </c>
      <c r="H492" s="3">
        <v>421.6</v>
      </c>
      <c r="I492" s="3">
        <v>424.1</v>
      </c>
      <c r="J492" s="3">
        <v>426.6</v>
      </c>
      <c r="K492" s="3">
        <v>66.8</v>
      </c>
      <c r="L492" s="3">
        <v>69</v>
      </c>
      <c r="M492" s="3">
        <v>71.2</v>
      </c>
      <c r="N492" s="3">
        <v>1</v>
      </c>
      <c r="O492" s="3">
        <v>6.1406196159944082E-3</v>
      </c>
      <c r="P492" s="3">
        <v>2.1133856530553684E-2</v>
      </c>
      <c r="Q492" s="3">
        <v>0.22466101571600428</v>
      </c>
      <c r="R492" s="3">
        <v>424.40429956618163</v>
      </c>
      <c r="S492" s="3">
        <v>68.694318061202068</v>
      </c>
      <c r="U492" s="3">
        <v>66.633573465346615</v>
      </c>
      <c r="V492" s="3">
        <v>-2.0607445958554536</v>
      </c>
      <c r="X492" s="3">
        <v>0</v>
      </c>
      <c r="Y492" s="3">
        <v>0</v>
      </c>
      <c r="AA492" s="3">
        <v>0</v>
      </c>
      <c r="AB492" s="3">
        <v>0</v>
      </c>
      <c r="AC492" s="3">
        <v>0</v>
      </c>
    </row>
    <row r="493" spans="2:29" x14ac:dyDescent="0.2">
      <c r="B493" s="3" t="s">
        <v>999</v>
      </c>
      <c r="C493" s="3" t="s">
        <v>1000</v>
      </c>
      <c r="D493" s="8">
        <v>42538</v>
      </c>
      <c r="E493" s="3">
        <v>1600</v>
      </c>
      <c r="F493" s="3" t="s">
        <v>25</v>
      </c>
      <c r="G493" s="3" t="s">
        <v>26</v>
      </c>
      <c r="H493" s="3">
        <v>401.7</v>
      </c>
      <c r="I493" s="3">
        <v>405.65</v>
      </c>
      <c r="J493" s="3">
        <v>409.6</v>
      </c>
      <c r="K493" s="3">
        <v>71.8</v>
      </c>
      <c r="L493" s="3">
        <v>73.8</v>
      </c>
      <c r="M493" s="3">
        <v>75.8</v>
      </c>
      <c r="N493" s="3">
        <v>1</v>
      </c>
      <c r="O493" s="3">
        <v>6.1406196159944082E-3</v>
      </c>
      <c r="P493" s="3">
        <v>2.1133856530553684E-2</v>
      </c>
      <c r="Q493" s="3">
        <v>0.22224334117520966</v>
      </c>
      <c r="R493" s="3">
        <v>405.20458480024354</v>
      </c>
      <c r="S493" s="3">
        <v>74.24487332250709</v>
      </c>
      <c r="U493" s="3">
        <v>71.672739054201372</v>
      </c>
      <c r="V493" s="3">
        <v>-2.5721342683057173</v>
      </c>
      <c r="X493" s="3">
        <v>0</v>
      </c>
      <c r="Y493" s="3">
        <v>0</v>
      </c>
      <c r="AA493" s="3">
        <v>0</v>
      </c>
      <c r="AB493" s="3">
        <v>0</v>
      </c>
      <c r="AC493" s="3">
        <v>0</v>
      </c>
    </row>
    <row r="494" spans="2:29" x14ac:dyDescent="0.2">
      <c r="B494" s="3" t="s">
        <v>1001</v>
      </c>
      <c r="C494" s="3" t="s">
        <v>1002</v>
      </c>
      <c r="D494" s="8">
        <v>42538</v>
      </c>
      <c r="E494" s="3">
        <v>1625</v>
      </c>
      <c r="F494" s="3" t="s">
        <v>25</v>
      </c>
      <c r="G494" s="3" t="s">
        <v>26</v>
      </c>
      <c r="H494" s="3">
        <v>382.2</v>
      </c>
      <c r="I494" s="3">
        <v>384.6</v>
      </c>
      <c r="J494" s="3">
        <v>387</v>
      </c>
      <c r="K494" s="3">
        <v>76.900000000000006</v>
      </c>
      <c r="L494" s="3">
        <v>79.150000000000006</v>
      </c>
      <c r="M494" s="3">
        <v>81.400000000000006</v>
      </c>
      <c r="N494" s="3">
        <v>1</v>
      </c>
      <c r="O494" s="3">
        <v>6.1406196159944082E-3</v>
      </c>
      <c r="P494" s="3">
        <v>2.1133856530553684E-2</v>
      </c>
      <c r="Q494" s="3">
        <v>0.21797121890024568</v>
      </c>
      <c r="R494" s="3">
        <v>384.97955153752923</v>
      </c>
      <c r="S494" s="3">
        <v>78.770110087035391</v>
      </c>
      <c r="U494" s="3">
        <v>76.833545697912314</v>
      </c>
      <c r="V494" s="3">
        <v>-1.9365643891230775</v>
      </c>
      <c r="X494" s="3">
        <v>0</v>
      </c>
      <c r="Y494" s="3">
        <v>0</v>
      </c>
      <c r="AA494" s="3">
        <v>0</v>
      </c>
      <c r="AB494" s="3">
        <v>0</v>
      </c>
      <c r="AC494" s="3">
        <v>0</v>
      </c>
    </row>
    <row r="495" spans="2:29" x14ac:dyDescent="0.2">
      <c r="B495" s="3" t="s">
        <v>1003</v>
      </c>
      <c r="C495" s="3" t="s">
        <v>1004</v>
      </c>
      <c r="D495" s="8">
        <v>42538</v>
      </c>
      <c r="E495" s="3">
        <v>1650</v>
      </c>
      <c r="F495" s="3" t="s">
        <v>25</v>
      </c>
      <c r="G495" s="3" t="s">
        <v>26</v>
      </c>
      <c r="H495" s="3">
        <v>362.9</v>
      </c>
      <c r="I495" s="3">
        <v>365.3</v>
      </c>
      <c r="J495" s="3">
        <v>367.7</v>
      </c>
      <c r="K495" s="3">
        <v>82.3</v>
      </c>
      <c r="L495" s="3">
        <v>84.25</v>
      </c>
      <c r="M495" s="3">
        <v>86.2</v>
      </c>
      <c r="N495" s="3">
        <v>1</v>
      </c>
      <c r="O495" s="3">
        <v>6.1406196159944082E-3</v>
      </c>
      <c r="P495" s="3">
        <v>2.1133856530553684E-2</v>
      </c>
      <c r="Q495" s="3">
        <v>0.2143690561370914</v>
      </c>
      <c r="R495" s="3">
        <v>365.50454402313062</v>
      </c>
      <c r="S495" s="3">
        <v>84.04537259987984</v>
      </c>
      <c r="U495" s="3">
        <v>82.121090020312863</v>
      </c>
      <c r="V495" s="3">
        <v>-1.9242825795669773</v>
      </c>
      <c r="X495" s="3">
        <v>0</v>
      </c>
      <c r="Y495" s="3">
        <v>0</v>
      </c>
      <c r="AA495" s="3">
        <v>0</v>
      </c>
      <c r="AB495" s="3">
        <v>0</v>
      </c>
      <c r="AC495" s="3">
        <v>0</v>
      </c>
    </row>
    <row r="496" spans="2:29" x14ac:dyDescent="0.2">
      <c r="B496" s="3" t="s">
        <v>1005</v>
      </c>
      <c r="C496" s="3" t="s">
        <v>1006</v>
      </c>
      <c r="D496" s="8">
        <v>42538</v>
      </c>
      <c r="E496" s="3">
        <v>1675</v>
      </c>
      <c r="F496" s="3" t="s">
        <v>25</v>
      </c>
      <c r="G496" s="3" t="s">
        <v>26</v>
      </c>
      <c r="H496" s="3">
        <v>344</v>
      </c>
      <c r="I496" s="3">
        <v>346.4</v>
      </c>
      <c r="J496" s="3">
        <v>348.8</v>
      </c>
      <c r="K496" s="3">
        <v>88.2</v>
      </c>
      <c r="L496" s="3">
        <v>90.1</v>
      </c>
      <c r="M496" s="3">
        <v>92</v>
      </c>
      <c r="N496" s="3">
        <v>1</v>
      </c>
      <c r="O496" s="3">
        <v>6.1406196159944082E-3</v>
      </c>
      <c r="P496" s="3">
        <v>2.1133856530553684E-2</v>
      </c>
      <c r="Q496" s="3">
        <v>0.21112615337815616</v>
      </c>
      <c r="R496" s="3">
        <v>346.60390399065022</v>
      </c>
      <c r="S496" s="3">
        <v>89.895002594641824</v>
      </c>
      <c r="U496" s="3">
        <v>88.398466296757988</v>
      </c>
      <c r="V496" s="3">
        <v>-1.4965362978838357</v>
      </c>
      <c r="X496" s="3">
        <v>0</v>
      </c>
      <c r="Y496" s="3">
        <v>0</v>
      </c>
      <c r="AA496" s="3">
        <v>0</v>
      </c>
      <c r="AB496" s="3">
        <v>0</v>
      </c>
      <c r="AC496" s="3">
        <v>0</v>
      </c>
    </row>
    <row r="497" spans="2:29" x14ac:dyDescent="0.2">
      <c r="B497" s="3" t="s">
        <v>1007</v>
      </c>
      <c r="C497" s="3" t="s">
        <v>1008</v>
      </c>
      <c r="D497" s="8">
        <v>42538</v>
      </c>
      <c r="E497" s="3">
        <v>1700</v>
      </c>
      <c r="F497" s="3" t="s">
        <v>25</v>
      </c>
      <c r="G497" s="3" t="s">
        <v>26</v>
      </c>
      <c r="H497" s="3">
        <v>325.39999999999998</v>
      </c>
      <c r="I497" s="3">
        <v>327.8</v>
      </c>
      <c r="J497" s="3">
        <v>330.2</v>
      </c>
      <c r="K497" s="3">
        <v>94.3</v>
      </c>
      <c r="L497" s="3">
        <v>96.15</v>
      </c>
      <c r="M497" s="3">
        <v>98</v>
      </c>
      <c r="N497" s="3">
        <v>1</v>
      </c>
      <c r="O497" s="3">
        <v>6.1406196159944082E-3</v>
      </c>
      <c r="P497" s="3">
        <v>2.1133856530553684E-2</v>
      </c>
      <c r="Q497" s="3">
        <v>0.2077883381489084</v>
      </c>
      <c r="R497" s="3">
        <v>327.95419641919534</v>
      </c>
      <c r="S497" s="3">
        <v>95.995565050430173</v>
      </c>
      <c r="U497" s="3">
        <v>94.860690567136544</v>
      </c>
      <c r="V497" s="3">
        <v>-1.1348744832936291</v>
      </c>
      <c r="X497" s="3">
        <v>0</v>
      </c>
      <c r="Y497" s="3">
        <v>0</v>
      </c>
      <c r="AA497" s="3">
        <v>0</v>
      </c>
      <c r="AB497" s="3">
        <v>0</v>
      </c>
      <c r="AC497" s="3">
        <v>0</v>
      </c>
    </row>
    <row r="498" spans="2:29" x14ac:dyDescent="0.2">
      <c r="B498" s="3" t="s">
        <v>1009</v>
      </c>
      <c r="C498" s="3" t="s">
        <v>1010</v>
      </c>
      <c r="D498" s="8">
        <v>42538</v>
      </c>
      <c r="E498" s="3">
        <v>1725</v>
      </c>
      <c r="F498" s="3" t="s">
        <v>25</v>
      </c>
      <c r="G498" s="3" t="s">
        <v>26</v>
      </c>
      <c r="H498" s="3">
        <v>307.2</v>
      </c>
      <c r="I498" s="3">
        <v>309.55</v>
      </c>
      <c r="J498" s="3">
        <v>311.89999999999998</v>
      </c>
      <c r="K498" s="3">
        <v>100.7</v>
      </c>
      <c r="L498" s="3">
        <v>102.55</v>
      </c>
      <c r="M498" s="3">
        <v>104.4</v>
      </c>
      <c r="N498" s="3">
        <v>1</v>
      </c>
      <c r="O498" s="3">
        <v>6.1406196159944082E-3</v>
      </c>
      <c r="P498" s="3">
        <v>2.1133856530553684E-2</v>
      </c>
      <c r="Q498" s="3">
        <v>0.20446391434201033</v>
      </c>
      <c r="R498" s="3">
        <v>309.65418221343043</v>
      </c>
      <c r="S498" s="3">
        <v>102.44582087190815</v>
      </c>
      <c r="U498" s="3">
        <v>101.51807133957618</v>
      </c>
      <c r="V498" s="3">
        <v>-0.92774953233197266</v>
      </c>
      <c r="X498" s="3">
        <v>0</v>
      </c>
      <c r="Y498" s="3">
        <v>0</v>
      </c>
      <c r="AA498" s="3">
        <v>0</v>
      </c>
      <c r="AB498" s="3">
        <v>0</v>
      </c>
      <c r="AC498" s="3">
        <v>0</v>
      </c>
    </row>
    <row r="499" spans="2:29" x14ac:dyDescent="0.2">
      <c r="B499" s="3" t="s">
        <v>1011</v>
      </c>
      <c r="C499" s="3" t="s">
        <v>1012</v>
      </c>
      <c r="D499" s="8">
        <v>42538</v>
      </c>
      <c r="E499" s="3">
        <v>1750</v>
      </c>
      <c r="F499" s="3" t="s">
        <v>25</v>
      </c>
      <c r="G499" s="3" t="s">
        <v>26</v>
      </c>
      <c r="H499" s="3">
        <v>289.3</v>
      </c>
      <c r="I499" s="3">
        <v>291.64999999999998</v>
      </c>
      <c r="J499" s="3">
        <v>294</v>
      </c>
      <c r="K499" s="3">
        <v>107.6</v>
      </c>
      <c r="L499" s="3">
        <v>109.4</v>
      </c>
      <c r="M499" s="3">
        <v>111.2</v>
      </c>
      <c r="N499" s="3">
        <v>1</v>
      </c>
      <c r="O499" s="3">
        <v>6.1406196159944082E-3</v>
      </c>
      <c r="P499" s="3">
        <v>2.1133856530553684E-2</v>
      </c>
      <c r="Q499" s="3">
        <v>0.20119104842779034</v>
      </c>
      <c r="R499" s="3">
        <v>291.75404212982176</v>
      </c>
      <c r="S499" s="3">
        <v>109.29595081554226</v>
      </c>
      <c r="U499" s="3">
        <v>108.3842875738406</v>
      </c>
      <c r="V499" s="3">
        <v>-0.91166324170166035</v>
      </c>
      <c r="X499" s="3">
        <v>0</v>
      </c>
      <c r="Y499" s="3">
        <v>0</v>
      </c>
      <c r="AA499" s="3">
        <v>0</v>
      </c>
      <c r="AB499" s="3">
        <v>0</v>
      </c>
      <c r="AC499" s="3">
        <v>0</v>
      </c>
    </row>
    <row r="500" spans="2:29" x14ac:dyDescent="0.2">
      <c r="B500" s="3" t="s">
        <v>1013</v>
      </c>
      <c r="C500" s="3" t="s">
        <v>1014</v>
      </c>
      <c r="D500" s="8">
        <v>42538</v>
      </c>
      <c r="E500" s="3">
        <v>1775</v>
      </c>
      <c r="F500" s="3" t="s">
        <v>25</v>
      </c>
      <c r="G500" s="3" t="s">
        <v>26</v>
      </c>
      <c r="H500" s="3">
        <v>271.89999999999998</v>
      </c>
      <c r="I500" s="3">
        <v>274.14999999999998</v>
      </c>
      <c r="J500" s="3">
        <v>276.39999999999998</v>
      </c>
      <c r="K500" s="3">
        <v>114.7</v>
      </c>
      <c r="L500" s="3">
        <v>116.65</v>
      </c>
      <c r="M500" s="3">
        <v>118.6</v>
      </c>
      <c r="N500" s="3">
        <v>1</v>
      </c>
      <c r="O500" s="3">
        <v>6.1406196159944082E-3</v>
      </c>
      <c r="P500" s="3">
        <v>2.1133856530553684E-2</v>
      </c>
      <c r="Q500" s="3">
        <v>0.19794626082761807</v>
      </c>
      <c r="R500" s="3">
        <v>274.25390760077289</v>
      </c>
      <c r="S500" s="3">
        <v>116.54608631373605</v>
      </c>
      <c r="U500" s="3">
        <v>116.38482572656636</v>
      </c>
      <c r="V500" s="3">
        <v>-0.16126058716969283</v>
      </c>
      <c r="X500" s="3">
        <v>0</v>
      </c>
      <c r="Y500" s="3">
        <v>0</v>
      </c>
      <c r="AA500" s="3">
        <v>0</v>
      </c>
      <c r="AB500" s="3">
        <v>0</v>
      </c>
      <c r="AC500" s="3">
        <v>0</v>
      </c>
    </row>
    <row r="501" spans="2:29" x14ac:dyDescent="0.2">
      <c r="B501" s="3" t="s">
        <v>1015</v>
      </c>
      <c r="C501" s="3" t="s">
        <v>1016</v>
      </c>
      <c r="D501" s="8">
        <v>42538</v>
      </c>
      <c r="E501" s="3">
        <v>1800</v>
      </c>
      <c r="F501" s="3" t="s">
        <v>25</v>
      </c>
      <c r="G501" s="3" t="s">
        <v>26</v>
      </c>
      <c r="H501" s="3">
        <v>255</v>
      </c>
      <c r="I501" s="3">
        <v>257.14999999999998</v>
      </c>
      <c r="J501" s="3">
        <v>259.3</v>
      </c>
      <c r="K501" s="3">
        <v>122.3</v>
      </c>
      <c r="L501" s="3">
        <v>124.2</v>
      </c>
      <c r="M501" s="3">
        <v>126.1</v>
      </c>
      <c r="N501" s="3">
        <v>1</v>
      </c>
      <c r="O501" s="3">
        <v>6.1406196159944082E-3</v>
      </c>
      <c r="P501" s="3">
        <v>2.1133856530553684E-2</v>
      </c>
      <c r="Q501" s="3">
        <v>0.19470730060537023</v>
      </c>
      <c r="R501" s="3">
        <v>257.15330774072754</v>
      </c>
      <c r="S501" s="3">
        <v>124.1957564809336</v>
      </c>
      <c r="U501" s="3">
        <v>123.73194235637948</v>
      </c>
      <c r="V501" s="3">
        <v>-0.46381412455411919</v>
      </c>
      <c r="X501" s="3">
        <v>0</v>
      </c>
      <c r="Y501" s="3">
        <v>0</v>
      </c>
      <c r="AA501" s="3">
        <v>0</v>
      </c>
      <c r="AB501" s="3">
        <v>0</v>
      </c>
      <c r="AC501" s="3">
        <v>0</v>
      </c>
    </row>
    <row r="502" spans="2:29" x14ac:dyDescent="0.2">
      <c r="B502" s="3" t="s">
        <v>1017</v>
      </c>
      <c r="C502" s="3" t="s">
        <v>1018</v>
      </c>
      <c r="D502" s="8">
        <v>42538</v>
      </c>
      <c r="E502" s="3">
        <v>1825</v>
      </c>
      <c r="F502" s="3" t="s">
        <v>25</v>
      </c>
      <c r="G502" s="3" t="s">
        <v>26</v>
      </c>
      <c r="H502" s="3">
        <v>238.3</v>
      </c>
      <c r="I502" s="3">
        <v>240.4</v>
      </c>
      <c r="J502" s="3">
        <v>242.5</v>
      </c>
      <c r="K502" s="3">
        <v>130.30000000000001</v>
      </c>
      <c r="L502" s="3">
        <v>132.25</v>
      </c>
      <c r="M502" s="3">
        <v>134.19999999999999</v>
      </c>
      <c r="N502" s="3">
        <v>1</v>
      </c>
      <c r="O502" s="3">
        <v>6.1406196159944082E-3</v>
      </c>
      <c r="P502" s="3">
        <v>2.1133856530553684E-2</v>
      </c>
      <c r="Q502" s="3">
        <v>0.19142806419420166</v>
      </c>
      <c r="R502" s="3">
        <v>240.42858520936807</v>
      </c>
      <c r="S502" s="3">
        <v>132.22130397681713</v>
      </c>
      <c r="U502" s="3">
        <v>132.26759075632754</v>
      </c>
      <c r="V502" s="3">
        <v>4.628677951041027E-2</v>
      </c>
      <c r="X502" s="3">
        <v>0</v>
      </c>
      <c r="Y502" s="3">
        <v>0</v>
      </c>
      <c r="AA502" s="3">
        <v>0</v>
      </c>
      <c r="AB502" s="3">
        <v>0</v>
      </c>
      <c r="AC502" s="3">
        <v>0</v>
      </c>
    </row>
    <row r="503" spans="2:29" x14ac:dyDescent="0.2">
      <c r="B503" s="3" t="s">
        <v>1019</v>
      </c>
      <c r="C503" s="3" t="s">
        <v>1020</v>
      </c>
      <c r="D503" s="8">
        <v>42538</v>
      </c>
      <c r="E503" s="3">
        <v>1850</v>
      </c>
      <c r="F503" s="3" t="s">
        <v>25</v>
      </c>
      <c r="G503" s="3" t="s">
        <v>26</v>
      </c>
      <c r="H503" s="3">
        <v>222</v>
      </c>
      <c r="I503" s="3">
        <v>224.2</v>
      </c>
      <c r="J503" s="3">
        <v>226.4</v>
      </c>
      <c r="K503" s="3">
        <v>138.80000000000001</v>
      </c>
      <c r="L503" s="3">
        <v>140.85</v>
      </c>
      <c r="M503" s="3">
        <v>142.9</v>
      </c>
      <c r="N503" s="3">
        <v>1</v>
      </c>
      <c r="O503" s="3">
        <v>6.1406196159944082E-3</v>
      </c>
      <c r="P503" s="3">
        <v>2.1133856530553684E-2</v>
      </c>
      <c r="Q503" s="3">
        <v>0.18827700542410108</v>
      </c>
      <c r="R503" s="3">
        <v>224.25350264081237</v>
      </c>
      <c r="S503" s="3">
        <v>140.79649143550398</v>
      </c>
      <c r="U503" s="3">
        <v>141.10310147644805</v>
      </c>
      <c r="V503" s="3">
        <v>0.30661004094406508</v>
      </c>
      <c r="X503" s="3">
        <v>0</v>
      </c>
      <c r="Y503" s="3">
        <v>0</v>
      </c>
      <c r="AA503" s="3">
        <v>0</v>
      </c>
      <c r="AB503" s="3">
        <v>0</v>
      </c>
      <c r="AC503" s="3">
        <v>0</v>
      </c>
    </row>
    <row r="504" spans="2:29" x14ac:dyDescent="0.2">
      <c r="B504" s="3" t="s">
        <v>1021</v>
      </c>
      <c r="C504" s="3" t="s">
        <v>1022</v>
      </c>
      <c r="D504" s="8">
        <v>42538</v>
      </c>
      <c r="E504" s="3">
        <v>1875</v>
      </c>
      <c r="F504" s="3" t="s">
        <v>25</v>
      </c>
      <c r="G504" s="3" t="s">
        <v>26</v>
      </c>
      <c r="H504" s="3">
        <v>206.5</v>
      </c>
      <c r="I504" s="3">
        <v>208.55</v>
      </c>
      <c r="J504" s="3">
        <v>210.6</v>
      </c>
      <c r="K504" s="3">
        <v>147.80000000000001</v>
      </c>
      <c r="L504" s="3">
        <v>149.85</v>
      </c>
      <c r="M504" s="3">
        <v>151.9</v>
      </c>
      <c r="N504" s="3">
        <v>1</v>
      </c>
      <c r="O504" s="3">
        <v>6.1406196159944082E-3</v>
      </c>
      <c r="P504" s="3">
        <v>2.1133856530553684E-2</v>
      </c>
      <c r="Q504" s="3">
        <v>0.18514822911273243</v>
      </c>
      <c r="R504" s="3">
        <v>208.55286868995756</v>
      </c>
      <c r="S504" s="3">
        <v>149.84612751189195</v>
      </c>
      <c r="U504" s="3">
        <v>150.26107783770505</v>
      </c>
      <c r="V504" s="3">
        <v>0.41495032581309488</v>
      </c>
      <c r="X504" s="3">
        <v>0</v>
      </c>
      <c r="Y504" s="3">
        <v>0</v>
      </c>
      <c r="AA504" s="3">
        <v>0</v>
      </c>
      <c r="AB504" s="3">
        <v>0</v>
      </c>
      <c r="AC504" s="3">
        <v>0</v>
      </c>
    </row>
    <row r="505" spans="2:29" x14ac:dyDescent="0.2">
      <c r="B505" s="3" t="s">
        <v>1023</v>
      </c>
      <c r="C505" s="3" t="s">
        <v>1024</v>
      </c>
      <c r="D505" s="8">
        <v>42538</v>
      </c>
      <c r="E505" s="3">
        <v>1900</v>
      </c>
      <c r="F505" s="3" t="s">
        <v>25</v>
      </c>
      <c r="G505" s="3" t="s">
        <v>26</v>
      </c>
      <c r="H505" s="3">
        <v>191.3</v>
      </c>
      <c r="I505" s="3">
        <v>193.3</v>
      </c>
      <c r="J505" s="3">
        <v>195.3</v>
      </c>
      <c r="K505" s="3">
        <v>157.19999999999999</v>
      </c>
      <c r="L505" s="3">
        <v>159.30000000000001</v>
      </c>
      <c r="M505" s="3">
        <v>161.4</v>
      </c>
      <c r="N505" s="3">
        <v>1</v>
      </c>
      <c r="O505" s="3">
        <v>6.1406196159944082E-3</v>
      </c>
      <c r="P505" s="3">
        <v>2.1133856530553684E-2</v>
      </c>
      <c r="Q505" s="3">
        <v>0.18197063554896048</v>
      </c>
      <c r="R505" s="3">
        <v>193.27828795404139</v>
      </c>
      <c r="S505" s="3">
        <v>159.32181680321855</v>
      </c>
      <c r="U505" s="3">
        <v>160.68021697183906</v>
      </c>
      <c r="V505" s="3">
        <v>1.3584001686205056</v>
      </c>
      <c r="X505" s="3">
        <v>0</v>
      </c>
      <c r="Y505" s="3">
        <v>0</v>
      </c>
      <c r="AA505" s="3">
        <v>0</v>
      </c>
      <c r="AB505" s="3">
        <v>0</v>
      </c>
      <c r="AC505" s="3">
        <v>0</v>
      </c>
    </row>
    <row r="506" spans="2:29" x14ac:dyDescent="0.2">
      <c r="B506" s="3" t="s">
        <v>1025</v>
      </c>
      <c r="C506" s="3" t="s">
        <v>1026</v>
      </c>
      <c r="D506" s="8">
        <v>42538</v>
      </c>
      <c r="E506" s="3">
        <v>1925</v>
      </c>
      <c r="F506" s="3" t="s">
        <v>25</v>
      </c>
      <c r="G506" s="3" t="s">
        <v>26</v>
      </c>
      <c r="H506" s="3">
        <v>176.6</v>
      </c>
      <c r="I506" s="3">
        <v>178.6</v>
      </c>
      <c r="J506" s="3">
        <v>180.6</v>
      </c>
      <c r="K506" s="3">
        <v>167.2</v>
      </c>
      <c r="L506" s="3">
        <v>169.3</v>
      </c>
      <c r="M506" s="3">
        <v>171.4</v>
      </c>
      <c r="N506" s="3">
        <v>1</v>
      </c>
      <c r="O506" s="3">
        <v>6.1406196159944082E-3</v>
      </c>
      <c r="P506" s="3">
        <v>2.1133856530553684E-2</v>
      </c>
      <c r="Q506" s="3">
        <v>0.17885342865471793</v>
      </c>
      <c r="R506" s="3">
        <v>178.55312182577973</v>
      </c>
      <c r="S506" s="3">
        <v>169.34692070220024</v>
      </c>
      <c r="U506" s="3">
        <v>170.55456428777885</v>
      </c>
      <c r="V506" s="3">
        <v>1.2076435855786087</v>
      </c>
      <c r="X506" s="3">
        <v>0</v>
      </c>
      <c r="Y506" s="3">
        <v>0</v>
      </c>
      <c r="AA506" s="3">
        <v>0</v>
      </c>
      <c r="AB506" s="3">
        <v>0</v>
      </c>
      <c r="AC506" s="3">
        <v>0</v>
      </c>
    </row>
    <row r="507" spans="2:29" x14ac:dyDescent="0.2">
      <c r="B507" s="3" t="s">
        <v>1027</v>
      </c>
      <c r="C507" s="3" t="s">
        <v>1028</v>
      </c>
      <c r="D507" s="8">
        <v>42538</v>
      </c>
      <c r="E507" s="3">
        <v>1950</v>
      </c>
      <c r="F507" s="3" t="s">
        <v>25</v>
      </c>
      <c r="G507" s="3" t="s">
        <v>26</v>
      </c>
      <c r="H507" s="3">
        <v>162.5</v>
      </c>
      <c r="I507" s="3">
        <v>164.5</v>
      </c>
      <c r="J507" s="3">
        <v>166.5</v>
      </c>
      <c r="K507" s="3">
        <v>177.8</v>
      </c>
      <c r="L507" s="3">
        <v>179.9</v>
      </c>
      <c r="M507" s="3">
        <v>182</v>
      </c>
      <c r="N507" s="3">
        <v>1</v>
      </c>
      <c r="O507" s="3">
        <v>6.1406196159944082E-3</v>
      </c>
      <c r="P507" s="3">
        <v>2.1133856530553684E-2</v>
      </c>
      <c r="Q507" s="3">
        <v>0.17582738977176648</v>
      </c>
      <c r="R507" s="3">
        <v>164.42797088193299</v>
      </c>
      <c r="S507" s="3">
        <v>179.97203978559605</v>
      </c>
      <c r="U507" s="3">
        <v>181.72625469267538</v>
      </c>
      <c r="V507" s="3">
        <v>1.75421490707933</v>
      </c>
      <c r="X507" s="3">
        <v>0</v>
      </c>
      <c r="Y507" s="3">
        <v>0</v>
      </c>
      <c r="AA507" s="3">
        <v>0</v>
      </c>
      <c r="AB507" s="3">
        <v>0</v>
      </c>
      <c r="AC507" s="3">
        <v>0</v>
      </c>
    </row>
    <row r="508" spans="2:29" x14ac:dyDescent="0.2">
      <c r="B508" s="3" t="s">
        <v>1029</v>
      </c>
      <c r="C508" s="3" t="s">
        <v>1030</v>
      </c>
      <c r="D508" s="8">
        <v>42538</v>
      </c>
      <c r="E508" s="3">
        <v>1975</v>
      </c>
      <c r="F508" s="3" t="s">
        <v>25</v>
      </c>
      <c r="G508" s="3" t="s">
        <v>26</v>
      </c>
      <c r="H508" s="3">
        <v>149</v>
      </c>
      <c r="I508" s="3">
        <v>150.94999999999999</v>
      </c>
      <c r="J508" s="3">
        <v>152.9</v>
      </c>
      <c r="K508" s="3">
        <v>188.9</v>
      </c>
      <c r="L508" s="3">
        <v>191.1</v>
      </c>
      <c r="M508" s="3">
        <v>193.3</v>
      </c>
      <c r="N508" s="3">
        <v>1</v>
      </c>
      <c r="O508" s="3">
        <v>6.1406196159944082E-3</v>
      </c>
      <c r="P508" s="3">
        <v>2.1133856530553684E-2</v>
      </c>
      <c r="Q508" s="3">
        <v>0.17284689167338513</v>
      </c>
      <c r="R508" s="3">
        <v>150.87789998618064</v>
      </c>
      <c r="S508" s="3">
        <v>191.17223891708659</v>
      </c>
      <c r="U508" s="3">
        <v>193.30582696382527</v>
      </c>
      <c r="V508" s="3">
        <v>2.1335880467386801</v>
      </c>
      <c r="X508" s="3">
        <v>0</v>
      </c>
      <c r="Y508" s="3">
        <v>0</v>
      </c>
      <c r="AA508" s="3">
        <v>0</v>
      </c>
      <c r="AB508" s="3">
        <v>0</v>
      </c>
      <c r="AC508" s="3">
        <v>0</v>
      </c>
    </row>
    <row r="509" spans="2:29" x14ac:dyDescent="0.2">
      <c r="B509" s="3" t="s">
        <v>1031</v>
      </c>
      <c r="C509" s="3" t="s">
        <v>1032</v>
      </c>
      <c r="D509" s="8">
        <v>42538</v>
      </c>
      <c r="E509" s="3">
        <v>2000</v>
      </c>
      <c r="F509" s="3" t="s">
        <v>25</v>
      </c>
      <c r="G509" s="3" t="s">
        <v>26</v>
      </c>
      <c r="H509" s="3">
        <v>136</v>
      </c>
      <c r="I509" s="3">
        <v>139.19999999999999</v>
      </c>
      <c r="J509" s="3">
        <v>142.4</v>
      </c>
      <c r="K509" s="3">
        <v>200.6</v>
      </c>
      <c r="L509" s="3">
        <v>202.9</v>
      </c>
      <c r="M509" s="3">
        <v>205.2</v>
      </c>
      <c r="N509" s="3">
        <v>1</v>
      </c>
      <c r="O509" s="3">
        <v>6.1406196159944082E-3</v>
      </c>
      <c r="P509" s="3">
        <v>2.1133856530553684E-2</v>
      </c>
      <c r="Q509" s="3">
        <v>0.17053421302749974</v>
      </c>
      <c r="R509" s="3">
        <v>138.52767946570907</v>
      </c>
      <c r="S509" s="3">
        <v>203.5722884238578</v>
      </c>
      <c r="U509" s="3">
        <v>205.31868051182425</v>
      </c>
      <c r="V509" s="3">
        <v>1.7463920879664556</v>
      </c>
      <c r="X509" s="3">
        <v>0</v>
      </c>
      <c r="Y509" s="3">
        <v>0</v>
      </c>
      <c r="AA509" s="3">
        <v>0</v>
      </c>
      <c r="AB509" s="3">
        <v>0</v>
      </c>
      <c r="AC509" s="3">
        <v>0</v>
      </c>
    </row>
    <row r="510" spans="2:29" x14ac:dyDescent="0.2">
      <c r="B510" s="3" t="s">
        <v>1033</v>
      </c>
      <c r="C510" s="3" t="s">
        <v>1034</v>
      </c>
      <c r="D510" s="8">
        <v>42538</v>
      </c>
      <c r="E510" s="3">
        <v>2025</v>
      </c>
      <c r="F510" s="3" t="s">
        <v>25</v>
      </c>
      <c r="G510" s="3" t="s">
        <v>26</v>
      </c>
      <c r="H510" s="3">
        <v>123.8</v>
      </c>
      <c r="I510" s="3">
        <v>125.8</v>
      </c>
      <c r="J510" s="3">
        <v>127.8</v>
      </c>
      <c r="K510" s="3">
        <v>212.9</v>
      </c>
      <c r="L510" s="3">
        <v>215.3</v>
      </c>
      <c r="M510" s="3">
        <v>217.7</v>
      </c>
      <c r="N510" s="3">
        <v>1</v>
      </c>
      <c r="O510" s="3">
        <v>6.1406196159944082E-3</v>
      </c>
      <c r="P510" s="3">
        <v>2.1133856530553684E-2</v>
      </c>
      <c r="Q510" s="3">
        <v>0.16710602692769405</v>
      </c>
      <c r="R510" s="3">
        <v>125.65253612152435</v>
      </c>
      <c r="S510" s="3">
        <v>215.4474151069162</v>
      </c>
      <c r="U510" s="3">
        <v>217.79168159838335</v>
      </c>
      <c r="V510" s="3">
        <v>2.3442664914671525</v>
      </c>
      <c r="X510" s="3">
        <v>0</v>
      </c>
      <c r="Y510" s="3">
        <v>0</v>
      </c>
      <c r="AA510" s="3">
        <v>0</v>
      </c>
      <c r="AB510" s="3">
        <v>0</v>
      </c>
      <c r="AC510" s="3">
        <v>0</v>
      </c>
    </row>
    <row r="511" spans="2:29" x14ac:dyDescent="0.2">
      <c r="B511" s="3" t="s">
        <v>1035</v>
      </c>
      <c r="C511" s="3" t="s">
        <v>1036</v>
      </c>
      <c r="D511" s="8">
        <v>42538</v>
      </c>
      <c r="E511" s="3">
        <v>2050</v>
      </c>
      <c r="F511" s="3" t="s">
        <v>25</v>
      </c>
      <c r="G511" s="3" t="s">
        <v>26</v>
      </c>
      <c r="H511" s="3">
        <v>111.6</v>
      </c>
      <c r="I511" s="3">
        <v>113.9</v>
      </c>
      <c r="J511" s="3">
        <v>116.2</v>
      </c>
      <c r="K511" s="3">
        <v>225.9</v>
      </c>
      <c r="L511" s="3">
        <v>228.35</v>
      </c>
      <c r="M511" s="3">
        <v>230.8</v>
      </c>
      <c r="N511" s="3">
        <v>1</v>
      </c>
      <c r="O511" s="3">
        <v>6.1406196159944082E-3</v>
      </c>
      <c r="P511" s="3">
        <v>2.1133856530553684E-2</v>
      </c>
      <c r="Q511" s="3">
        <v>0.16418609260222461</v>
      </c>
      <c r="R511" s="3">
        <v>113.8520812249476</v>
      </c>
      <c r="S511" s="3">
        <v>228.39723023758188</v>
      </c>
      <c r="U511" s="3">
        <v>230.75279082915637</v>
      </c>
      <c r="V511" s="3">
        <v>2.3555605915744877</v>
      </c>
      <c r="X511" s="3">
        <v>0</v>
      </c>
      <c r="Y511" s="3">
        <v>0</v>
      </c>
      <c r="AA511" s="3">
        <v>0</v>
      </c>
      <c r="AB511" s="3">
        <v>0</v>
      </c>
      <c r="AC511" s="3">
        <v>0</v>
      </c>
    </row>
    <row r="512" spans="2:29" x14ac:dyDescent="0.2">
      <c r="B512" s="3" t="s">
        <v>1037</v>
      </c>
      <c r="C512" s="3" t="s">
        <v>1038</v>
      </c>
      <c r="D512" s="8">
        <v>42538</v>
      </c>
      <c r="E512" s="3">
        <v>2075</v>
      </c>
      <c r="F512" s="3" t="s">
        <v>25</v>
      </c>
      <c r="G512" s="3" t="s">
        <v>26</v>
      </c>
      <c r="H512" s="3">
        <v>100.6</v>
      </c>
      <c r="I512" s="3">
        <v>102.9</v>
      </c>
      <c r="J512" s="3">
        <v>105.2</v>
      </c>
      <c r="K512" s="3">
        <v>239.5</v>
      </c>
      <c r="L512" s="3">
        <v>242</v>
      </c>
      <c r="M512" s="3">
        <v>244.5</v>
      </c>
      <c r="N512" s="3">
        <v>1</v>
      </c>
      <c r="O512" s="3">
        <v>6.1406196159944082E-3</v>
      </c>
      <c r="P512" s="3">
        <v>2.1133856530553684E-2</v>
      </c>
      <c r="Q512" s="3">
        <v>0.16143266318061222</v>
      </c>
      <c r="R512" s="3">
        <v>102.8022872706041</v>
      </c>
      <c r="S512" s="3">
        <v>242.09770631048104</v>
      </c>
      <c r="U512" s="3">
        <v>245.01668753652172</v>
      </c>
      <c r="V512" s="3">
        <v>2.9189812260406711</v>
      </c>
      <c r="X512" s="3">
        <v>0</v>
      </c>
      <c r="Y512" s="3">
        <v>0</v>
      </c>
      <c r="AA512" s="3">
        <v>0</v>
      </c>
      <c r="AB512" s="3">
        <v>0</v>
      </c>
      <c r="AC512" s="3">
        <v>0</v>
      </c>
    </row>
    <row r="513" spans="2:29" x14ac:dyDescent="0.2">
      <c r="B513" s="3" t="s">
        <v>1039</v>
      </c>
      <c r="C513" s="3" t="s">
        <v>1040</v>
      </c>
      <c r="D513" s="8">
        <v>42538</v>
      </c>
      <c r="E513" s="3">
        <v>2100</v>
      </c>
      <c r="F513" s="3" t="s">
        <v>25</v>
      </c>
      <c r="G513" s="3" t="s">
        <v>26</v>
      </c>
      <c r="H513" s="3">
        <v>90.2</v>
      </c>
      <c r="I513" s="3">
        <v>92.4</v>
      </c>
      <c r="J513" s="3">
        <v>94.6</v>
      </c>
      <c r="K513" s="3">
        <v>253.7</v>
      </c>
      <c r="L513" s="3">
        <v>256.35000000000002</v>
      </c>
      <c r="M513" s="3">
        <v>259</v>
      </c>
      <c r="N513" s="3">
        <v>1</v>
      </c>
      <c r="O513" s="3">
        <v>6.1406196159944082E-3</v>
      </c>
      <c r="P513" s="3">
        <v>2.1133856530553684E-2</v>
      </c>
      <c r="Q513" s="3">
        <v>0.15867966521568422</v>
      </c>
      <c r="R513" s="3">
        <v>92.352156093262352</v>
      </c>
      <c r="S513" s="3">
        <v>256.39784516038276</v>
      </c>
      <c r="U513" s="3">
        <v>259.00815855606663</v>
      </c>
      <c r="V513" s="3">
        <v>2.6103133956838747</v>
      </c>
      <c r="X513" s="3">
        <v>0</v>
      </c>
      <c r="Y513" s="3">
        <v>0</v>
      </c>
      <c r="AA513" s="3">
        <v>0</v>
      </c>
      <c r="AB513" s="3">
        <v>0</v>
      </c>
      <c r="AC513" s="3">
        <v>0</v>
      </c>
    </row>
    <row r="514" spans="2:29" x14ac:dyDescent="0.2">
      <c r="B514" s="3" t="s">
        <v>1041</v>
      </c>
      <c r="C514" s="3" t="s">
        <v>1042</v>
      </c>
      <c r="D514" s="8">
        <v>42538</v>
      </c>
      <c r="E514" s="3">
        <v>2125</v>
      </c>
      <c r="F514" s="3" t="s">
        <v>25</v>
      </c>
      <c r="G514" s="3" t="s">
        <v>26</v>
      </c>
      <c r="H514" s="3">
        <v>80.5</v>
      </c>
      <c r="I514" s="3">
        <v>82.55</v>
      </c>
      <c r="J514" s="3">
        <v>84.6</v>
      </c>
      <c r="K514" s="3">
        <v>268.60000000000002</v>
      </c>
      <c r="L514" s="3">
        <v>272.14999999999998</v>
      </c>
      <c r="M514" s="3">
        <v>275.7</v>
      </c>
      <c r="N514" s="3">
        <v>1</v>
      </c>
      <c r="O514" s="3">
        <v>6.1406196159944082E-3</v>
      </c>
      <c r="P514" s="3">
        <v>2.1133856530553684E-2</v>
      </c>
      <c r="Q514" s="3">
        <v>0.15641142398926222</v>
      </c>
      <c r="R514" s="3">
        <v>82.951840041296236</v>
      </c>
      <c r="S514" s="3">
        <v>271.74779913565931</v>
      </c>
      <c r="U514" s="3">
        <v>274.29118021957061</v>
      </c>
      <c r="V514" s="3">
        <v>2.5433810839112994</v>
      </c>
      <c r="X514" s="3">
        <v>0</v>
      </c>
      <c r="Y514" s="3">
        <v>0</v>
      </c>
      <c r="AA514" s="3">
        <v>0</v>
      </c>
      <c r="AB514" s="3">
        <v>0</v>
      </c>
      <c r="AC514" s="3">
        <v>0</v>
      </c>
    </row>
    <row r="515" spans="2:29" x14ac:dyDescent="0.2">
      <c r="B515" s="3" t="s">
        <v>1043</v>
      </c>
      <c r="C515" s="3" t="s">
        <v>1044</v>
      </c>
      <c r="D515" s="8">
        <v>42538</v>
      </c>
      <c r="E515" s="3">
        <v>2150</v>
      </c>
      <c r="F515" s="3" t="s">
        <v>25</v>
      </c>
      <c r="G515" s="3" t="s">
        <v>26</v>
      </c>
      <c r="H515" s="3">
        <v>71.400000000000006</v>
      </c>
      <c r="I515" s="3">
        <v>74.2</v>
      </c>
      <c r="J515" s="3">
        <v>77</v>
      </c>
      <c r="K515" s="3">
        <v>284.2</v>
      </c>
      <c r="L515" s="3">
        <v>287.75</v>
      </c>
      <c r="M515" s="3">
        <v>291.3</v>
      </c>
      <c r="N515" s="3">
        <v>1</v>
      </c>
      <c r="O515" s="3">
        <v>6.1406196159944082E-3</v>
      </c>
      <c r="P515" s="3">
        <v>2.1133856530553684E-2</v>
      </c>
      <c r="Q515" s="3">
        <v>0.15421062027405308</v>
      </c>
      <c r="R515" s="3">
        <v>74.201335623182672</v>
      </c>
      <c r="S515" s="3">
        <v>287.74756474478863</v>
      </c>
      <c r="U515" s="3">
        <v>290.09732489056449</v>
      </c>
      <c r="V515" s="3">
        <v>2.3497601457758606</v>
      </c>
      <c r="X515" s="3">
        <v>0</v>
      </c>
      <c r="Y515" s="3">
        <v>0</v>
      </c>
      <c r="AA515" s="3">
        <v>0</v>
      </c>
      <c r="AB515" s="3">
        <v>0</v>
      </c>
      <c r="AC515" s="3">
        <v>0</v>
      </c>
    </row>
    <row r="516" spans="2:29" x14ac:dyDescent="0.2">
      <c r="B516" s="3" t="s">
        <v>1045</v>
      </c>
      <c r="C516" s="3" t="s">
        <v>1046</v>
      </c>
      <c r="D516" s="8">
        <v>42538</v>
      </c>
      <c r="E516" s="3">
        <v>2175</v>
      </c>
      <c r="F516" s="3" t="s">
        <v>25</v>
      </c>
      <c r="G516" s="3" t="s">
        <v>26</v>
      </c>
      <c r="H516" s="3">
        <v>63</v>
      </c>
      <c r="I516" s="3">
        <v>64.849999999999994</v>
      </c>
      <c r="J516" s="3">
        <v>66.7</v>
      </c>
      <c r="K516" s="3">
        <v>300.5</v>
      </c>
      <c r="L516" s="3">
        <v>304</v>
      </c>
      <c r="M516" s="3">
        <v>307.5</v>
      </c>
      <c r="N516" s="3">
        <v>1</v>
      </c>
      <c r="O516" s="3">
        <v>6.1406196159944082E-3</v>
      </c>
      <c r="P516" s="3">
        <v>2.1133856530553684E-2</v>
      </c>
      <c r="Q516" s="3">
        <v>0.15112615870234902</v>
      </c>
      <c r="R516" s="3">
        <v>65.276645283097764</v>
      </c>
      <c r="S516" s="3">
        <v>303.57314443194628</v>
      </c>
      <c r="U516" s="3">
        <v>306.442568289696</v>
      </c>
      <c r="V516" s="3">
        <v>2.8694238577497231</v>
      </c>
      <c r="X516" s="3">
        <v>0</v>
      </c>
      <c r="Y516" s="3">
        <v>0</v>
      </c>
      <c r="AA516" s="3">
        <v>0</v>
      </c>
      <c r="AB516" s="3">
        <v>0</v>
      </c>
      <c r="AC516" s="3">
        <v>0</v>
      </c>
    </row>
    <row r="517" spans="2:29" x14ac:dyDescent="0.2">
      <c r="B517" s="3" t="s">
        <v>1047</v>
      </c>
      <c r="C517" s="3" t="s">
        <v>1048</v>
      </c>
      <c r="D517" s="8">
        <v>42538</v>
      </c>
      <c r="E517" s="3">
        <v>2200</v>
      </c>
      <c r="F517" s="3" t="s">
        <v>25</v>
      </c>
      <c r="G517" s="3" t="s">
        <v>26</v>
      </c>
      <c r="H517" s="3">
        <v>55.2</v>
      </c>
      <c r="I517" s="3">
        <v>57</v>
      </c>
      <c r="J517" s="3">
        <v>58.8</v>
      </c>
      <c r="K517" s="3">
        <v>317.39999999999998</v>
      </c>
      <c r="L517" s="3">
        <v>320.89999999999998</v>
      </c>
      <c r="M517" s="3">
        <v>324.39999999999998</v>
      </c>
      <c r="N517" s="3">
        <v>1</v>
      </c>
      <c r="O517" s="3">
        <v>6.1406196159944082E-3</v>
      </c>
      <c r="P517" s="3">
        <v>2.1133856530553684E-2</v>
      </c>
      <c r="Q517" s="3">
        <v>0.14857176231000682</v>
      </c>
      <c r="R517" s="3">
        <v>57.426860999337464</v>
      </c>
      <c r="S517" s="3">
        <v>320.47363017542875</v>
      </c>
      <c r="U517" s="3">
        <v>323.34047265964699</v>
      </c>
      <c r="V517" s="3">
        <v>2.866842484218239</v>
      </c>
      <c r="X517" s="3">
        <v>0</v>
      </c>
      <c r="Y517" s="3">
        <v>0</v>
      </c>
      <c r="AA517" s="3">
        <v>0</v>
      </c>
      <c r="AB517" s="3">
        <v>0</v>
      </c>
      <c r="AC517" s="3">
        <v>0</v>
      </c>
    </row>
    <row r="518" spans="2:29" x14ac:dyDescent="0.2">
      <c r="B518" s="3" t="s">
        <v>1049</v>
      </c>
      <c r="C518" s="3" t="s">
        <v>1050</v>
      </c>
      <c r="D518" s="8">
        <v>42538</v>
      </c>
      <c r="E518" s="3">
        <v>2225</v>
      </c>
      <c r="F518" s="3" t="s">
        <v>25</v>
      </c>
      <c r="G518" s="3" t="s">
        <v>26</v>
      </c>
      <c r="H518" s="3">
        <v>48.3</v>
      </c>
      <c r="I518" s="3">
        <v>49.9</v>
      </c>
      <c r="J518" s="3">
        <v>51.5</v>
      </c>
      <c r="K518" s="3">
        <v>335</v>
      </c>
      <c r="L518" s="3">
        <v>338.45</v>
      </c>
      <c r="M518" s="3">
        <v>341.9</v>
      </c>
      <c r="N518" s="3">
        <v>1</v>
      </c>
      <c r="O518" s="3">
        <v>6.1406196159944082E-3</v>
      </c>
      <c r="P518" s="3">
        <v>2.1133856530553684E-2</v>
      </c>
      <c r="Q518" s="3">
        <v>0.14614217809859861</v>
      </c>
      <c r="R518" s="3">
        <v>50.276452512373851</v>
      </c>
      <c r="S518" s="3">
        <v>338.07349171570831</v>
      </c>
      <c r="U518" s="3">
        <v>340.80143070190763</v>
      </c>
      <c r="V518" s="3">
        <v>2.7279389861993195</v>
      </c>
      <c r="X518" s="3">
        <v>0</v>
      </c>
      <c r="Y518" s="3">
        <v>0</v>
      </c>
      <c r="AA518" s="3">
        <v>0</v>
      </c>
      <c r="AB518" s="3">
        <v>0</v>
      </c>
      <c r="AC518" s="3">
        <v>0</v>
      </c>
    </row>
    <row r="519" spans="2:29" x14ac:dyDescent="0.2">
      <c r="B519" s="3" t="s">
        <v>1051</v>
      </c>
      <c r="C519" s="3" t="s">
        <v>1052</v>
      </c>
      <c r="D519" s="8">
        <v>42538</v>
      </c>
      <c r="E519" s="3">
        <v>2250</v>
      </c>
      <c r="F519" s="3" t="s">
        <v>25</v>
      </c>
      <c r="G519" s="3" t="s">
        <v>26</v>
      </c>
      <c r="H519" s="3">
        <v>41.8</v>
      </c>
      <c r="I519" s="3">
        <v>43.35</v>
      </c>
      <c r="J519" s="3">
        <v>44.9</v>
      </c>
      <c r="K519" s="3">
        <v>353.2</v>
      </c>
      <c r="L519" s="3">
        <v>356.6</v>
      </c>
      <c r="M519" s="3">
        <v>360</v>
      </c>
      <c r="N519" s="3">
        <v>1</v>
      </c>
      <c r="O519" s="3">
        <v>6.1406196159944082E-3</v>
      </c>
      <c r="P519" s="3">
        <v>2.1133856530553684E-2</v>
      </c>
      <c r="Q519" s="3">
        <v>0.14369975917215641</v>
      </c>
      <c r="R519" s="3">
        <v>43.701012977276775</v>
      </c>
      <c r="S519" s="3">
        <v>356.24832220785379</v>
      </c>
      <c r="U519" s="3">
        <v>358.83189646830829</v>
      </c>
      <c r="V519" s="3">
        <v>2.5835742604544976</v>
      </c>
      <c r="X519" s="3">
        <v>0</v>
      </c>
      <c r="Y519" s="3">
        <v>0</v>
      </c>
      <c r="AA519" s="3">
        <v>0</v>
      </c>
      <c r="AB519" s="3">
        <v>0</v>
      </c>
      <c r="AC519" s="3">
        <v>0</v>
      </c>
    </row>
    <row r="520" spans="2:29" x14ac:dyDescent="0.2">
      <c r="B520" s="3" t="s">
        <v>1053</v>
      </c>
      <c r="C520" s="3" t="s">
        <v>1054</v>
      </c>
      <c r="D520" s="8">
        <v>42538</v>
      </c>
      <c r="E520" s="3">
        <v>2275</v>
      </c>
      <c r="F520" s="3" t="s">
        <v>25</v>
      </c>
      <c r="G520" s="3" t="s">
        <v>26</v>
      </c>
      <c r="H520" s="3">
        <v>36</v>
      </c>
      <c r="I520" s="3">
        <v>37.450000000000003</v>
      </c>
      <c r="J520" s="3">
        <v>38.9</v>
      </c>
      <c r="K520" s="3">
        <v>372</v>
      </c>
      <c r="L520" s="3">
        <v>374.95</v>
      </c>
      <c r="M520" s="3">
        <v>377.9</v>
      </c>
      <c r="N520" s="3">
        <v>1</v>
      </c>
      <c r="O520" s="3">
        <v>6.1406196159944082E-3</v>
      </c>
      <c r="P520" s="3">
        <v>2.1133856530553684E-2</v>
      </c>
      <c r="Q520" s="3">
        <v>0.1410453146863016</v>
      </c>
      <c r="R520" s="3">
        <v>37.551169167616251</v>
      </c>
      <c r="S520" s="3">
        <v>374.84874842543604</v>
      </c>
      <c r="U520" s="3">
        <v>377.91826874805372</v>
      </c>
      <c r="V520" s="3">
        <v>3.0695203226176773</v>
      </c>
      <c r="X520" s="3">
        <v>0</v>
      </c>
      <c r="Y520" s="3">
        <v>0</v>
      </c>
      <c r="AA520" s="3">
        <v>0</v>
      </c>
      <c r="AB520" s="3">
        <v>0</v>
      </c>
      <c r="AC520" s="3">
        <v>0</v>
      </c>
    </row>
    <row r="521" spans="2:29" x14ac:dyDescent="0.2">
      <c r="B521" s="3" t="s">
        <v>1055</v>
      </c>
      <c r="C521" s="3" t="s">
        <v>1056</v>
      </c>
      <c r="D521" s="8">
        <v>42538</v>
      </c>
      <c r="E521" s="3">
        <v>2300</v>
      </c>
      <c r="F521" s="3" t="s">
        <v>25</v>
      </c>
      <c r="G521" s="3" t="s">
        <v>26</v>
      </c>
      <c r="H521" s="3">
        <v>30.9</v>
      </c>
      <c r="I521" s="3">
        <v>32.200000000000003</v>
      </c>
      <c r="J521" s="3">
        <v>33.5</v>
      </c>
      <c r="K521" s="3">
        <v>391.5</v>
      </c>
      <c r="L521" s="3">
        <v>394.45</v>
      </c>
      <c r="M521" s="3">
        <v>397.4</v>
      </c>
      <c r="N521" s="3">
        <v>1</v>
      </c>
      <c r="O521" s="3">
        <v>6.1406196159944082E-3</v>
      </c>
      <c r="P521" s="3">
        <v>2.1133856530553684E-2</v>
      </c>
      <c r="Q521" s="3">
        <v>0.13887511946385978</v>
      </c>
      <c r="R521" s="3">
        <v>32.301020997448859</v>
      </c>
      <c r="S521" s="3">
        <v>394.34887028251183</v>
      </c>
      <c r="U521" s="3">
        <v>397.04395783540366</v>
      </c>
      <c r="V521" s="3">
        <v>2.6950875528918345</v>
      </c>
      <c r="X521" s="3">
        <v>0</v>
      </c>
      <c r="Y521" s="3">
        <v>0</v>
      </c>
      <c r="AA521" s="3">
        <v>0</v>
      </c>
      <c r="AB521" s="3">
        <v>0</v>
      </c>
      <c r="AC521" s="3">
        <v>0</v>
      </c>
    </row>
    <row r="522" spans="2:29" x14ac:dyDescent="0.2">
      <c r="B522" s="3" t="s">
        <v>1057</v>
      </c>
      <c r="C522" s="3" t="s">
        <v>1058</v>
      </c>
      <c r="D522" s="8">
        <v>42538</v>
      </c>
      <c r="E522" s="3">
        <v>2325</v>
      </c>
      <c r="F522" s="3" t="s">
        <v>25</v>
      </c>
      <c r="G522" s="3" t="s">
        <v>26</v>
      </c>
      <c r="H522" s="3">
        <v>26.3</v>
      </c>
      <c r="I522" s="3">
        <v>27.55</v>
      </c>
      <c r="J522" s="3">
        <v>28.8</v>
      </c>
      <c r="K522" s="3">
        <v>411.6</v>
      </c>
      <c r="L522" s="3">
        <v>414.55</v>
      </c>
      <c r="M522" s="3">
        <v>417.5</v>
      </c>
      <c r="N522" s="3">
        <v>1</v>
      </c>
      <c r="O522" s="3">
        <v>6.1406196159944082E-3</v>
      </c>
      <c r="P522" s="3">
        <v>2.1133856530553684E-2</v>
      </c>
      <c r="Q522" s="3">
        <v>0.1368363670602783</v>
      </c>
      <c r="R522" s="3">
        <v>27.650874990759064</v>
      </c>
      <c r="S522" s="3">
        <v>414.44899430306464</v>
      </c>
      <c r="U522" s="3">
        <v>417.12899511276089</v>
      </c>
      <c r="V522" s="3">
        <v>2.6800008096962529</v>
      </c>
      <c r="X522" s="3">
        <v>0</v>
      </c>
      <c r="Y522" s="3">
        <v>0</v>
      </c>
      <c r="AA522" s="3">
        <v>0</v>
      </c>
      <c r="AB522" s="3">
        <v>0</v>
      </c>
      <c r="AC522" s="3">
        <v>0</v>
      </c>
    </row>
    <row r="523" spans="2:29" x14ac:dyDescent="0.2">
      <c r="B523" s="3" t="s">
        <v>1059</v>
      </c>
      <c r="C523" s="3" t="s">
        <v>1060</v>
      </c>
      <c r="D523" s="8">
        <v>42538</v>
      </c>
      <c r="E523" s="3">
        <v>2350</v>
      </c>
      <c r="F523" s="3" t="s">
        <v>25</v>
      </c>
      <c r="G523" s="3" t="s">
        <v>26</v>
      </c>
      <c r="H523" s="3">
        <v>22.3</v>
      </c>
      <c r="I523" s="3">
        <v>23.45</v>
      </c>
      <c r="J523" s="3">
        <v>24.6</v>
      </c>
      <c r="K523" s="3">
        <v>432.2</v>
      </c>
      <c r="L523" s="3">
        <v>435.2</v>
      </c>
      <c r="M523" s="3">
        <v>438.2</v>
      </c>
      <c r="N523" s="3">
        <v>1</v>
      </c>
      <c r="O523" s="3">
        <v>6.1406196159944082E-3</v>
      </c>
      <c r="P523" s="3">
        <v>2.1133856530553684E-2</v>
      </c>
      <c r="Q523" s="3">
        <v>0.1349105619718006</v>
      </c>
      <c r="R523" s="3">
        <v>23.550573520389776</v>
      </c>
      <c r="S523" s="3">
        <v>435.09896285993818</v>
      </c>
      <c r="U523" s="3">
        <v>437.67576953835965</v>
      </c>
      <c r="V523" s="3">
        <v>2.5768066784214625</v>
      </c>
      <c r="X523" s="3">
        <v>0</v>
      </c>
      <c r="Y523" s="3">
        <v>0</v>
      </c>
      <c r="AA523" s="3">
        <v>0</v>
      </c>
      <c r="AB523" s="3">
        <v>0</v>
      </c>
      <c r="AC523" s="3">
        <v>0</v>
      </c>
    </row>
    <row r="524" spans="2:29" x14ac:dyDescent="0.2">
      <c r="B524" s="3" t="s">
        <v>1061</v>
      </c>
      <c r="C524" s="3" t="s">
        <v>1062</v>
      </c>
      <c r="D524" s="8">
        <v>42538</v>
      </c>
      <c r="E524" s="3">
        <v>2375</v>
      </c>
      <c r="F524" s="3" t="s">
        <v>25</v>
      </c>
      <c r="G524" s="3" t="s">
        <v>26</v>
      </c>
      <c r="H524" s="3">
        <v>18.8</v>
      </c>
      <c r="I524" s="3">
        <v>19.899999999999999</v>
      </c>
      <c r="J524" s="3">
        <v>21</v>
      </c>
      <c r="K524" s="3">
        <v>453.4</v>
      </c>
      <c r="L524" s="3">
        <v>456.3</v>
      </c>
      <c r="M524" s="3">
        <v>459.2</v>
      </c>
      <c r="N524" s="3">
        <v>1</v>
      </c>
      <c r="O524" s="3">
        <v>6.1406196159944082E-3</v>
      </c>
      <c r="P524" s="3">
        <v>2.1133856530553684E-2</v>
      </c>
      <c r="Q524" s="3">
        <v>0.13307954808788025</v>
      </c>
      <c r="R524" s="3">
        <v>19.950894681660401</v>
      </c>
      <c r="S524" s="3">
        <v>456.24955404845173</v>
      </c>
      <c r="U524" s="3">
        <v>458.66729288683962</v>
      </c>
      <c r="V524" s="3">
        <v>2.4177388383878906</v>
      </c>
      <c r="X524" s="3">
        <v>0</v>
      </c>
      <c r="Y524" s="3">
        <v>0</v>
      </c>
      <c r="AA524" s="3">
        <v>0</v>
      </c>
      <c r="AB524" s="3">
        <v>0</v>
      </c>
      <c r="AC524" s="3">
        <v>0</v>
      </c>
    </row>
    <row r="525" spans="2:29" x14ac:dyDescent="0.2">
      <c r="B525" s="3" t="s">
        <v>1063</v>
      </c>
      <c r="C525" s="3" t="s">
        <v>1064</v>
      </c>
      <c r="D525" s="8">
        <v>42538</v>
      </c>
      <c r="E525" s="3">
        <v>2400</v>
      </c>
      <c r="F525" s="3" t="s">
        <v>25</v>
      </c>
      <c r="G525" s="3" t="s">
        <v>26</v>
      </c>
      <c r="H525" s="3">
        <v>15.6</v>
      </c>
      <c r="I525" s="3">
        <v>16.75</v>
      </c>
      <c r="J525" s="3">
        <v>17.899999999999999</v>
      </c>
      <c r="K525" s="3">
        <v>475</v>
      </c>
      <c r="L525" s="3">
        <v>477.9</v>
      </c>
      <c r="M525" s="3">
        <v>480.8</v>
      </c>
      <c r="N525" s="3">
        <v>1</v>
      </c>
      <c r="O525" s="3">
        <v>6.1406196159944082E-3</v>
      </c>
      <c r="P525" s="3">
        <v>2.1133856530553684E-2</v>
      </c>
      <c r="Q525" s="3">
        <v>0.13131662749116726</v>
      </c>
      <c r="R525" s="3">
        <v>16.800133002862879</v>
      </c>
      <c r="S525" s="3">
        <v>477.8490623968969</v>
      </c>
      <c r="U525" s="3">
        <v>480.08276376572553</v>
      </c>
      <c r="V525" s="3">
        <v>2.2337013688286333</v>
      </c>
      <c r="X525" s="3">
        <v>0</v>
      </c>
      <c r="Y525" s="3">
        <v>0</v>
      </c>
      <c r="AA525" s="3">
        <v>0</v>
      </c>
      <c r="AB525" s="3">
        <v>0</v>
      </c>
      <c r="AC525" s="3">
        <v>0</v>
      </c>
    </row>
    <row r="526" spans="2:29" x14ac:dyDescent="0.2">
      <c r="B526" s="3" t="s">
        <v>1065</v>
      </c>
      <c r="C526" s="3" t="s">
        <v>1066</v>
      </c>
      <c r="D526" s="8">
        <v>42538</v>
      </c>
      <c r="E526" s="3">
        <v>2425</v>
      </c>
      <c r="F526" s="3" t="s">
        <v>25</v>
      </c>
      <c r="G526" s="3" t="s">
        <v>26</v>
      </c>
      <c r="H526" s="3">
        <v>12.9</v>
      </c>
      <c r="I526" s="3">
        <v>14.05</v>
      </c>
      <c r="J526" s="3">
        <v>15.2</v>
      </c>
      <c r="K526" s="3">
        <v>497</v>
      </c>
      <c r="L526" s="3">
        <v>499.85</v>
      </c>
      <c r="M526" s="3">
        <v>502.7</v>
      </c>
      <c r="N526" s="3">
        <v>1</v>
      </c>
      <c r="O526" s="3">
        <v>6.1406196159944082E-3</v>
      </c>
      <c r="P526" s="3">
        <v>2.1133856530553684E-2</v>
      </c>
      <c r="Q526" s="3">
        <v>0.12959510615398995</v>
      </c>
      <c r="R526" s="3">
        <v>14.050404032718632</v>
      </c>
      <c r="S526" s="3">
        <v>499.849603453996</v>
      </c>
      <c r="U526" s="3">
        <v>501.89793691737225</v>
      </c>
      <c r="V526" s="3">
        <v>2.0483334633762524</v>
      </c>
      <c r="X526" s="3">
        <v>0</v>
      </c>
      <c r="Y526" s="3">
        <v>0</v>
      </c>
      <c r="AA526" s="3">
        <v>0</v>
      </c>
      <c r="AB526" s="3">
        <v>0</v>
      </c>
      <c r="AC526" s="3">
        <v>0</v>
      </c>
    </row>
    <row r="527" spans="2:29" x14ac:dyDescent="0.2">
      <c r="B527" s="3" t="s">
        <v>1067</v>
      </c>
      <c r="C527" s="3" t="s">
        <v>1068</v>
      </c>
      <c r="D527" s="8">
        <v>42538</v>
      </c>
      <c r="E527" s="3">
        <v>2450</v>
      </c>
      <c r="F527" s="3" t="s">
        <v>25</v>
      </c>
      <c r="G527" s="3" t="s">
        <v>26</v>
      </c>
      <c r="H527" s="3">
        <v>10.5</v>
      </c>
      <c r="I527" s="3">
        <v>11.7</v>
      </c>
      <c r="J527" s="3">
        <v>12.9</v>
      </c>
      <c r="K527" s="3">
        <v>519.4</v>
      </c>
      <c r="L527" s="3">
        <v>522.29999999999995</v>
      </c>
      <c r="M527" s="3">
        <v>525.20000000000005</v>
      </c>
      <c r="N527" s="3">
        <v>1</v>
      </c>
      <c r="O527" s="3">
        <v>6.1406196159944082E-3</v>
      </c>
      <c r="P527" s="3">
        <v>2.1133856530553684E-2</v>
      </c>
      <c r="Q527" s="3">
        <v>0.12806252374383154</v>
      </c>
      <c r="R527" s="3">
        <v>11.725330253335329</v>
      </c>
      <c r="S527" s="3">
        <v>522.27479970185482</v>
      </c>
      <c r="U527" s="3">
        <v>524.08566710419348</v>
      </c>
      <c r="V527" s="3">
        <v>1.8108674023386584</v>
      </c>
      <c r="X527" s="3">
        <v>0</v>
      </c>
      <c r="Y527" s="3">
        <v>0</v>
      </c>
      <c r="AA527" s="3">
        <v>0</v>
      </c>
      <c r="AB527" s="3">
        <v>0</v>
      </c>
      <c r="AC527" s="3">
        <v>0</v>
      </c>
    </row>
    <row r="528" spans="2:29" x14ac:dyDescent="0.2">
      <c r="B528" s="3" t="s">
        <v>1069</v>
      </c>
      <c r="C528" s="3" t="s">
        <v>1070</v>
      </c>
      <c r="D528" s="8">
        <v>42538</v>
      </c>
      <c r="E528" s="3">
        <v>2500</v>
      </c>
      <c r="F528" s="3" t="s">
        <v>25</v>
      </c>
      <c r="G528" s="3" t="s">
        <v>26</v>
      </c>
      <c r="H528" s="3">
        <v>7.7</v>
      </c>
      <c r="I528" s="3">
        <v>8.4499999999999993</v>
      </c>
      <c r="J528" s="3">
        <v>9.1999999999999993</v>
      </c>
      <c r="K528" s="3">
        <v>565.29999999999995</v>
      </c>
      <c r="L528" s="3">
        <v>568</v>
      </c>
      <c r="M528" s="3">
        <v>570.70000000000005</v>
      </c>
      <c r="N528" s="3">
        <v>1</v>
      </c>
      <c r="O528" s="3">
        <v>6.1406196159944082E-3</v>
      </c>
      <c r="P528" s="3">
        <v>2.1133856530553684E-2</v>
      </c>
      <c r="Q528" s="3">
        <v>0.12631845550925783</v>
      </c>
      <c r="R528" s="3">
        <v>8.3793663696657319</v>
      </c>
      <c r="S528" s="3">
        <v>568.42937587267102</v>
      </c>
      <c r="U528" s="3">
        <v>569.62549218587935</v>
      </c>
      <c r="V528" s="3">
        <v>1.1961163132083357</v>
      </c>
      <c r="X528" s="3">
        <v>0</v>
      </c>
      <c r="Y528" s="3">
        <v>0</v>
      </c>
      <c r="AA528" s="3">
        <v>0</v>
      </c>
      <c r="AB528" s="3">
        <v>0</v>
      </c>
      <c r="AC528" s="3">
        <v>0</v>
      </c>
    </row>
    <row r="529" spans="2:29" x14ac:dyDescent="0.2">
      <c r="B529" s="3" t="s">
        <v>1071</v>
      </c>
      <c r="C529" s="3" t="s">
        <v>1072</v>
      </c>
      <c r="D529" s="8">
        <v>42720</v>
      </c>
      <c r="E529" s="3">
        <v>400</v>
      </c>
      <c r="F529" s="3" t="s">
        <v>25</v>
      </c>
      <c r="G529" s="3" t="s">
        <v>26</v>
      </c>
      <c r="H529" s="3">
        <v>1502</v>
      </c>
      <c r="I529" s="3">
        <v>1504.8</v>
      </c>
      <c r="J529" s="3">
        <v>1507.6</v>
      </c>
      <c r="K529" s="3">
        <v>0.9</v>
      </c>
      <c r="L529" s="3">
        <v>1</v>
      </c>
      <c r="M529" s="3">
        <v>1.1000000000000001</v>
      </c>
      <c r="N529" s="3">
        <v>0</v>
      </c>
      <c r="O529" s="3">
        <v>8.2026809420993659E-3</v>
      </c>
      <c r="P529" s="3">
        <v>2.0452797731370063E-2</v>
      </c>
      <c r="Q529" s="3">
        <v>0.27090060383976655</v>
      </c>
      <c r="R529" s="3">
        <v>1504.4105670256836</v>
      </c>
      <c r="S529" s="3">
        <v>2.6974238878189616E-3</v>
      </c>
      <c r="U529" s="3">
        <v>-0.25065069209858848</v>
      </c>
      <c r="V529" s="3">
        <v>-0.25334811598640744</v>
      </c>
      <c r="X529" s="3">
        <v>0</v>
      </c>
      <c r="Y529" s="3">
        <v>0</v>
      </c>
      <c r="AA529" s="3">
        <v>0</v>
      </c>
      <c r="AB529" s="3">
        <v>0</v>
      </c>
      <c r="AC529" s="3">
        <v>0</v>
      </c>
    </row>
    <row r="530" spans="2:29" x14ac:dyDescent="0.2">
      <c r="B530" s="3" t="s">
        <v>1073</v>
      </c>
      <c r="C530" s="3" t="s">
        <v>1074</v>
      </c>
      <c r="D530" s="8">
        <v>42720</v>
      </c>
      <c r="E530" s="3">
        <v>500</v>
      </c>
      <c r="F530" s="3" t="s">
        <v>25</v>
      </c>
      <c r="G530" s="3" t="s">
        <v>26</v>
      </c>
      <c r="H530" s="3">
        <v>1404.7</v>
      </c>
      <c r="I530" s="3">
        <v>1407.55</v>
      </c>
      <c r="J530" s="3">
        <v>1410.4</v>
      </c>
      <c r="K530" s="3">
        <v>1.9</v>
      </c>
      <c r="L530" s="3">
        <v>1.9300000000000002</v>
      </c>
      <c r="M530" s="3">
        <v>1.95</v>
      </c>
      <c r="N530" s="3">
        <v>1</v>
      </c>
      <c r="O530" s="3">
        <v>8.2026809420993659E-3</v>
      </c>
      <c r="P530" s="3">
        <v>2.0452797731370063E-2</v>
      </c>
      <c r="Q530" s="3">
        <v>0.27090060383976655</v>
      </c>
      <c r="R530" s="3">
        <v>1406.1783055675476</v>
      </c>
      <c r="S530" s="3">
        <v>3.1274728623674586E-2</v>
      </c>
      <c r="U530" s="3">
        <v>1.6026015455513516</v>
      </c>
      <c r="V530" s="3">
        <v>1.5713268169276771</v>
      </c>
      <c r="X530" s="3">
        <v>0</v>
      </c>
      <c r="Y530" s="3">
        <v>0</v>
      </c>
      <c r="AA530" s="3">
        <v>0</v>
      </c>
      <c r="AB530" s="3">
        <v>0</v>
      </c>
      <c r="AC530" s="3">
        <v>0</v>
      </c>
    </row>
    <row r="531" spans="2:29" x14ac:dyDescent="0.2">
      <c r="B531" s="3" t="s">
        <v>1075</v>
      </c>
      <c r="C531" s="3" t="s">
        <v>1076</v>
      </c>
      <c r="D531" s="8">
        <v>42720</v>
      </c>
      <c r="E531" s="3">
        <v>550</v>
      </c>
      <c r="F531" s="3" t="s">
        <v>25</v>
      </c>
      <c r="G531" s="3" t="s">
        <v>26</v>
      </c>
      <c r="H531" s="3">
        <v>1356</v>
      </c>
      <c r="I531" s="3">
        <v>1359.45</v>
      </c>
      <c r="J531" s="3">
        <v>1362.9</v>
      </c>
      <c r="K531" s="3">
        <v>2.4</v>
      </c>
      <c r="L531" s="3">
        <v>2.5</v>
      </c>
      <c r="M531" s="3">
        <v>2.6</v>
      </c>
      <c r="N531" s="3">
        <v>1</v>
      </c>
      <c r="O531" s="3">
        <v>8.2026809420993659E-3</v>
      </c>
      <c r="P531" s="3">
        <v>2.0452797731370063E-2</v>
      </c>
      <c r="Q531" s="3">
        <v>0.27090060383976655</v>
      </c>
      <c r="R531" s="3">
        <v>1357.0982574548798</v>
      </c>
      <c r="S531" s="3">
        <v>8.1645997391853742E-2</v>
      </c>
      <c r="U531" s="3">
        <v>1.9413052966078794</v>
      </c>
      <c r="V531" s="3">
        <v>1.8596592992160257</v>
      </c>
      <c r="X531" s="3">
        <v>0</v>
      </c>
      <c r="Y531" s="3">
        <v>0</v>
      </c>
      <c r="AA531" s="3">
        <v>0</v>
      </c>
      <c r="AB531" s="3">
        <v>0</v>
      </c>
      <c r="AC531" s="3">
        <v>0</v>
      </c>
    </row>
    <row r="532" spans="2:29" x14ac:dyDescent="0.2">
      <c r="B532" s="3" t="s">
        <v>1077</v>
      </c>
      <c r="C532" s="3" t="s">
        <v>1078</v>
      </c>
      <c r="D532" s="8">
        <v>42720</v>
      </c>
      <c r="E532" s="3">
        <v>600</v>
      </c>
      <c r="F532" s="3" t="s">
        <v>25</v>
      </c>
      <c r="G532" s="3" t="s">
        <v>26</v>
      </c>
      <c r="H532" s="3">
        <v>1306.5</v>
      </c>
      <c r="I532" s="3">
        <v>1309.95</v>
      </c>
      <c r="J532" s="3">
        <v>1313.4</v>
      </c>
      <c r="K532" s="3">
        <v>2.8</v>
      </c>
      <c r="L532" s="3">
        <v>3.05</v>
      </c>
      <c r="M532" s="3">
        <v>3.3</v>
      </c>
      <c r="N532" s="3">
        <v>1</v>
      </c>
      <c r="O532" s="3">
        <v>8.2026809420993659E-3</v>
      </c>
      <c r="P532" s="3">
        <v>2.0452797731370063E-2</v>
      </c>
      <c r="Q532" s="3">
        <v>0.27090060383976655</v>
      </c>
      <c r="R532" s="3">
        <v>1308.0736534136663</v>
      </c>
      <c r="S532" s="3">
        <v>0.18746133761444028</v>
      </c>
      <c r="U532" s="3">
        <v>2.3210920845174314</v>
      </c>
      <c r="V532" s="3">
        <v>2.1336307469029911</v>
      </c>
      <c r="X532" s="3">
        <v>0</v>
      </c>
      <c r="Y532" s="3">
        <v>0</v>
      </c>
      <c r="AA532" s="3">
        <v>0</v>
      </c>
      <c r="AB532" s="3">
        <v>0</v>
      </c>
      <c r="AC532" s="3">
        <v>0</v>
      </c>
    </row>
    <row r="533" spans="2:29" x14ac:dyDescent="0.2">
      <c r="B533" s="3" t="s">
        <v>1079</v>
      </c>
      <c r="C533" s="3" t="s">
        <v>1080</v>
      </c>
      <c r="D533" s="8">
        <v>42720</v>
      </c>
      <c r="E533" s="3">
        <v>650</v>
      </c>
      <c r="F533" s="3" t="s">
        <v>25</v>
      </c>
      <c r="G533" s="3" t="s">
        <v>26</v>
      </c>
      <c r="H533" s="3">
        <v>1258</v>
      </c>
      <c r="I533" s="3">
        <v>1261.6500000000001</v>
      </c>
      <c r="J533" s="3">
        <v>1265.3</v>
      </c>
      <c r="K533" s="3">
        <v>3.7</v>
      </c>
      <c r="L533" s="3">
        <v>4.1500000000000004</v>
      </c>
      <c r="M533" s="3">
        <v>4.5999999999999996</v>
      </c>
      <c r="N533" s="3">
        <v>1</v>
      </c>
      <c r="O533" s="3">
        <v>8.2026809420993659E-3</v>
      </c>
      <c r="P533" s="3">
        <v>2.0452797731370063E-2</v>
      </c>
      <c r="Q533" s="3">
        <v>0.27090060383976655</v>
      </c>
      <c r="R533" s="3">
        <v>1259.1436949426231</v>
      </c>
      <c r="S533" s="3">
        <v>0.38792224800706965</v>
      </c>
      <c r="U533" s="3">
        <v>2.5212652533505207</v>
      </c>
      <c r="V533" s="3">
        <v>2.133343005343451</v>
      </c>
      <c r="X533" s="3">
        <v>0</v>
      </c>
      <c r="Y533" s="3">
        <v>0</v>
      </c>
      <c r="AA533" s="3">
        <v>0</v>
      </c>
      <c r="AB533" s="3">
        <v>0</v>
      </c>
      <c r="AC533" s="3">
        <v>0</v>
      </c>
    </row>
    <row r="534" spans="2:29" x14ac:dyDescent="0.2">
      <c r="B534" s="3" t="s">
        <v>1081</v>
      </c>
      <c r="C534" s="3" t="s">
        <v>1082</v>
      </c>
      <c r="D534" s="8">
        <v>42720</v>
      </c>
      <c r="E534" s="3">
        <v>700</v>
      </c>
      <c r="F534" s="3" t="s">
        <v>25</v>
      </c>
      <c r="G534" s="3" t="s">
        <v>26</v>
      </c>
      <c r="H534" s="3">
        <v>1211.0999999999999</v>
      </c>
      <c r="I534" s="3">
        <v>1214.1500000000001</v>
      </c>
      <c r="J534" s="3">
        <v>1217.2</v>
      </c>
      <c r="K534" s="3">
        <v>4.5999999999999996</v>
      </c>
      <c r="L534" s="3">
        <v>5.2</v>
      </c>
      <c r="M534" s="3">
        <v>5.8</v>
      </c>
      <c r="N534" s="3">
        <v>1</v>
      </c>
      <c r="O534" s="3">
        <v>8.2026809420993659E-3</v>
      </c>
      <c r="P534" s="3">
        <v>2.0452797731370063E-2</v>
      </c>
      <c r="Q534" s="3">
        <v>0.27090060383976655</v>
      </c>
      <c r="R534" s="3">
        <v>1210.362327421904</v>
      </c>
      <c r="S534" s="3">
        <v>0.73697410872355462</v>
      </c>
      <c r="U534" s="3">
        <v>3.5736514126883776</v>
      </c>
      <c r="V534" s="3">
        <v>2.836677303964823</v>
      </c>
      <c r="X534" s="3">
        <v>0</v>
      </c>
      <c r="Y534" s="3">
        <v>0</v>
      </c>
      <c r="AA534" s="3">
        <v>0</v>
      </c>
      <c r="AB534" s="3">
        <v>0</v>
      </c>
      <c r="AC534" s="3">
        <v>0</v>
      </c>
    </row>
    <row r="535" spans="2:29" x14ac:dyDescent="0.2">
      <c r="B535" s="3" t="s">
        <v>1083</v>
      </c>
      <c r="C535" s="3" t="s">
        <v>1084</v>
      </c>
      <c r="D535" s="8">
        <v>42720</v>
      </c>
      <c r="E535" s="3">
        <v>750</v>
      </c>
      <c r="F535" s="3" t="s">
        <v>25</v>
      </c>
      <c r="G535" s="3" t="s">
        <v>26</v>
      </c>
      <c r="H535" s="3">
        <v>1163.2</v>
      </c>
      <c r="I535" s="3">
        <v>1166.3</v>
      </c>
      <c r="J535" s="3">
        <v>1169.4000000000001</v>
      </c>
      <c r="K535" s="3">
        <v>5.8</v>
      </c>
      <c r="L535" s="3">
        <v>6.55</v>
      </c>
      <c r="M535" s="3">
        <v>7.3</v>
      </c>
      <c r="N535" s="3">
        <v>1</v>
      </c>
      <c r="O535" s="3">
        <v>8.2026809420993659E-3</v>
      </c>
      <c r="P535" s="3">
        <v>2.0452797731370063E-2</v>
      </c>
      <c r="Q535" s="3">
        <v>0.27090060383976655</v>
      </c>
      <c r="R535" s="3">
        <v>1161.7987534802642</v>
      </c>
      <c r="S535" s="3">
        <v>1.3038195485200212</v>
      </c>
      <c r="U535" s="3">
        <v>4.6795513620884321</v>
      </c>
      <c r="V535" s="3">
        <v>3.3757318135684109</v>
      </c>
      <c r="X535" s="3">
        <v>0</v>
      </c>
      <c r="Y535" s="3">
        <v>0</v>
      </c>
      <c r="AA535" s="3">
        <v>0</v>
      </c>
      <c r="AB535" s="3">
        <v>0</v>
      </c>
      <c r="AC535" s="3">
        <v>0</v>
      </c>
    </row>
    <row r="536" spans="2:29" x14ac:dyDescent="0.2">
      <c r="B536" s="3" t="s">
        <v>1085</v>
      </c>
      <c r="C536" s="3" t="s">
        <v>1086</v>
      </c>
      <c r="D536" s="8">
        <v>42720</v>
      </c>
      <c r="E536" s="3">
        <v>800</v>
      </c>
      <c r="F536" s="3" t="s">
        <v>25</v>
      </c>
      <c r="G536" s="3" t="s">
        <v>26</v>
      </c>
      <c r="H536" s="3">
        <v>1115.5</v>
      </c>
      <c r="I536" s="3">
        <v>1118.6500000000001</v>
      </c>
      <c r="J536" s="3">
        <v>1121.8</v>
      </c>
      <c r="K536" s="3">
        <v>7</v>
      </c>
      <c r="L536" s="3">
        <v>7.85</v>
      </c>
      <c r="M536" s="3">
        <v>8.6999999999999993</v>
      </c>
      <c r="N536" s="3">
        <v>1</v>
      </c>
      <c r="O536" s="3">
        <v>8.2026809420993659E-3</v>
      </c>
      <c r="P536" s="3">
        <v>2.0452797731370063E-2</v>
      </c>
      <c r="Q536" s="3">
        <v>0.27090060383976655</v>
      </c>
      <c r="R536" s="3">
        <v>1113.5366925424121</v>
      </c>
      <c r="S536" s="3">
        <v>2.1721779921037108</v>
      </c>
      <c r="U536" s="3">
        <v>5.4889491784156235</v>
      </c>
      <c r="V536" s="3">
        <v>3.3167711863119127</v>
      </c>
      <c r="X536" s="3">
        <v>0</v>
      </c>
      <c r="Y536" s="3">
        <v>0</v>
      </c>
      <c r="AA536" s="3">
        <v>0</v>
      </c>
      <c r="AB536" s="3">
        <v>0</v>
      </c>
      <c r="AC536" s="3">
        <v>0</v>
      </c>
    </row>
    <row r="537" spans="2:29" x14ac:dyDescent="0.2">
      <c r="B537" s="3" t="s">
        <v>1087</v>
      </c>
      <c r="C537" s="3" t="s">
        <v>1088</v>
      </c>
      <c r="D537" s="8">
        <v>42720</v>
      </c>
      <c r="E537" s="3">
        <v>850</v>
      </c>
      <c r="F537" s="3" t="s">
        <v>25</v>
      </c>
      <c r="G537" s="3" t="s">
        <v>26</v>
      </c>
      <c r="H537" s="3">
        <v>1067.7</v>
      </c>
      <c r="I537" s="3">
        <v>1070.9000000000001</v>
      </c>
      <c r="J537" s="3">
        <v>1074.0999999999999</v>
      </c>
      <c r="K537" s="3">
        <v>8.6</v>
      </c>
      <c r="L537" s="3">
        <v>9.3000000000000007</v>
      </c>
      <c r="M537" s="3">
        <v>10</v>
      </c>
      <c r="N537" s="3">
        <v>1</v>
      </c>
      <c r="O537" s="3">
        <v>8.2026809420993659E-3</v>
      </c>
      <c r="P537" s="3">
        <v>2.0452797731370063E-2</v>
      </c>
      <c r="Q537" s="3">
        <v>0.27090060383976655</v>
      </c>
      <c r="R537" s="3">
        <v>1065.6725088466364</v>
      </c>
      <c r="S537" s="3">
        <v>3.4384136777638581</v>
      </c>
      <c r="U537" s="3">
        <v>7.0980991792107488</v>
      </c>
      <c r="V537" s="3">
        <v>3.6596855014468908</v>
      </c>
      <c r="X537" s="3">
        <v>0</v>
      </c>
      <c r="Y537" s="3">
        <v>0</v>
      </c>
      <c r="AA537" s="3">
        <v>0</v>
      </c>
      <c r="AB537" s="3">
        <v>0</v>
      </c>
      <c r="AC537" s="3">
        <v>0</v>
      </c>
    </row>
    <row r="538" spans="2:29" x14ac:dyDescent="0.2">
      <c r="B538" s="3" t="s">
        <v>1089</v>
      </c>
      <c r="C538" s="3" t="s">
        <v>1090</v>
      </c>
      <c r="D538" s="8">
        <v>42720</v>
      </c>
      <c r="E538" s="3">
        <v>900</v>
      </c>
      <c r="F538" s="3" t="s">
        <v>25</v>
      </c>
      <c r="G538" s="3" t="s">
        <v>26</v>
      </c>
      <c r="H538" s="3">
        <v>1020.3</v>
      </c>
      <c r="I538" s="3">
        <v>1023.9</v>
      </c>
      <c r="J538" s="3">
        <v>1027.5</v>
      </c>
      <c r="K538" s="3">
        <v>10</v>
      </c>
      <c r="L538" s="3">
        <v>10.5</v>
      </c>
      <c r="M538" s="3">
        <v>11</v>
      </c>
      <c r="N538" s="3">
        <v>1</v>
      </c>
      <c r="O538" s="3">
        <v>8.2026809420993659E-3</v>
      </c>
      <c r="P538" s="3">
        <v>2.0452797731370063E-2</v>
      </c>
      <c r="Q538" s="3">
        <v>0.27090060383976655</v>
      </c>
      <c r="R538" s="3">
        <v>1018.3124600420668</v>
      </c>
      <c r="S538" s="3">
        <v>5.2087842546304159</v>
      </c>
      <c r="U538" s="3">
        <v>9.1124561473710628</v>
      </c>
      <c r="V538" s="3">
        <v>3.9036718927406469</v>
      </c>
      <c r="X538" s="3">
        <v>0</v>
      </c>
      <c r="Y538" s="3">
        <v>0</v>
      </c>
      <c r="AA538" s="3">
        <v>0</v>
      </c>
      <c r="AB538" s="3">
        <v>0</v>
      </c>
      <c r="AC538" s="3">
        <v>0</v>
      </c>
    </row>
    <row r="539" spans="2:29" x14ac:dyDescent="0.2">
      <c r="B539" s="3" t="s">
        <v>1091</v>
      </c>
      <c r="C539" s="3" t="s">
        <v>1092</v>
      </c>
      <c r="D539" s="8">
        <v>42720</v>
      </c>
      <c r="E539" s="3">
        <v>925</v>
      </c>
      <c r="F539" s="3" t="s">
        <v>25</v>
      </c>
      <c r="G539" s="3" t="s">
        <v>26</v>
      </c>
      <c r="H539" s="3">
        <v>996.8</v>
      </c>
      <c r="I539" s="3">
        <v>1000.85</v>
      </c>
      <c r="J539" s="3">
        <v>1004.9</v>
      </c>
      <c r="K539" s="3">
        <v>10.6</v>
      </c>
      <c r="L539" s="3">
        <v>11.45</v>
      </c>
      <c r="M539" s="3">
        <v>12.3</v>
      </c>
      <c r="N539" s="3">
        <v>1</v>
      </c>
      <c r="O539" s="3">
        <v>8.2026809420993659E-3</v>
      </c>
      <c r="P539" s="3">
        <v>2.0452797731370063E-2</v>
      </c>
      <c r="Q539" s="3">
        <v>0.27090060383976655</v>
      </c>
      <c r="R539" s="3">
        <v>994.85658713794624</v>
      </c>
      <c r="S539" s="3">
        <v>6.3181210412276272</v>
      </c>
      <c r="U539" s="3">
        <v>10.059030572008282</v>
      </c>
      <c r="V539" s="3">
        <v>3.7409095307806552</v>
      </c>
      <c r="X539" s="3">
        <v>0</v>
      </c>
      <c r="Y539" s="3">
        <v>0</v>
      </c>
      <c r="AA539" s="3">
        <v>0</v>
      </c>
      <c r="AB539" s="3">
        <v>0</v>
      </c>
      <c r="AC539" s="3">
        <v>0</v>
      </c>
    </row>
    <row r="540" spans="2:29" x14ac:dyDescent="0.2">
      <c r="B540" s="3" t="s">
        <v>1093</v>
      </c>
      <c r="C540" s="3" t="s">
        <v>1094</v>
      </c>
      <c r="D540" s="8">
        <v>42720</v>
      </c>
      <c r="E540" s="3">
        <v>950</v>
      </c>
      <c r="F540" s="3" t="s">
        <v>25</v>
      </c>
      <c r="G540" s="3" t="s">
        <v>26</v>
      </c>
      <c r="H540" s="3">
        <v>973.4</v>
      </c>
      <c r="I540" s="3">
        <v>977.95</v>
      </c>
      <c r="J540" s="3">
        <v>982.5</v>
      </c>
      <c r="K540" s="3">
        <v>11.8</v>
      </c>
      <c r="L540" s="3">
        <v>12.55</v>
      </c>
      <c r="M540" s="3">
        <v>13.3</v>
      </c>
      <c r="N540" s="3">
        <v>1</v>
      </c>
      <c r="O540" s="3">
        <v>8.2026809420993659E-3</v>
      </c>
      <c r="P540" s="3">
        <v>2.0452797731370063E-2</v>
      </c>
      <c r="Q540" s="3">
        <v>0.27090060383976655</v>
      </c>
      <c r="R540" s="3">
        <v>971.56938056161266</v>
      </c>
      <c r="S540" s="3">
        <v>7.5961241556121024</v>
      </c>
      <c r="U540" s="3">
        <v>11.005006803838455</v>
      </c>
      <c r="V540" s="3">
        <v>3.4088826482263528</v>
      </c>
      <c r="X540" s="3">
        <v>0</v>
      </c>
      <c r="Y540" s="3">
        <v>0</v>
      </c>
      <c r="AA540" s="3">
        <v>0</v>
      </c>
      <c r="AB540" s="3">
        <v>0</v>
      </c>
      <c r="AC540" s="3">
        <v>0</v>
      </c>
    </row>
    <row r="541" spans="2:29" x14ac:dyDescent="0.2">
      <c r="B541" s="3" t="s">
        <v>1095</v>
      </c>
      <c r="C541" s="3" t="s">
        <v>1096</v>
      </c>
      <c r="D541" s="8">
        <v>42720</v>
      </c>
      <c r="E541" s="3">
        <v>975</v>
      </c>
      <c r="F541" s="3" t="s">
        <v>25</v>
      </c>
      <c r="G541" s="3" t="s">
        <v>26</v>
      </c>
      <c r="H541" s="3">
        <v>950.1</v>
      </c>
      <c r="I541" s="3">
        <v>954.8</v>
      </c>
      <c r="J541" s="3">
        <v>959.5</v>
      </c>
      <c r="K541" s="3">
        <v>13.1</v>
      </c>
      <c r="L541" s="3">
        <v>13.95</v>
      </c>
      <c r="M541" s="3">
        <v>14.8</v>
      </c>
      <c r="N541" s="3">
        <v>1</v>
      </c>
      <c r="O541" s="3">
        <v>8.2026809420993659E-3</v>
      </c>
      <c r="P541" s="3">
        <v>2.0452797731370063E-2</v>
      </c>
      <c r="Q541" s="3">
        <v>0.27090060383976655</v>
      </c>
      <c r="R541" s="3">
        <v>948.4653869039372</v>
      </c>
      <c r="S541" s="3">
        <v>9.0573401886546279</v>
      </c>
      <c r="U541" s="3">
        <v>12.285129098890138</v>
      </c>
      <c r="V541" s="3">
        <v>3.2277889102355104</v>
      </c>
      <c r="X541" s="3">
        <v>0</v>
      </c>
      <c r="Y541" s="3">
        <v>0</v>
      </c>
      <c r="AA541" s="3">
        <v>0</v>
      </c>
      <c r="AB541" s="3">
        <v>0</v>
      </c>
      <c r="AC541" s="3">
        <v>0</v>
      </c>
    </row>
    <row r="542" spans="2:29" x14ac:dyDescent="0.2">
      <c r="B542" s="3" t="s">
        <v>1097</v>
      </c>
      <c r="C542" s="3" t="s">
        <v>1098</v>
      </c>
      <c r="D542" s="8">
        <v>42720</v>
      </c>
      <c r="E542" s="3">
        <v>1000</v>
      </c>
      <c r="F542" s="3" t="s">
        <v>25</v>
      </c>
      <c r="G542" s="3" t="s">
        <v>26</v>
      </c>
      <c r="H542" s="3">
        <v>926.9</v>
      </c>
      <c r="I542" s="3">
        <v>931.7</v>
      </c>
      <c r="J542" s="3">
        <v>936.5</v>
      </c>
      <c r="K542" s="3">
        <v>14.4</v>
      </c>
      <c r="L542" s="3">
        <v>15.25</v>
      </c>
      <c r="M542" s="3">
        <v>16.100000000000001</v>
      </c>
      <c r="N542" s="3">
        <v>1</v>
      </c>
      <c r="O542" s="3">
        <v>8.2026809420993659E-3</v>
      </c>
      <c r="P542" s="3">
        <v>2.0452797731370063E-2</v>
      </c>
      <c r="Q542" s="3">
        <v>0.27090060383976655</v>
      </c>
      <c r="R542" s="3">
        <v>925.55911859943717</v>
      </c>
      <c r="S542" s="3">
        <v>10.716281574872511</v>
      </c>
      <c r="U542" s="3">
        <v>13.551937298259872</v>
      </c>
      <c r="V542" s="3">
        <v>2.8356557233873616</v>
      </c>
      <c r="X542" s="3">
        <v>0</v>
      </c>
      <c r="Y542" s="3">
        <v>0</v>
      </c>
      <c r="AA542" s="3">
        <v>0</v>
      </c>
      <c r="AB542" s="3">
        <v>0</v>
      </c>
      <c r="AC542" s="3">
        <v>0</v>
      </c>
    </row>
    <row r="543" spans="2:29" x14ac:dyDescent="0.2">
      <c r="B543" s="3" t="s">
        <v>1099</v>
      </c>
      <c r="C543" s="3" t="s">
        <v>1100</v>
      </c>
      <c r="D543" s="8">
        <v>42720</v>
      </c>
      <c r="E543" s="3">
        <v>1025</v>
      </c>
      <c r="F543" s="3" t="s">
        <v>25</v>
      </c>
      <c r="G543" s="3" t="s">
        <v>26</v>
      </c>
      <c r="H543" s="3">
        <v>903.8</v>
      </c>
      <c r="I543" s="3">
        <v>908.45</v>
      </c>
      <c r="J543" s="3">
        <v>913.1</v>
      </c>
      <c r="K543" s="3">
        <v>15.9</v>
      </c>
      <c r="L543" s="3">
        <v>16.8</v>
      </c>
      <c r="M543" s="3">
        <v>17.7</v>
      </c>
      <c r="N543" s="3">
        <v>1</v>
      </c>
      <c r="O543" s="3">
        <v>8.2026809420993659E-3</v>
      </c>
      <c r="P543" s="3">
        <v>2.0452797731370063E-2</v>
      </c>
      <c r="Q543" s="3">
        <v>0.27090060383976655</v>
      </c>
      <c r="R543" s="3">
        <v>902.86494846551386</v>
      </c>
      <c r="S543" s="3">
        <v>12.587321131666812</v>
      </c>
      <c r="U543" s="3">
        <v>15.054541984418506</v>
      </c>
      <c r="V543" s="3">
        <v>2.4672208527516943</v>
      </c>
      <c r="X543" s="3">
        <v>0</v>
      </c>
      <c r="Y543" s="3">
        <v>0</v>
      </c>
      <c r="AA543" s="3">
        <v>0</v>
      </c>
      <c r="AB543" s="3">
        <v>0</v>
      </c>
      <c r="AC543" s="3">
        <v>0</v>
      </c>
    </row>
    <row r="544" spans="2:29" x14ac:dyDescent="0.2">
      <c r="B544" s="3" t="s">
        <v>1101</v>
      </c>
      <c r="C544" s="3" t="s">
        <v>1102</v>
      </c>
      <c r="D544" s="8">
        <v>42720</v>
      </c>
      <c r="E544" s="3">
        <v>1050</v>
      </c>
      <c r="F544" s="3" t="s">
        <v>25</v>
      </c>
      <c r="G544" s="3" t="s">
        <v>26</v>
      </c>
      <c r="H544" s="3">
        <v>880.9</v>
      </c>
      <c r="I544" s="3">
        <v>884.45</v>
      </c>
      <c r="J544" s="3">
        <v>888</v>
      </c>
      <c r="K544" s="3">
        <v>17.600000000000001</v>
      </c>
      <c r="L544" s="3">
        <v>18.55</v>
      </c>
      <c r="M544" s="3">
        <v>19.5</v>
      </c>
      <c r="N544" s="3">
        <v>1</v>
      </c>
      <c r="O544" s="3">
        <v>8.2026809420993659E-3</v>
      </c>
      <c r="P544" s="3">
        <v>2.0452797731370063E-2</v>
      </c>
      <c r="Q544" s="3">
        <v>0.27090060383976655</v>
      </c>
      <c r="R544" s="3">
        <v>880.39700990042274</v>
      </c>
      <c r="S544" s="3">
        <v>14.684592257293957</v>
      </c>
      <c r="U544" s="3">
        <v>16.561949713460308</v>
      </c>
      <c r="V544" s="3">
        <v>1.8773574561663509</v>
      </c>
      <c r="X544" s="3">
        <v>0</v>
      </c>
      <c r="Y544" s="3">
        <v>0</v>
      </c>
      <c r="AA544" s="3">
        <v>0</v>
      </c>
      <c r="AB544" s="3">
        <v>0</v>
      </c>
      <c r="AC544" s="3">
        <v>0</v>
      </c>
    </row>
    <row r="545" spans="2:29" x14ac:dyDescent="0.2">
      <c r="B545" s="3" t="s">
        <v>1103</v>
      </c>
      <c r="C545" s="3" t="s">
        <v>1104</v>
      </c>
      <c r="D545" s="8">
        <v>42720</v>
      </c>
      <c r="E545" s="3">
        <v>1075</v>
      </c>
      <c r="F545" s="3" t="s">
        <v>25</v>
      </c>
      <c r="G545" s="3" t="s">
        <v>26</v>
      </c>
      <c r="H545" s="3">
        <v>858</v>
      </c>
      <c r="I545" s="3">
        <v>861.5</v>
      </c>
      <c r="J545" s="3">
        <v>865</v>
      </c>
      <c r="K545" s="3">
        <v>19.3</v>
      </c>
      <c r="L545" s="3">
        <v>21.1</v>
      </c>
      <c r="M545" s="3">
        <v>22.9</v>
      </c>
      <c r="N545" s="3">
        <v>1</v>
      </c>
      <c r="O545" s="3">
        <v>8.2026809420993659E-3</v>
      </c>
      <c r="P545" s="3">
        <v>2.0452797731370063E-2</v>
      </c>
      <c r="Q545" s="3">
        <v>0.27090060383976655</v>
      </c>
      <c r="R545" s="3">
        <v>858.16910384255209</v>
      </c>
      <c r="S545" s="3">
        <v>17.021895890141209</v>
      </c>
      <c r="U545" s="3">
        <v>18.141625901237717</v>
      </c>
      <c r="V545" s="3">
        <v>1.1197300110965074</v>
      </c>
      <c r="X545" s="3">
        <v>0</v>
      </c>
      <c r="Y545" s="3">
        <v>0</v>
      </c>
      <c r="AA545" s="3">
        <v>0</v>
      </c>
      <c r="AB545" s="3">
        <v>0</v>
      </c>
      <c r="AC545" s="3">
        <v>0</v>
      </c>
    </row>
    <row r="546" spans="2:29" x14ac:dyDescent="0.2">
      <c r="B546" s="3" t="s">
        <v>1105</v>
      </c>
      <c r="C546" s="3" t="s">
        <v>1106</v>
      </c>
      <c r="D546" s="8">
        <v>42720</v>
      </c>
      <c r="E546" s="3">
        <v>1100</v>
      </c>
      <c r="F546" s="3" t="s">
        <v>25</v>
      </c>
      <c r="G546" s="3" t="s">
        <v>26</v>
      </c>
      <c r="H546" s="3">
        <v>835.3</v>
      </c>
      <c r="I546" s="3">
        <v>838.85</v>
      </c>
      <c r="J546" s="3">
        <v>842.4</v>
      </c>
      <c r="K546" s="3">
        <v>21.3</v>
      </c>
      <c r="L546" s="3">
        <v>22.8</v>
      </c>
      <c r="M546" s="3">
        <v>24.3</v>
      </c>
      <c r="N546" s="3">
        <v>1</v>
      </c>
      <c r="O546" s="3">
        <v>8.2026809420993659E-3</v>
      </c>
      <c r="P546" s="3">
        <v>2.0452797731370063E-2</v>
      </c>
      <c r="Q546" s="3">
        <v>0.27090060383976655</v>
      </c>
      <c r="R546" s="3">
        <v>836.19461333808863</v>
      </c>
      <c r="S546" s="3">
        <v>19.61261507639577</v>
      </c>
      <c r="U546" s="3">
        <v>19.911727023942262</v>
      </c>
      <c r="V546" s="3">
        <v>0.29911194754649273</v>
      </c>
      <c r="X546" s="3">
        <v>0</v>
      </c>
      <c r="Y546" s="3">
        <v>0</v>
      </c>
      <c r="AA546" s="3">
        <v>0</v>
      </c>
      <c r="AB546" s="3">
        <v>0</v>
      </c>
      <c r="AC546" s="3">
        <v>0</v>
      </c>
    </row>
    <row r="547" spans="2:29" x14ac:dyDescent="0.2">
      <c r="B547" s="3" t="s">
        <v>1107</v>
      </c>
      <c r="C547" s="3" t="s">
        <v>1108</v>
      </c>
      <c r="D547" s="8">
        <v>42720</v>
      </c>
      <c r="E547" s="3">
        <v>1125</v>
      </c>
      <c r="F547" s="3" t="s">
        <v>25</v>
      </c>
      <c r="G547" s="3" t="s">
        <v>26</v>
      </c>
      <c r="H547" s="3">
        <v>812.8</v>
      </c>
      <c r="I547" s="3">
        <v>816.35</v>
      </c>
      <c r="J547" s="3">
        <v>819.9</v>
      </c>
      <c r="K547" s="3">
        <v>23.2</v>
      </c>
      <c r="L547" s="3">
        <v>24.75</v>
      </c>
      <c r="M547" s="3">
        <v>26.3</v>
      </c>
      <c r="N547" s="3">
        <v>1</v>
      </c>
      <c r="O547" s="3">
        <v>8.2026809420993659E-3</v>
      </c>
      <c r="P547" s="3">
        <v>2.0452797731370063E-2</v>
      </c>
      <c r="Q547" s="3">
        <v>0.27090060383976655</v>
      </c>
      <c r="R547" s="3">
        <v>814.48642632505369</v>
      </c>
      <c r="S547" s="3">
        <v>22.469637754078889</v>
      </c>
      <c r="U547" s="3">
        <v>21.804177741891863</v>
      </c>
      <c r="V547" s="3">
        <v>-0.665460012187026</v>
      </c>
      <c r="X547" s="3">
        <v>0</v>
      </c>
      <c r="Y547" s="3">
        <v>0</v>
      </c>
      <c r="AA547" s="3">
        <v>0</v>
      </c>
      <c r="AB547" s="3">
        <v>0</v>
      </c>
      <c r="AC547" s="3">
        <v>0</v>
      </c>
    </row>
    <row r="548" spans="2:29" x14ac:dyDescent="0.2">
      <c r="B548" s="3" t="s">
        <v>1109</v>
      </c>
      <c r="C548" s="3" t="s">
        <v>1110</v>
      </c>
      <c r="D548" s="8">
        <v>42720</v>
      </c>
      <c r="E548" s="3">
        <v>1150</v>
      </c>
      <c r="F548" s="3" t="s">
        <v>25</v>
      </c>
      <c r="G548" s="3" t="s">
        <v>26</v>
      </c>
      <c r="H548" s="3">
        <v>790.3</v>
      </c>
      <c r="I548" s="3">
        <v>793.9</v>
      </c>
      <c r="J548" s="3">
        <v>797.5</v>
      </c>
      <c r="K548" s="3">
        <v>25.3</v>
      </c>
      <c r="L548" s="3">
        <v>26.95</v>
      </c>
      <c r="M548" s="3">
        <v>28.6</v>
      </c>
      <c r="N548" s="3">
        <v>1</v>
      </c>
      <c r="O548" s="3">
        <v>8.2026809420993659E-3</v>
      </c>
      <c r="P548" s="3">
        <v>2.0452797731370063E-2</v>
      </c>
      <c r="Q548" s="3">
        <v>0.27090060383976655</v>
      </c>
      <c r="R548" s="3">
        <v>793.05686702293031</v>
      </c>
      <c r="S548" s="3">
        <v>25.605288142673331</v>
      </c>
      <c r="U548" s="3">
        <v>23.805084395906192</v>
      </c>
      <c r="V548" s="3">
        <v>-1.8002037467671386</v>
      </c>
      <c r="X548" s="3">
        <v>0</v>
      </c>
      <c r="Y548" s="3">
        <v>0</v>
      </c>
      <c r="AA548" s="3">
        <v>0</v>
      </c>
      <c r="AB548" s="3">
        <v>0</v>
      </c>
      <c r="AC548" s="3">
        <v>0</v>
      </c>
    </row>
    <row r="549" spans="2:29" x14ac:dyDescent="0.2">
      <c r="B549" s="3" t="s">
        <v>1111</v>
      </c>
      <c r="C549" s="3" t="s">
        <v>1112</v>
      </c>
      <c r="D549" s="8">
        <v>42720</v>
      </c>
      <c r="E549" s="3">
        <v>1175</v>
      </c>
      <c r="F549" s="3" t="s">
        <v>25</v>
      </c>
      <c r="G549" s="3" t="s">
        <v>26</v>
      </c>
      <c r="H549" s="3">
        <v>768.1</v>
      </c>
      <c r="I549" s="3">
        <v>771.7</v>
      </c>
      <c r="J549" s="3">
        <v>775.3</v>
      </c>
      <c r="K549" s="3">
        <v>27.5</v>
      </c>
      <c r="L549" s="3">
        <v>29.25</v>
      </c>
      <c r="M549" s="3">
        <v>31</v>
      </c>
      <c r="N549" s="3">
        <v>1</v>
      </c>
      <c r="O549" s="3">
        <v>8.2026809420993659E-3</v>
      </c>
      <c r="P549" s="3">
        <v>2.0452797731370063E-2</v>
      </c>
      <c r="Q549" s="3">
        <v>0.27090060383976655</v>
      </c>
      <c r="R549" s="3">
        <v>771.91763612127534</v>
      </c>
      <c r="S549" s="3">
        <v>29.031266931736383</v>
      </c>
      <c r="U549" s="3">
        <v>25.997163060774028</v>
      </c>
      <c r="V549" s="3">
        <v>-3.0341038709623547</v>
      </c>
      <c r="X549" s="3">
        <v>0</v>
      </c>
      <c r="Y549" s="3">
        <v>0</v>
      </c>
      <c r="AA549" s="3">
        <v>0</v>
      </c>
      <c r="AB549" s="3">
        <v>0</v>
      </c>
      <c r="AC549" s="3">
        <v>0</v>
      </c>
    </row>
    <row r="550" spans="2:29" x14ac:dyDescent="0.2">
      <c r="B550" s="3" t="s">
        <v>1113</v>
      </c>
      <c r="C550" s="3" t="s">
        <v>1114</v>
      </c>
      <c r="D550" s="8">
        <v>42720</v>
      </c>
      <c r="E550" s="3">
        <v>1200</v>
      </c>
      <c r="F550" s="3" t="s">
        <v>25</v>
      </c>
      <c r="G550" s="3" t="s">
        <v>26</v>
      </c>
      <c r="H550" s="3">
        <v>745.9</v>
      </c>
      <c r="I550" s="3">
        <v>749.6</v>
      </c>
      <c r="J550" s="3">
        <v>753.3</v>
      </c>
      <c r="K550" s="3">
        <v>29.9</v>
      </c>
      <c r="L550" s="3">
        <v>31.05</v>
      </c>
      <c r="M550" s="3">
        <v>32.200000000000003</v>
      </c>
      <c r="N550" s="3">
        <v>1</v>
      </c>
      <c r="O550" s="3">
        <v>8.2026809420993659E-3</v>
      </c>
      <c r="P550" s="3">
        <v>2.0452797731370063E-2</v>
      </c>
      <c r="Q550" s="3">
        <v>0.26806410353191801</v>
      </c>
      <c r="R550" s="3">
        <v>749.90805749087804</v>
      </c>
      <c r="S550" s="3">
        <v>31.586897992056862</v>
      </c>
      <c r="U550" s="3">
        <v>28.187971262365181</v>
      </c>
      <c r="V550" s="3">
        <v>-3.3989267296916807</v>
      </c>
      <c r="X550" s="3">
        <v>0</v>
      </c>
      <c r="Y550" s="3">
        <v>0</v>
      </c>
      <c r="AA550" s="3">
        <v>0</v>
      </c>
      <c r="AB550" s="3">
        <v>0</v>
      </c>
      <c r="AC550" s="3">
        <v>0</v>
      </c>
    </row>
    <row r="551" spans="2:29" x14ac:dyDescent="0.2">
      <c r="B551" s="3" t="s">
        <v>1115</v>
      </c>
      <c r="C551" s="3" t="s">
        <v>1116</v>
      </c>
      <c r="D551" s="8">
        <v>42720</v>
      </c>
      <c r="E551" s="3">
        <v>1225</v>
      </c>
      <c r="F551" s="3" t="s">
        <v>25</v>
      </c>
      <c r="G551" s="3" t="s">
        <v>26</v>
      </c>
      <c r="H551" s="3">
        <v>724</v>
      </c>
      <c r="I551" s="3">
        <v>727.7</v>
      </c>
      <c r="J551" s="3">
        <v>731.4</v>
      </c>
      <c r="K551" s="3">
        <v>32.5</v>
      </c>
      <c r="L551" s="3">
        <v>34.65</v>
      </c>
      <c r="M551" s="3">
        <v>36.799999999999997</v>
      </c>
      <c r="N551" s="3">
        <v>1</v>
      </c>
      <c r="O551" s="3">
        <v>8.2026809420993659E-3</v>
      </c>
      <c r="P551" s="3">
        <v>2.0452797731370063E-2</v>
      </c>
      <c r="Q551" s="3">
        <v>0.26522760322406946</v>
      </c>
      <c r="R551" s="3">
        <v>728.05228607828053</v>
      </c>
      <c r="S551" s="3">
        <v>34.296336270177221</v>
      </c>
      <c r="U551" s="3">
        <v>30.744619650043433</v>
      </c>
      <c r="V551" s="3">
        <v>-3.5517166201337886</v>
      </c>
      <c r="X551" s="3">
        <v>0</v>
      </c>
      <c r="Y551" s="3">
        <v>0</v>
      </c>
      <c r="AA551" s="3">
        <v>0</v>
      </c>
      <c r="AB551" s="3">
        <v>0</v>
      </c>
      <c r="AC551" s="3">
        <v>0</v>
      </c>
    </row>
    <row r="552" spans="2:29" x14ac:dyDescent="0.2">
      <c r="B552" s="3" t="s">
        <v>1117</v>
      </c>
      <c r="C552" s="3" t="s">
        <v>1118</v>
      </c>
      <c r="D552" s="8">
        <v>42720</v>
      </c>
      <c r="E552" s="3">
        <v>1250</v>
      </c>
      <c r="F552" s="3" t="s">
        <v>25</v>
      </c>
      <c r="G552" s="3" t="s">
        <v>26</v>
      </c>
      <c r="H552" s="3">
        <v>702.2</v>
      </c>
      <c r="I552" s="3">
        <v>707.05</v>
      </c>
      <c r="J552" s="3">
        <v>711.9</v>
      </c>
      <c r="K552" s="3">
        <v>35.200000000000003</v>
      </c>
      <c r="L552" s="3">
        <v>37.450000000000003</v>
      </c>
      <c r="M552" s="3">
        <v>39.700000000000003</v>
      </c>
      <c r="N552" s="3">
        <v>1</v>
      </c>
      <c r="O552" s="3">
        <v>8.2026809420993659E-3</v>
      </c>
      <c r="P552" s="3">
        <v>2.0452797731370063E-2</v>
      </c>
      <c r="Q552" s="3">
        <v>0.26273776892311262</v>
      </c>
      <c r="R552" s="3">
        <v>706.51558270313171</v>
      </c>
      <c r="S552" s="3">
        <v>37.324842585746353</v>
      </c>
      <c r="U552" s="3">
        <v>33.20918347195493</v>
      </c>
      <c r="V552" s="3">
        <v>-4.1156591137914234</v>
      </c>
      <c r="X552" s="3">
        <v>0</v>
      </c>
      <c r="Y552" s="3">
        <v>0</v>
      </c>
      <c r="AA552" s="3">
        <v>0</v>
      </c>
      <c r="AB552" s="3">
        <v>0</v>
      </c>
      <c r="AC552" s="3">
        <v>0</v>
      </c>
    </row>
    <row r="553" spans="2:29" x14ac:dyDescent="0.2">
      <c r="B553" s="3" t="s">
        <v>1119</v>
      </c>
      <c r="C553" s="3" t="s">
        <v>1120</v>
      </c>
      <c r="D553" s="8">
        <v>42720</v>
      </c>
      <c r="E553" s="3">
        <v>1275</v>
      </c>
      <c r="F553" s="3" t="s">
        <v>25</v>
      </c>
      <c r="G553" s="3" t="s">
        <v>26</v>
      </c>
      <c r="H553" s="3">
        <v>680.6</v>
      </c>
      <c r="I553" s="3">
        <v>685.45</v>
      </c>
      <c r="J553" s="3">
        <v>690.3</v>
      </c>
      <c r="K553" s="3">
        <v>38.200000000000003</v>
      </c>
      <c r="L553" s="3">
        <v>40.25</v>
      </c>
      <c r="M553" s="3">
        <v>42.3</v>
      </c>
      <c r="N553" s="3">
        <v>1</v>
      </c>
      <c r="O553" s="3">
        <v>8.2026809420993659E-3</v>
      </c>
      <c r="P553" s="3">
        <v>2.0452797731370063E-2</v>
      </c>
      <c r="Q553" s="3">
        <v>0.26024793462215579</v>
      </c>
      <c r="R553" s="3">
        <v>685.16229263833554</v>
      </c>
      <c r="S553" s="3">
        <v>40.536762211668446</v>
      </c>
      <c r="U553" s="3">
        <v>36.21831266020672</v>
      </c>
      <c r="V553" s="3">
        <v>-4.3184495514617254</v>
      </c>
      <c r="X553" s="3">
        <v>0</v>
      </c>
      <c r="Y553" s="3">
        <v>0</v>
      </c>
      <c r="AA553" s="3">
        <v>0</v>
      </c>
      <c r="AB553" s="3">
        <v>0</v>
      </c>
      <c r="AC553" s="3">
        <v>0</v>
      </c>
    </row>
    <row r="554" spans="2:29" x14ac:dyDescent="0.2">
      <c r="B554" s="3" t="s">
        <v>1121</v>
      </c>
      <c r="C554" s="3" t="s">
        <v>1122</v>
      </c>
      <c r="D554" s="8">
        <v>42720</v>
      </c>
      <c r="E554" s="3">
        <v>1300</v>
      </c>
      <c r="F554" s="3" t="s">
        <v>25</v>
      </c>
      <c r="G554" s="3" t="s">
        <v>26</v>
      </c>
      <c r="H554" s="3">
        <v>659.2</v>
      </c>
      <c r="I554" s="3">
        <v>664.05</v>
      </c>
      <c r="J554" s="3">
        <v>668.9</v>
      </c>
      <c r="K554" s="3">
        <v>41.2</v>
      </c>
      <c r="L554" s="3">
        <v>43.25</v>
      </c>
      <c r="M554" s="3">
        <v>45.3</v>
      </c>
      <c r="N554" s="3">
        <v>1</v>
      </c>
      <c r="O554" s="3">
        <v>8.2026809420993659E-3</v>
      </c>
      <c r="P554" s="3">
        <v>2.0452797731370063E-2</v>
      </c>
      <c r="Q554" s="3">
        <v>0.25712438159121059</v>
      </c>
      <c r="R554" s="3">
        <v>663.67333200056032</v>
      </c>
      <c r="S554" s="3">
        <v>43.61301126461106</v>
      </c>
      <c r="U554" s="3">
        <v>39.06076877039186</v>
      </c>
      <c r="V554" s="3">
        <v>-4.5522424942192004</v>
      </c>
      <c r="X554" s="3">
        <v>0</v>
      </c>
      <c r="Y554" s="3">
        <v>0</v>
      </c>
      <c r="AA554" s="3">
        <v>0</v>
      </c>
      <c r="AB554" s="3">
        <v>0</v>
      </c>
      <c r="AC554" s="3">
        <v>0</v>
      </c>
    </row>
    <row r="555" spans="2:29" x14ac:dyDescent="0.2">
      <c r="B555" s="3" t="s">
        <v>1123</v>
      </c>
      <c r="C555" s="3" t="s">
        <v>1124</v>
      </c>
      <c r="D555" s="8">
        <v>42720</v>
      </c>
      <c r="E555" s="3">
        <v>1325</v>
      </c>
      <c r="F555" s="3" t="s">
        <v>25</v>
      </c>
      <c r="G555" s="3" t="s">
        <v>26</v>
      </c>
      <c r="H555" s="3">
        <v>637.9</v>
      </c>
      <c r="I555" s="3">
        <v>642.79999999999995</v>
      </c>
      <c r="J555" s="3">
        <v>647.70000000000005</v>
      </c>
      <c r="K555" s="3">
        <v>44.5</v>
      </c>
      <c r="L555" s="3">
        <v>46.4</v>
      </c>
      <c r="M555" s="3">
        <v>48.3</v>
      </c>
      <c r="N555" s="3">
        <v>1</v>
      </c>
      <c r="O555" s="3">
        <v>8.2026809420993659E-3</v>
      </c>
      <c r="P555" s="3">
        <v>2.0452797731370063E-2</v>
      </c>
      <c r="Q555" s="3">
        <v>0.2540008285602654</v>
      </c>
      <c r="R555" s="3">
        <v>642.34696559789745</v>
      </c>
      <c r="S555" s="3">
        <v>46.851854552666026</v>
      </c>
      <c r="U555" s="3">
        <v>42.279342050154128</v>
      </c>
      <c r="V555" s="3">
        <v>-4.5725125025118984</v>
      </c>
      <c r="X555" s="3">
        <v>0</v>
      </c>
      <c r="Y555" s="3">
        <v>0</v>
      </c>
      <c r="AA555" s="3">
        <v>0</v>
      </c>
      <c r="AB555" s="3">
        <v>0</v>
      </c>
      <c r="AC555" s="3">
        <v>0</v>
      </c>
    </row>
    <row r="556" spans="2:29" x14ac:dyDescent="0.2">
      <c r="B556" s="3" t="s">
        <v>1125</v>
      </c>
      <c r="C556" s="3" t="s">
        <v>1126</v>
      </c>
      <c r="D556" s="8">
        <v>42720</v>
      </c>
      <c r="E556" s="3">
        <v>1350</v>
      </c>
      <c r="F556" s="3" t="s">
        <v>25</v>
      </c>
      <c r="G556" s="3" t="s">
        <v>26</v>
      </c>
      <c r="H556" s="3">
        <v>616.70000000000005</v>
      </c>
      <c r="I556" s="3">
        <v>622.25</v>
      </c>
      <c r="J556" s="3">
        <v>627.79999999999995</v>
      </c>
      <c r="K556" s="3">
        <v>47.8</v>
      </c>
      <c r="L556" s="3">
        <v>49.8</v>
      </c>
      <c r="M556" s="3">
        <v>51.8</v>
      </c>
      <c r="N556" s="3">
        <v>1</v>
      </c>
      <c r="O556" s="3">
        <v>8.2026809420993659E-3</v>
      </c>
      <c r="P556" s="3">
        <v>2.0452797731370063E-2</v>
      </c>
      <c r="Q556" s="3">
        <v>0.25117159416784962</v>
      </c>
      <c r="R556" s="3">
        <v>621.35578148489344</v>
      </c>
      <c r="S556" s="3">
        <v>50.425880130380136</v>
      </c>
      <c r="U556" s="3">
        <v>45.577947661796088</v>
      </c>
      <c r="V556" s="3">
        <v>-4.8479324685840481</v>
      </c>
      <c r="X556" s="3">
        <v>0</v>
      </c>
      <c r="Y556" s="3">
        <v>0</v>
      </c>
      <c r="AA556" s="3">
        <v>0</v>
      </c>
      <c r="AB556" s="3">
        <v>0</v>
      </c>
      <c r="AC556" s="3">
        <v>0</v>
      </c>
    </row>
    <row r="557" spans="2:29" x14ac:dyDescent="0.2">
      <c r="B557" s="3" t="s">
        <v>1127</v>
      </c>
      <c r="C557" s="3" t="s">
        <v>1128</v>
      </c>
      <c r="D557" s="8">
        <v>42720</v>
      </c>
      <c r="E557" s="3">
        <v>1375</v>
      </c>
      <c r="F557" s="3" t="s">
        <v>25</v>
      </c>
      <c r="G557" s="3" t="s">
        <v>26</v>
      </c>
      <c r="H557" s="3">
        <v>595.9</v>
      </c>
      <c r="I557" s="3">
        <v>601.4</v>
      </c>
      <c r="J557" s="3">
        <v>606.9</v>
      </c>
      <c r="K557" s="3">
        <v>51.4</v>
      </c>
      <c r="L557" s="3">
        <v>53.35</v>
      </c>
      <c r="M557" s="3">
        <v>55.3</v>
      </c>
      <c r="N557" s="3">
        <v>1</v>
      </c>
      <c r="O557" s="3">
        <v>8.2026809420993659E-3</v>
      </c>
      <c r="P557" s="3">
        <v>2.0452797731370063E-2</v>
      </c>
      <c r="Q557" s="3">
        <v>0.24834235977543384</v>
      </c>
      <c r="R557" s="3">
        <v>600.55550058988001</v>
      </c>
      <c r="S557" s="3">
        <v>54.190808926084514</v>
      </c>
      <c r="U557" s="3">
        <v>48.931532400440915</v>
      </c>
      <c r="V557" s="3">
        <v>-5.2592765256435996</v>
      </c>
      <c r="X557" s="3">
        <v>0</v>
      </c>
      <c r="Y557" s="3">
        <v>0</v>
      </c>
      <c r="AA557" s="3">
        <v>0</v>
      </c>
      <c r="AB557" s="3">
        <v>0</v>
      </c>
      <c r="AC557" s="3">
        <v>0</v>
      </c>
    </row>
    <row r="558" spans="2:29" x14ac:dyDescent="0.2">
      <c r="B558" s="3" t="s">
        <v>1129</v>
      </c>
      <c r="C558" s="3" t="s">
        <v>1130</v>
      </c>
      <c r="D558" s="8">
        <v>42720</v>
      </c>
      <c r="E558" s="3">
        <v>1400</v>
      </c>
      <c r="F558" s="3" t="s">
        <v>25</v>
      </c>
      <c r="G558" s="3" t="s">
        <v>26</v>
      </c>
      <c r="H558" s="3">
        <v>575.1</v>
      </c>
      <c r="I558" s="3">
        <v>580.04999999999995</v>
      </c>
      <c r="J558" s="3">
        <v>585</v>
      </c>
      <c r="K558" s="3">
        <v>55.1</v>
      </c>
      <c r="L558" s="3">
        <v>57.65</v>
      </c>
      <c r="M558" s="3">
        <v>60.2</v>
      </c>
      <c r="N558" s="3">
        <v>1</v>
      </c>
      <c r="O558" s="3">
        <v>8.2026809420993659E-3</v>
      </c>
      <c r="P558" s="3">
        <v>2.0452797731370063E-2</v>
      </c>
      <c r="Q558" s="3">
        <v>0.24546381190445968</v>
      </c>
      <c r="R558" s="3">
        <v>579.92234872829795</v>
      </c>
      <c r="S558" s="3">
        <v>58.122866755220571</v>
      </c>
      <c r="U558" s="3">
        <v>52.781210628651365</v>
      </c>
      <c r="V558" s="3">
        <v>-5.3416561265692053</v>
      </c>
      <c r="X558" s="3">
        <v>0</v>
      </c>
      <c r="Y558" s="3">
        <v>0</v>
      </c>
      <c r="AA558" s="3">
        <v>0</v>
      </c>
      <c r="AB558" s="3">
        <v>0</v>
      </c>
      <c r="AC558" s="3">
        <v>0</v>
      </c>
    </row>
    <row r="559" spans="2:29" x14ac:dyDescent="0.2">
      <c r="B559" s="3" t="s">
        <v>1131</v>
      </c>
      <c r="C559" s="3" t="s">
        <v>1132</v>
      </c>
      <c r="D559" s="8">
        <v>42720</v>
      </c>
      <c r="E559" s="3">
        <v>1425</v>
      </c>
      <c r="F559" s="3" t="s">
        <v>25</v>
      </c>
      <c r="G559" s="3" t="s">
        <v>26</v>
      </c>
      <c r="H559" s="3">
        <v>554.5</v>
      </c>
      <c r="I559" s="3">
        <v>560.1</v>
      </c>
      <c r="J559" s="3">
        <v>565.70000000000005</v>
      </c>
      <c r="K559" s="3">
        <v>59.1</v>
      </c>
      <c r="L559" s="3">
        <v>61.65</v>
      </c>
      <c r="M559" s="3">
        <v>64.2</v>
      </c>
      <c r="N559" s="3">
        <v>1</v>
      </c>
      <c r="O559" s="3">
        <v>8.2026809420993659E-3</v>
      </c>
      <c r="P559" s="3">
        <v>2.0452797731370063E-2</v>
      </c>
      <c r="Q559" s="3">
        <v>0.24258526403348551</v>
      </c>
      <c r="R559" s="3">
        <v>559.49131015946659</v>
      </c>
      <c r="S559" s="3">
        <v>62.257037877106939</v>
      </c>
      <c r="U559" s="3">
        <v>56.719236948741241</v>
      </c>
      <c r="V559" s="3">
        <v>-5.5378009283656979</v>
      </c>
      <c r="X559" s="3">
        <v>0</v>
      </c>
      <c r="Y559" s="3">
        <v>0</v>
      </c>
      <c r="AA559" s="3">
        <v>0</v>
      </c>
      <c r="AB559" s="3">
        <v>0</v>
      </c>
      <c r="AC559" s="3">
        <v>0</v>
      </c>
    </row>
    <row r="560" spans="2:29" x14ac:dyDescent="0.2">
      <c r="B560" s="3" t="s">
        <v>1133</v>
      </c>
      <c r="C560" s="3" t="s">
        <v>1134</v>
      </c>
      <c r="D560" s="8">
        <v>42720</v>
      </c>
      <c r="E560" s="3">
        <v>1450</v>
      </c>
      <c r="F560" s="3" t="s">
        <v>25</v>
      </c>
      <c r="G560" s="3" t="s">
        <v>26</v>
      </c>
      <c r="H560" s="3">
        <v>534.20000000000005</v>
      </c>
      <c r="I560" s="3">
        <v>538.15</v>
      </c>
      <c r="J560" s="3">
        <v>542.1</v>
      </c>
      <c r="K560" s="3">
        <v>63.2</v>
      </c>
      <c r="L560" s="3">
        <v>66.25</v>
      </c>
      <c r="M560" s="3">
        <v>69.3</v>
      </c>
      <c r="N560" s="3">
        <v>1</v>
      </c>
      <c r="O560" s="3">
        <v>8.2026809420993659E-3</v>
      </c>
      <c r="P560" s="3">
        <v>2.0452797731370063E-2</v>
      </c>
      <c r="Q560" s="3">
        <v>0.23934195024017707</v>
      </c>
      <c r="R560" s="3">
        <v>539.02306771971598</v>
      </c>
      <c r="S560" s="3">
        <v>66.354005128074618</v>
      </c>
      <c r="U560" s="3">
        <v>61.259025519383727</v>
      </c>
      <c r="V560" s="3">
        <v>-5.0949796086908918</v>
      </c>
      <c r="X560" s="3">
        <v>0</v>
      </c>
      <c r="Y560" s="3">
        <v>0</v>
      </c>
      <c r="AA560" s="3">
        <v>0</v>
      </c>
      <c r="AB560" s="3">
        <v>0</v>
      </c>
      <c r="AC560" s="3">
        <v>0</v>
      </c>
    </row>
    <row r="561" spans="2:29" x14ac:dyDescent="0.2">
      <c r="B561" s="3" t="s">
        <v>1135</v>
      </c>
      <c r="C561" s="3" t="s">
        <v>1136</v>
      </c>
      <c r="D561" s="8">
        <v>42720</v>
      </c>
      <c r="E561" s="3">
        <v>1475</v>
      </c>
      <c r="F561" s="3" t="s">
        <v>25</v>
      </c>
      <c r="G561" s="3" t="s">
        <v>26</v>
      </c>
      <c r="H561" s="3">
        <v>514.1</v>
      </c>
      <c r="I561" s="3">
        <v>519.04999999999995</v>
      </c>
      <c r="J561" s="3">
        <v>524</v>
      </c>
      <c r="K561" s="3">
        <v>67.599999999999994</v>
      </c>
      <c r="L561" s="3">
        <v>70.349999999999994</v>
      </c>
      <c r="M561" s="3">
        <v>73.099999999999994</v>
      </c>
      <c r="N561" s="3">
        <v>1</v>
      </c>
      <c r="O561" s="3">
        <v>8.2026809420993659E-3</v>
      </c>
      <c r="P561" s="3">
        <v>2.0452797731370063E-2</v>
      </c>
      <c r="Q561" s="3">
        <v>0.23609863644686865</v>
      </c>
      <c r="R561" s="3">
        <v>518.75176747743808</v>
      </c>
      <c r="S561" s="3">
        <v>70.647914576514552</v>
      </c>
      <c r="U561" s="3">
        <v>65.361930368965545</v>
      </c>
      <c r="V561" s="3">
        <v>-5.2859842075490064</v>
      </c>
      <c r="X561" s="3">
        <v>0</v>
      </c>
      <c r="Y561" s="3">
        <v>0</v>
      </c>
      <c r="AA561" s="3">
        <v>0</v>
      </c>
      <c r="AB561" s="3">
        <v>0</v>
      </c>
      <c r="AC561" s="3">
        <v>0</v>
      </c>
    </row>
    <row r="562" spans="2:29" x14ac:dyDescent="0.2">
      <c r="B562" s="3" t="s">
        <v>1137</v>
      </c>
      <c r="C562" s="3" t="s">
        <v>1138</v>
      </c>
      <c r="D562" s="8">
        <v>42720</v>
      </c>
      <c r="E562" s="3">
        <v>1500</v>
      </c>
      <c r="F562" s="3" t="s">
        <v>25</v>
      </c>
      <c r="G562" s="3" t="s">
        <v>26</v>
      </c>
      <c r="H562" s="3">
        <v>494.2</v>
      </c>
      <c r="I562" s="3">
        <v>499.8</v>
      </c>
      <c r="J562" s="3">
        <v>505.4</v>
      </c>
      <c r="K562" s="3">
        <v>72.3</v>
      </c>
      <c r="L562" s="3">
        <v>75.45</v>
      </c>
      <c r="M562" s="3">
        <v>78.599999999999994</v>
      </c>
      <c r="N562" s="3">
        <v>1</v>
      </c>
      <c r="O562" s="3">
        <v>8.2026809420993659E-3</v>
      </c>
      <c r="P562" s="3">
        <v>2.0452797731370063E-2</v>
      </c>
      <c r="Q562" s="3">
        <v>0.2329407351730487</v>
      </c>
      <c r="R562" s="3">
        <v>498.74769055610864</v>
      </c>
      <c r="S562" s="3">
        <v>75.209047345902832</v>
      </c>
      <c r="U562" s="3">
        <v>70.107226069706655</v>
      </c>
      <c r="V562" s="3">
        <v>-5.1018212761961763</v>
      </c>
      <c r="X562" s="3">
        <v>0</v>
      </c>
      <c r="Y562" s="3">
        <v>0</v>
      </c>
      <c r="AA562" s="3">
        <v>0</v>
      </c>
      <c r="AB562" s="3">
        <v>0</v>
      </c>
      <c r="AC562" s="3">
        <v>0</v>
      </c>
    </row>
    <row r="563" spans="2:29" x14ac:dyDescent="0.2">
      <c r="B563" s="3" t="s">
        <v>1139</v>
      </c>
      <c r="C563" s="3" t="s">
        <v>1140</v>
      </c>
      <c r="D563" s="8">
        <v>42720</v>
      </c>
      <c r="E563" s="3">
        <v>1525</v>
      </c>
      <c r="F563" s="3" t="s">
        <v>25</v>
      </c>
      <c r="G563" s="3" t="s">
        <v>26</v>
      </c>
      <c r="H563" s="3">
        <v>474.6</v>
      </c>
      <c r="I563" s="3">
        <v>478.5</v>
      </c>
      <c r="J563" s="3">
        <v>482.4</v>
      </c>
      <c r="K563" s="3">
        <v>77.3</v>
      </c>
      <c r="L563" s="3">
        <v>80.45</v>
      </c>
      <c r="M563" s="3">
        <v>83.6</v>
      </c>
      <c r="N563" s="3">
        <v>1</v>
      </c>
      <c r="O563" s="3">
        <v>8.2026809420993659E-3</v>
      </c>
      <c r="P563" s="3">
        <v>2.0452797731370063E-2</v>
      </c>
      <c r="Q563" s="3">
        <v>0.22978283389922877</v>
      </c>
      <c r="R563" s="3">
        <v>478.9614176552177</v>
      </c>
      <c r="S563" s="3">
        <v>79.987984135730017</v>
      </c>
      <c r="U563" s="3">
        <v>75.576994892643654</v>
      </c>
      <c r="V563" s="3">
        <v>-4.4109892430863624</v>
      </c>
      <c r="X563" s="3">
        <v>0</v>
      </c>
      <c r="Y563" s="3">
        <v>0</v>
      </c>
      <c r="AA563" s="3">
        <v>0</v>
      </c>
      <c r="AB563" s="3">
        <v>0</v>
      </c>
      <c r="AC563" s="3">
        <v>0</v>
      </c>
    </row>
    <row r="564" spans="2:29" x14ac:dyDescent="0.2">
      <c r="B564" s="3" t="s">
        <v>1141</v>
      </c>
      <c r="C564" s="3" t="s">
        <v>1142</v>
      </c>
      <c r="D564" s="8">
        <v>42720</v>
      </c>
      <c r="E564" s="3">
        <v>1550</v>
      </c>
      <c r="F564" s="3" t="s">
        <v>25</v>
      </c>
      <c r="G564" s="3" t="s">
        <v>26</v>
      </c>
      <c r="H564" s="3">
        <v>455.3</v>
      </c>
      <c r="I564" s="3">
        <v>460.85</v>
      </c>
      <c r="J564" s="3">
        <v>466.4</v>
      </c>
      <c r="K564" s="3">
        <v>82.4</v>
      </c>
      <c r="L564" s="3">
        <v>85.6</v>
      </c>
      <c r="M564" s="3">
        <v>88.8</v>
      </c>
      <c r="N564" s="3">
        <v>1</v>
      </c>
      <c r="O564" s="3">
        <v>8.2026809420993659E-3</v>
      </c>
      <c r="P564" s="3">
        <v>2.0452797731370063E-2</v>
      </c>
      <c r="Q564" s="3">
        <v>0.22683648460851644</v>
      </c>
      <c r="R564" s="3">
        <v>459.56780098034187</v>
      </c>
      <c r="S564" s="3">
        <v>85.159577151572194</v>
      </c>
      <c r="U564" s="3">
        <v>80.551937614875101</v>
      </c>
      <c r="V564" s="3">
        <v>-4.6076395366970928</v>
      </c>
      <c r="X564" s="3">
        <v>0</v>
      </c>
      <c r="Y564" s="3">
        <v>0</v>
      </c>
      <c r="AA564" s="3">
        <v>0</v>
      </c>
      <c r="AB564" s="3">
        <v>0</v>
      </c>
      <c r="AC564" s="3">
        <v>0</v>
      </c>
    </row>
    <row r="565" spans="2:29" x14ac:dyDescent="0.2">
      <c r="B565" s="3" t="s">
        <v>1143</v>
      </c>
      <c r="C565" s="3" t="s">
        <v>1144</v>
      </c>
      <c r="D565" s="8">
        <v>42720</v>
      </c>
      <c r="E565" s="3">
        <v>1575</v>
      </c>
      <c r="F565" s="3" t="s">
        <v>25</v>
      </c>
      <c r="G565" s="3" t="s">
        <v>26</v>
      </c>
      <c r="H565" s="3">
        <v>436.1</v>
      </c>
      <c r="I565" s="3">
        <v>440</v>
      </c>
      <c r="J565" s="3">
        <v>443.9</v>
      </c>
      <c r="K565" s="3">
        <v>87.8</v>
      </c>
      <c r="L565" s="3">
        <v>91</v>
      </c>
      <c r="M565" s="3">
        <v>94.2</v>
      </c>
      <c r="N565" s="3">
        <v>1</v>
      </c>
      <c r="O565" s="3">
        <v>8.2026809420993659E-3</v>
      </c>
      <c r="P565" s="3">
        <v>2.0452797731370063E-2</v>
      </c>
      <c r="Q565" s="3">
        <v>0.22389013531780411</v>
      </c>
      <c r="R565" s="3">
        <v>440.42132774421952</v>
      </c>
      <c r="S565" s="3">
        <v>90.57831360616774</v>
      </c>
      <c r="U565" s="3">
        <v>86.294640985954061</v>
      </c>
      <c r="V565" s="3">
        <v>-4.2836726202136788</v>
      </c>
      <c r="X565" s="3">
        <v>0</v>
      </c>
      <c r="Y565" s="3">
        <v>0</v>
      </c>
      <c r="AA565" s="3">
        <v>0</v>
      </c>
      <c r="AB565" s="3">
        <v>0</v>
      </c>
      <c r="AC565" s="3">
        <v>0</v>
      </c>
    </row>
    <row r="566" spans="2:29" x14ac:dyDescent="0.2">
      <c r="B566" s="3" t="s">
        <v>1145</v>
      </c>
      <c r="C566" s="3" t="s">
        <v>1146</v>
      </c>
      <c r="D566" s="8">
        <v>42720</v>
      </c>
      <c r="E566" s="3">
        <v>1600</v>
      </c>
      <c r="F566" s="3" t="s">
        <v>25</v>
      </c>
      <c r="G566" s="3" t="s">
        <v>26</v>
      </c>
      <c r="H566" s="3">
        <v>417.3</v>
      </c>
      <c r="I566" s="3">
        <v>421.2</v>
      </c>
      <c r="J566" s="3">
        <v>425.1</v>
      </c>
      <c r="K566" s="3">
        <v>93.4</v>
      </c>
      <c r="L566" s="3">
        <v>96.65</v>
      </c>
      <c r="M566" s="3">
        <v>99.9</v>
      </c>
      <c r="N566" s="3">
        <v>1</v>
      </c>
      <c r="O566" s="3">
        <v>8.2026809420993659E-3</v>
      </c>
      <c r="P566" s="3">
        <v>2.0452797731370063E-2</v>
      </c>
      <c r="Q566" s="3">
        <v>0.22098240200441793</v>
      </c>
      <c r="R566" s="3">
        <v>421.56378911129787</v>
      </c>
      <c r="S566" s="3">
        <v>96.285984663963973</v>
      </c>
      <c r="U566" s="3">
        <v>92.180783325907953</v>
      </c>
      <c r="V566" s="3">
        <v>-4.1052013380560197</v>
      </c>
      <c r="X566" s="3">
        <v>0</v>
      </c>
      <c r="Y566" s="3">
        <v>0</v>
      </c>
      <c r="AA566" s="3">
        <v>0</v>
      </c>
      <c r="AB566" s="3">
        <v>0</v>
      </c>
      <c r="AC566" s="3">
        <v>0</v>
      </c>
    </row>
    <row r="567" spans="2:29" x14ac:dyDescent="0.2">
      <c r="B567" s="3" t="s">
        <v>1147</v>
      </c>
      <c r="C567" s="3" t="s">
        <v>1148</v>
      </c>
      <c r="D567" s="8">
        <v>42720</v>
      </c>
      <c r="E567" s="3">
        <v>1625</v>
      </c>
      <c r="F567" s="3" t="s">
        <v>25</v>
      </c>
      <c r="G567" s="3" t="s">
        <v>26</v>
      </c>
      <c r="H567" s="3">
        <v>398.7</v>
      </c>
      <c r="I567" s="3">
        <v>404.25</v>
      </c>
      <c r="J567" s="3">
        <v>409.8</v>
      </c>
      <c r="K567" s="3">
        <v>99.3</v>
      </c>
      <c r="L567" s="3">
        <v>102.6</v>
      </c>
      <c r="M567" s="3">
        <v>105.9</v>
      </c>
      <c r="N567" s="3">
        <v>1</v>
      </c>
      <c r="O567" s="3">
        <v>8.2026809420993659E-3</v>
      </c>
      <c r="P567" s="3">
        <v>2.0452797731370063E-2</v>
      </c>
      <c r="Q567" s="3">
        <v>0.21900620785262004</v>
      </c>
      <c r="R567" s="3">
        <v>403.7819106144857</v>
      </c>
      <c r="S567" s="3">
        <v>103.0693158578697</v>
      </c>
      <c r="U567" s="3">
        <v>98.209649741916564</v>
      </c>
      <c r="V567" s="3">
        <v>-4.8596661159531322</v>
      </c>
      <c r="X567" s="3">
        <v>0</v>
      </c>
      <c r="Y567" s="3">
        <v>0</v>
      </c>
      <c r="AA567" s="3">
        <v>0</v>
      </c>
      <c r="AB567" s="3">
        <v>0</v>
      </c>
      <c r="AC567" s="3">
        <v>0</v>
      </c>
    </row>
    <row r="568" spans="2:29" x14ac:dyDescent="0.2">
      <c r="B568" s="3" t="s">
        <v>1149</v>
      </c>
      <c r="C568" s="3" t="s">
        <v>1150</v>
      </c>
      <c r="D568" s="8">
        <v>42720</v>
      </c>
      <c r="E568" s="3">
        <v>1650</v>
      </c>
      <c r="F568" s="3" t="s">
        <v>25</v>
      </c>
      <c r="G568" s="3" t="s">
        <v>26</v>
      </c>
      <c r="H568" s="3">
        <v>380.4</v>
      </c>
      <c r="I568" s="3">
        <v>384.3</v>
      </c>
      <c r="J568" s="3">
        <v>388.2</v>
      </c>
      <c r="K568" s="3">
        <v>105.6</v>
      </c>
      <c r="L568" s="3">
        <v>109.15</v>
      </c>
      <c r="M568" s="3">
        <v>112.7</v>
      </c>
      <c r="N568" s="3">
        <v>1</v>
      </c>
      <c r="O568" s="3">
        <v>8.2026809420993659E-3</v>
      </c>
      <c r="P568" s="3">
        <v>2.0452797731370063E-2</v>
      </c>
      <c r="Q568" s="3">
        <v>0.21531789039548335</v>
      </c>
      <c r="R568" s="3">
        <v>384.7983025924525</v>
      </c>
      <c r="S568" s="3">
        <v>108.65091752655462</v>
      </c>
      <c r="U568" s="3">
        <v>104.38330126182234</v>
      </c>
      <c r="V568" s="3">
        <v>-4.2676162647322826</v>
      </c>
      <c r="X568" s="3">
        <v>0</v>
      </c>
      <c r="Y568" s="3">
        <v>0</v>
      </c>
      <c r="AA568" s="3">
        <v>0</v>
      </c>
      <c r="AB568" s="3">
        <v>0</v>
      </c>
      <c r="AC568" s="3">
        <v>0</v>
      </c>
    </row>
    <row r="569" spans="2:29" x14ac:dyDescent="0.2">
      <c r="B569" s="3" t="s">
        <v>1151</v>
      </c>
      <c r="C569" s="3" t="s">
        <v>1152</v>
      </c>
      <c r="D569" s="8">
        <v>42720</v>
      </c>
      <c r="E569" s="3">
        <v>1675</v>
      </c>
      <c r="F569" s="3" t="s">
        <v>25</v>
      </c>
      <c r="G569" s="3" t="s">
        <v>26</v>
      </c>
      <c r="H569" s="3">
        <v>362.4</v>
      </c>
      <c r="I569" s="3">
        <v>366.3</v>
      </c>
      <c r="J569" s="3">
        <v>370.2</v>
      </c>
      <c r="K569" s="3">
        <v>112.1</v>
      </c>
      <c r="L569" s="3">
        <v>115.75</v>
      </c>
      <c r="M569" s="3">
        <v>119.4</v>
      </c>
      <c r="N569" s="3">
        <v>1</v>
      </c>
      <c r="O569" s="3">
        <v>8.2026809420993659E-3</v>
      </c>
      <c r="P569" s="3">
        <v>2.0452797731370063E-2</v>
      </c>
      <c r="Q569" s="3">
        <v>0.21244936855909941</v>
      </c>
      <c r="R569" s="3">
        <v>366.81591365974532</v>
      </c>
      <c r="S569" s="3">
        <v>115.23373828456533</v>
      </c>
      <c r="U569" s="3">
        <v>111.46591293108946</v>
      </c>
      <c r="V569" s="3">
        <v>-3.767825353475871</v>
      </c>
      <c r="X569" s="3">
        <v>0</v>
      </c>
      <c r="Y569" s="3">
        <v>0</v>
      </c>
      <c r="AA569" s="3">
        <v>0</v>
      </c>
      <c r="AB569" s="3">
        <v>0</v>
      </c>
      <c r="AC569" s="3">
        <v>0</v>
      </c>
    </row>
    <row r="570" spans="2:29" x14ac:dyDescent="0.2">
      <c r="B570" s="3" t="s">
        <v>1153</v>
      </c>
      <c r="C570" s="3" t="s">
        <v>1154</v>
      </c>
      <c r="D570" s="8">
        <v>42720</v>
      </c>
      <c r="E570" s="3">
        <v>1700</v>
      </c>
      <c r="F570" s="3" t="s">
        <v>25</v>
      </c>
      <c r="G570" s="3" t="s">
        <v>26</v>
      </c>
      <c r="H570" s="3">
        <v>344.8</v>
      </c>
      <c r="I570" s="3">
        <v>348.65</v>
      </c>
      <c r="J570" s="3">
        <v>352.5</v>
      </c>
      <c r="K570" s="3">
        <v>118.9</v>
      </c>
      <c r="L570" s="3">
        <v>122.65</v>
      </c>
      <c r="M570" s="3">
        <v>126.4</v>
      </c>
      <c r="N570" s="3">
        <v>1</v>
      </c>
      <c r="O570" s="3">
        <v>8.2026809420993659E-3</v>
      </c>
      <c r="P570" s="3">
        <v>2.0452797731370063E-2</v>
      </c>
      <c r="Q570" s="3">
        <v>0.20960584589453218</v>
      </c>
      <c r="R570" s="3">
        <v>349.15838817183112</v>
      </c>
      <c r="S570" s="3">
        <v>122.14142248736903</v>
      </c>
      <c r="U570" s="3">
        <v>118.73998191060872</v>
      </c>
      <c r="V570" s="3">
        <v>-3.401440576760308</v>
      </c>
      <c r="X570" s="3">
        <v>0</v>
      </c>
      <c r="Y570" s="3">
        <v>0</v>
      </c>
      <c r="AA570" s="3">
        <v>0</v>
      </c>
      <c r="AB570" s="3">
        <v>0</v>
      </c>
      <c r="AC570" s="3">
        <v>0</v>
      </c>
    </row>
    <row r="571" spans="2:29" x14ac:dyDescent="0.2">
      <c r="B571" s="3" t="s">
        <v>1155</v>
      </c>
      <c r="C571" s="3" t="s">
        <v>1156</v>
      </c>
      <c r="D571" s="8">
        <v>42720</v>
      </c>
      <c r="E571" s="3">
        <v>1725</v>
      </c>
      <c r="F571" s="3" t="s">
        <v>25</v>
      </c>
      <c r="G571" s="3" t="s">
        <v>26</v>
      </c>
      <c r="H571" s="3">
        <v>327.5</v>
      </c>
      <c r="I571" s="3">
        <v>331.35</v>
      </c>
      <c r="J571" s="3">
        <v>335.2</v>
      </c>
      <c r="K571" s="3">
        <v>126.1</v>
      </c>
      <c r="L571" s="3">
        <v>129.9</v>
      </c>
      <c r="M571" s="3">
        <v>133.69999999999999</v>
      </c>
      <c r="N571" s="3">
        <v>1</v>
      </c>
      <c r="O571" s="3">
        <v>8.2026809420993659E-3</v>
      </c>
      <c r="P571" s="3">
        <v>2.0452797731370063E-2</v>
      </c>
      <c r="Q571" s="3">
        <v>0.20680008013882364</v>
      </c>
      <c r="R571" s="3">
        <v>331.8508052124082</v>
      </c>
      <c r="S571" s="3">
        <v>129.39904921866446</v>
      </c>
      <c r="U571" s="3">
        <v>126.21114478007138</v>
      </c>
      <c r="V571" s="3">
        <v>-3.1879044385930797</v>
      </c>
      <c r="X571" s="3">
        <v>0</v>
      </c>
      <c r="Y571" s="3">
        <v>0</v>
      </c>
      <c r="AA571" s="3">
        <v>0</v>
      </c>
      <c r="AB571" s="3">
        <v>0</v>
      </c>
      <c r="AC571" s="3">
        <v>0</v>
      </c>
    </row>
    <row r="572" spans="2:29" x14ac:dyDescent="0.2">
      <c r="B572" s="3" t="s">
        <v>1157</v>
      </c>
      <c r="C572" s="3" t="s">
        <v>1158</v>
      </c>
      <c r="D572" s="8">
        <v>42720</v>
      </c>
      <c r="E572" s="3">
        <v>1750</v>
      </c>
      <c r="F572" s="3" t="s">
        <v>25</v>
      </c>
      <c r="G572" s="3" t="s">
        <v>26</v>
      </c>
      <c r="H572" s="3">
        <v>310.5</v>
      </c>
      <c r="I572" s="3">
        <v>314.45</v>
      </c>
      <c r="J572" s="3">
        <v>318.39999999999998</v>
      </c>
      <c r="K572" s="3">
        <v>133.69999999999999</v>
      </c>
      <c r="L572" s="3">
        <v>137.55000000000001</v>
      </c>
      <c r="M572" s="3">
        <v>141.4</v>
      </c>
      <c r="N572" s="3">
        <v>1</v>
      </c>
      <c r="O572" s="3">
        <v>8.2026809420993659E-3</v>
      </c>
      <c r="P572" s="3">
        <v>2.0452797731370063E-2</v>
      </c>
      <c r="Q572" s="3">
        <v>0.20406900893852312</v>
      </c>
      <c r="R572" s="3">
        <v>314.94340920054117</v>
      </c>
      <c r="S572" s="3">
        <v>137.05686289751509</v>
      </c>
      <c r="U572" s="3">
        <v>133.8874922245837</v>
      </c>
      <c r="V572" s="3">
        <v>-3.1693706729313931</v>
      </c>
      <c r="X572" s="3">
        <v>0</v>
      </c>
      <c r="Y572" s="3">
        <v>0</v>
      </c>
      <c r="AA572" s="3">
        <v>0</v>
      </c>
      <c r="AB572" s="3">
        <v>0</v>
      </c>
      <c r="AC572" s="3">
        <v>0</v>
      </c>
    </row>
    <row r="573" spans="2:29" x14ac:dyDescent="0.2">
      <c r="B573" s="3" t="s">
        <v>1159</v>
      </c>
      <c r="C573" s="3" t="s">
        <v>1160</v>
      </c>
      <c r="D573" s="8">
        <v>42720</v>
      </c>
      <c r="E573" s="3">
        <v>1775</v>
      </c>
      <c r="F573" s="3" t="s">
        <v>25</v>
      </c>
      <c r="G573" s="3" t="s">
        <v>26</v>
      </c>
      <c r="H573" s="3">
        <v>293.89999999999998</v>
      </c>
      <c r="I573" s="3">
        <v>299.39999999999998</v>
      </c>
      <c r="J573" s="3">
        <v>304.89999999999998</v>
      </c>
      <c r="K573" s="3">
        <v>141.6</v>
      </c>
      <c r="L573" s="3">
        <v>145.5</v>
      </c>
      <c r="M573" s="3">
        <v>149.4</v>
      </c>
      <c r="N573" s="3">
        <v>1</v>
      </c>
      <c r="O573" s="3">
        <v>8.2026809420993659E-3</v>
      </c>
      <c r="P573" s="3">
        <v>2.0452797731370063E-2</v>
      </c>
      <c r="Q573" s="3">
        <v>0.20206544235085755</v>
      </c>
      <c r="R573" s="3">
        <v>299.11031950218103</v>
      </c>
      <c r="S573" s="3">
        <v>145.78898288987273</v>
      </c>
      <c r="U573" s="3">
        <v>142.59057491154863</v>
      </c>
      <c r="V573" s="3">
        <v>-3.1984079783240986</v>
      </c>
      <c r="X573" s="3">
        <v>0</v>
      </c>
      <c r="Y573" s="3">
        <v>0</v>
      </c>
      <c r="AA573" s="3">
        <v>0</v>
      </c>
      <c r="AB573" s="3">
        <v>0</v>
      </c>
      <c r="AC573" s="3">
        <v>0</v>
      </c>
    </row>
    <row r="574" spans="2:29" x14ac:dyDescent="0.2">
      <c r="B574" s="3" t="s">
        <v>1161</v>
      </c>
      <c r="C574" s="3" t="s">
        <v>1162</v>
      </c>
      <c r="D574" s="8">
        <v>42720</v>
      </c>
      <c r="E574" s="3">
        <v>1800</v>
      </c>
      <c r="F574" s="3" t="s">
        <v>25</v>
      </c>
      <c r="G574" s="3" t="s">
        <v>26</v>
      </c>
      <c r="H574" s="3">
        <v>277.7</v>
      </c>
      <c r="I574" s="3">
        <v>281.5</v>
      </c>
      <c r="J574" s="3">
        <v>285.3</v>
      </c>
      <c r="K574" s="3">
        <v>149.9</v>
      </c>
      <c r="L574" s="3">
        <v>153.80000000000001</v>
      </c>
      <c r="M574" s="3">
        <v>157.69999999999999</v>
      </c>
      <c r="N574" s="3">
        <v>1</v>
      </c>
      <c r="O574" s="3">
        <v>8.2026809420993659E-3</v>
      </c>
      <c r="P574" s="3">
        <v>2.0452797731370063E-2</v>
      </c>
      <c r="Q574" s="3">
        <v>0.19847536042667163</v>
      </c>
      <c r="R574" s="3">
        <v>282.02799139017634</v>
      </c>
      <c r="S574" s="3">
        <v>153.27186446858605</v>
      </c>
      <c r="U574" s="3">
        <v>150.72029762851514</v>
      </c>
      <c r="V574" s="3">
        <v>-2.5515668400709046</v>
      </c>
      <c r="X574" s="3">
        <v>0</v>
      </c>
      <c r="Y574" s="3">
        <v>0</v>
      </c>
      <c r="AA574" s="3">
        <v>0</v>
      </c>
      <c r="AB574" s="3">
        <v>0</v>
      </c>
      <c r="AC574" s="3">
        <v>0</v>
      </c>
    </row>
    <row r="575" spans="2:29" x14ac:dyDescent="0.2">
      <c r="B575" s="3" t="s">
        <v>1163</v>
      </c>
      <c r="C575" s="3" t="s">
        <v>1164</v>
      </c>
      <c r="D575" s="8">
        <v>42720</v>
      </c>
      <c r="E575" s="3">
        <v>1825</v>
      </c>
      <c r="F575" s="3" t="s">
        <v>25</v>
      </c>
      <c r="G575" s="3" t="s">
        <v>26</v>
      </c>
      <c r="H575" s="3">
        <v>261.89999999999998</v>
      </c>
      <c r="I575" s="3">
        <v>265.55</v>
      </c>
      <c r="J575" s="3">
        <v>269.2</v>
      </c>
      <c r="K575" s="3">
        <v>158.5</v>
      </c>
      <c r="L575" s="3">
        <v>162.5</v>
      </c>
      <c r="M575" s="3">
        <v>166.5</v>
      </c>
      <c r="N575" s="3">
        <v>1</v>
      </c>
      <c r="O575" s="3">
        <v>8.2026809420993659E-3</v>
      </c>
      <c r="P575" s="3">
        <v>2.0452797731370063E-2</v>
      </c>
      <c r="Q575" s="3">
        <v>0.19569137088969993</v>
      </c>
      <c r="R575" s="3">
        <v>266.12044114526441</v>
      </c>
      <c r="S575" s="3">
        <v>161.92952391439223</v>
      </c>
      <c r="U575" s="3">
        <v>159.91718862941201</v>
      </c>
      <c r="V575" s="3">
        <v>-2.0123352849802245</v>
      </c>
      <c r="X575" s="3">
        <v>0</v>
      </c>
      <c r="Y575" s="3">
        <v>0</v>
      </c>
      <c r="AA575" s="3">
        <v>0</v>
      </c>
      <c r="AB575" s="3">
        <v>0</v>
      </c>
      <c r="AC575" s="3">
        <v>0</v>
      </c>
    </row>
    <row r="576" spans="2:29" x14ac:dyDescent="0.2">
      <c r="B576" s="3" t="s">
        <v>1165</v>
      </c>
      <c r="C576" s="3" t="s">
        <v>1166</v>
      </c>
      <c r="D576" s="8">
        <v>42720</v>
      </c>
      <c r="E576" s="3">
        <v>1850</v>
      </c>
      <c r="F576" s="3" t="s">
        <v>25</v>
      </c>
      <c r="G576" s="3" t="s">
        <v>26</v>
      </c>
      <c r="H576" s="3">
        <v>246.5</v>
      </c>
      <c r="I576" s="3">
        <v>249.65</v>
      </c>
      <c r="J576" s="3">
        <v>252.8</v>
      </c>
      <c r="K576" s="3">
        <v>167.6</v>
      </c>
      <c r="L576" s="3">
        <v>170.65</v>
      </c>
      <c r="M576" s="3">
        <v>173.7</v>
      </c>
      <c r="N576" s="3">
        <v>1</v>
      </c>
      <c r="O576" s="3">
        <v>8.2026809420993659E-3</v>
      </c>
      <c r="P576" s="3">
        <v>2.0452797731370063E-2</v>
      </c>
      <c r="Q576" s="3">
        <v>0.19231796304431203</v>
      </c>
      <c r="R576" s="3">
        <v>249.96216506427663</v>
      </c>
      <c r="S576" s="3">
        <v>170.33645752412235</v>
      </c>
      <c r="U576" s="3">
        <v>169.38190984322341</v>
      </c>
      <c r="V576" s="3">
        <v>-0.9545476808989406</v>
      </c>
      <c r="X576" s="3">
        <v>0</v>
      </c>
      <c r="Y576" s="3">
        <v>0</v>
      </c>
      <c r="AA576" s="3">
        <v>0</v>
      </c>
      <c r="AB576" s="3">
        <v>0</v>
      </c>
      <c r="AC576" s="3">
        <v>0</v>
      </c>
    </row>
    <row r="577" spans="2:29" x14ac:dyDescent="0.2">
      <c r="B577" s="3" t="s">
        <v>1167</v>
      </c>
      <c r="C577" s="3" t="s">
        <v>1168</v>
      </c>
      <c r="D577" s="8">
        <v>42720</v>
      </c>
      <c r="E577" s="3">
        <v>1875</v>
      </c>
      <c r="F577" s="3" t="s">
        <v>25</v>
      </c>
      <c r="G577" s="3" t="s">
        <v>26</v>
      </c>
      <c r="H577" s="3">
        <v>231.5</v>
      </c>
      <c r="I577" s="3">
        <v>234.35</v>
      </c>
      <c r="J577" s="3">
        <v>237.2</v>
      </c>
      <c r="K577" s="3">
        <v>177.1</v>
      </c>
      <c r="L577" s="3">
        <v>179.85</v>
      </c>
      <c r="M577" s="3">
        <v>182.6</v>
      </c>
      <c r="N577" s="3">
        <v>1</v>
      </c>
      <c r="O577" s="3">
        <v>8.2026809420993659E-3</v>
      </c>
      <c r="P577" s="3">
        <v>2.0452797731370063E-2</v>
      </c>
      <c r="Q577" s="3">
        <v>0.18936907677320297</v>
      </c>
      <c r="R577" s="3">
        <v>234.63033570892355</v>
      </c>
      <c r="S577" s="3">
        <v>179.56983785948705</v>
      </c>
      <c r="U577" s="3">
        <v>179.12804884076778</v>
      </c>
      <c r="V577" s="3">
        <v>-0.44178901871927678</v>
      </c>
      <c r="X577" s="3">
        <v>0</v>
      </c>
      <c r="Y577" s="3">
        <v>0</v>
      </c>
      <c r="AA577" s="3">
        <v>0</v>
      </c>
      <c r="AB577" s="3">
        <v>0</v>
      </c>
      <c r="AC577" s="3">
        <v>0</v>
      </c>
    </row>
    <row r="578" spans="2:29" x14ac:dyDescent="0.2">
      <c r="B578" s="3" t="s">
        <v>1169</v>
      </c>
      <c r="C578" s="3" t="s">
        <v>1170</v>
      </c>
      <c r="D578" s="8">
        <v>42720</v>
      </c>
      <c r="E578" s="3">
        <v>1900</v>
      </c>
      <c r="F578" s="3" t="s">
        <v>25</v>
      </c>
      <c r="G578" s="3" t="s">
        <v>26</v>
      </c>
      <c r="H578" s="3">
        <v>216.9</v>
      </c>
      <c r="I578" s="3">
        <v>219.7</v>
      </c>
      <c r="J578" s="3">
        <v>222.5</v>
      </c>
      <c r="K578" s="3">
        <v>187</v>
      </c>
      <c r="L578" s="3">
        <v>189.75</v>
      </c>
      <c r="M578" s="3">
        <v>192.5</v>
      </c>
      <c r="N578" s="3">
        <v>1</v>
      </c>
      <c r="O578" s="3">
        <v>8.2026809420993659E-3</v>
      </c>
      <c r="P578" s="3">
        <v>2.0452797731370063E-2</v>
      </c>
      <c r="Q578" s="3">
        <v>0.18667587957722787</v>
      </c>
      <c r="R578" s="3">
        <v>219.97271317506261</v>
      </c>
      <c r="S578" s="3">
        <v>189.47742501634423</v>
      </c>
      <c r="U578" s="3">
        <v>189.997987831176</v>
      </c>
      <c r="V578" s="3">
        <v>0.52056281483177713</v>
      </c>
      <c r="X578" s="3">
        <v>0</v>
      </c>
      <c r="Y578" s="3">
        <v>0</v>
      </c>
      <c r="AA578" s="3">
        <v>0</v>
      </c>
      <c r="AB578" s="3">
        <v>0</v>
      </c>
      <c r="AC578" s="3">
        <v>0</v>
      </c>
    </row>
    <row r="579" spans="2:29" x14ac:dyDescent="0.2">
      <c r="B579" s="3" t="s">
        <v>1171</v>
      </c>
      <c r="C579" s="3" t="s">
        <v>1172</v>
      </c>
      <c r="D579" s="8">
        <v>42720</v>
      </c>
      <c r="E579" s="3">
        <v>1925</v>
      </c>
      <c r="F579" s="3" t="s">
        <v>25</v>
      </c>
      <c r="G579" s="3" t="s">
        <v>26</v>
      </c>
      <c r="H579" s="3">
        <v>202.8</v>
      </c>
      <c r="I579" s="3">
        <v>205.55</v>
      </c>
      <c r="J579" s="3">
        <v>208.3</v>
      </c>
      <c r="K579" s="3">
        <v>197.4</v>
      </c>
      <c r="L579" s="3">
        <v>200.15</v>
      </c>
      <c r="M579" s="3">
        <v>202.9</v>
      </c>
      <c r="N579" s="3">
        <v>1</v>
      </c>
      <c r="O579" s="3">
        <v>8.2026809420993659E-3</v>
      </c>
      <c r="P579" s="3">
        <v>2.0452797731370063E-2</v>
      </c>
      <c r="Q579" s="3">
        <v>0.1840602774676382</v>
      </c>
      <c r="R579" s="3">
        <v>205.81513721104136</v>
      </c>
      <c r="S579" s="3">
        <v>199.8850587430411</v>
      </c>
      <c r="U579" s="3">
        <v>200.35188307265551</v>
      </c>
      <c r="V579" s="3">
        <v>0.46682432961441123</v>
      </c>
      <c r="X579" s="3">
        <v>0</v>
      </c>
      <c r="Y579" s="3">
        <v>0</v>
      </c>
      <c r="AA579" s="3">
        <v>0</v>
      </c>
      <c r="AB579" s="3">
        <v>0</v>
      </c>
      <c r="AC579" s="3">
        <v>0</v>
      </c>
    </row>
    <row r="580" spans="2:29" x14ac:dyDescent="0.2">
      <c r="B580" s="3" t="s">
        <v>1173</v>
      </c>
      <c r="C580" s="3" t="s">
        <v>1174</v>
      </c>
      <c r="D580" s="8">
        <v>42720</v>
      </c>
      <c r="E580" s="3">
        <v>1950</v>
      </c>
      <c r="F580" s="3" t="s">
        <v>25</v>
      </c>
      <c r="G580" s="3" t="s">
        <v>26</v>
      </c>
      <c r="H580" s="3">
        <v>189.1</v>
      </c>
      <c r="I580" s="3">
        <v>191.75</v>
      </c>
      <c r="J580" s="3">
        <v>194.4</v>
      </c>
      <c r="K580" s="3">
        <v>208.2</v>
      </c>
      <c r="L580" s="3">
        <v>210.95</v>
      </c>
      <c r="M580" s="3">
        <v>213.7</v>
      </c>
      <c r="N580" s="3">
        <v>1</v>
      </c>
      <c r="O580" s="3">
        <v>8.2026809420993659E-3</v>
      </c>
      <c r="P580" s="3">
        <v>2.0452797731370063E-2</v>
      </c>
      <c r="Q580" s="3">
        <v>0.18139653064946851</v>
      </c>
      <c r="R580" s="3">
        <v>192.03258849921804</v>
      </c>
      <c r="S580" s="3">
        <v>210.66771972193567</v>
      </c>
      <c r="U580" s="3">
        <v>211.85373943642679</v>
      </c>
      <c r="V580" s="3">
        <v>1.186019714491124</v>
      </c>
      <c r="X580" s="3">
        <v>0</v>
      </c>
      <c r="Y580" s="3">
        <v>0</v>
      </c>
      <c r="AA580" s="3">
        <v>0</v>
      </c>
      <c r="AB580" s="3">
        <v>0</v>
      </c>
      <c r="AC580" s="3">
        <v>0</v>
      </c>
    </row>
    <row r="581" spans="2:29" x14ac:dyDescent="0.2">
      <c r="B581" s="3" t="s">
        <v>1175</v>
      </c>
      <c r="C581" s="3" t="s">
        <v>1176</v>
      </c>
      <c r="D581" s="8">
        <v>42720</v>
      </c>
      <c r="E581" s="3">
        <v>1975</v>
      </c>
      <c r="F581" s="3" t="s">
        <v>25</v>
      </c>
      <c r="G581" s="3" t="s">
        <v>26</v>
      </c>
      <c r="H581" s="3">
        <v>175.9</v>
      </c>
      <c r="I581" s="3">
        <v>178.55</v>
      </c>
      <c r="J581" s="3">
        <v>181.2</v>
      </c>
      <c r="K581" s="3">
        <v>219.5</v>
      </c>
      <c r="L581" s="3">
        <v>222.3</v>
      </c>
      <c r="M581" s="3">
        <v>225.1</v>
      </c>
      <c r="N581" s="3">
        <v>1</v>
      </c>
      <c r="O581" s="3">
        <v>8.2026809420993659E-3</v>
      </c>
      <c r="P581" s="3">
        <v>2.0452797731370063E-2</v>
      </c>
      <c r="Q581" s="3">
        <v>0.17885562850985179</v>
      </c>
      <c r="R581" s="3">
        <v>178.82485110739583</v>
      </c>
      <c r="S581" s="3">
        <v>222.02519202083124</v>
      </c>
      <c r="U581" s="3">
        <v>223.69029867589225</v>
      </c>
      <c r="V581" s="3">
        <v>1.6651066550610096</v>
      </c>
      <c r="X581" s="3">
        <v>0</v>
      </c>
      <c r="Y581" s="3">
        <v>0</v>
      </c>
      <c r="AA581" s="3">
        <v>0</v>
      </c>
      <c r="AB581" s="3">
        <v>0</v>
      </c>
      <c r="AC581" s="3">
        <v>0</v>
      </c>
    </row>
    <row r="582" spans="2:29" x14ac:dyDescent="0.2">
      <c r="B582" s="3" t="s">
        <v>1177</v>
      </c>
      <c r="C582" s="3" t="s">
        <v>1178</v>
      </c>
      <c r="D582" s="8">
        <v>42720</v>
      </c>
      <c r="E582" s="3">
        <v>2000</v>
      </c>
      <c r="F582" s="3" t="s">
        <v>25</v>
      </c>
      <c r="G582" s="3" t="s">
        <v>26</v>
      </c>
      <c r="H582" s="3">
        <v>162.5</v>
      </c>
      <c r="I582" s="3">
        <v>165.4</v>
      </c>
      <c r="J582" s="3">
        <v>168.3</v>
      </c>
      <c r="K582" s="3">
        <v>230.8</v>
      </c>
      <c r="L582" s="3">
        <v>233.8</v>
      </c>
      <c r="M582" s="3">
        <v>236.8</v>
      </c>
      <c r="N582" s="3">
        <v>1</v>
      </c>
      <c r="O582" s="3">
        <v>8.2026809420993659E-3</v>
      </c>
      <c r="P582" s="3">
        <v>2.0452797731370063E-2</v>
      </c>
      <c r="Q582" s="3">
        <v>0.17599779476675709</v>
      </c>
      <c r="R582" s="3">
        <v>165.71690516142485</v>
      </c>
      <c r="S582" s="3">
        <v>233.48245576557804</v>
      </c>
      <c r="U582" s="3">
        <v>235.87632261739427</v>
      </c>
      <c r="V582" s="3">
        <v>2.3938668518162274</v>
      </c>
      <c r="X582" s="3">
        <v>0</v>
      </c>
      <c r="Y582" s="3">
        <v>0</v>
      </c>
      <c r="AA582" s="3">
        <v>0</v>
      </c>
      <c r="AB582" s="3">
        <v>0</v>
      </c>
      <c r="AC582" s="3">
        <v>0</v>
      </c>
    </row>
    <row r="583" spans="2:29" x14ac:dyDescent="0.2">
      <c r="B583" s="3" t="s">
        <v>1179</v>
      </c>
      <c r="C583" s="3" t="s">
        <v>1180</v>
      </c>
      <c r="D583" s="8">
        <v>42720</v>
      </c>
      <c r="E583" s="3">
        <v>2025</v>
      </c>
      <c r="F583" s="3" t="s">
        <v>25</v>
      </c>
      <c r="G583" s="3" t="s">
        <v>26</v>
      </c>
      <c r="H583" s="3">
        <v>149.6</v>
      </c>
      <c r="I583" s="3">
        <v>152.80000000000001</v>
      </c>
      <c r="J583" s="3">
        <v>156</v>
      </c>
      <c r="K583" s="3">
        <v>239.2</v>
      </c>
      <c r="L583" s="3">
        <v>244.15</v>
      </c>
      <c r="M583" s="3">
        <v>249.1</v>
      </c>
      <c r="N583" s="3">
        <v>1</v>
      </c>
      <c r="O583" s="3">
        <v>8.2026809420993659E-3</v>
      </c>
      <c r="P583" s="3">
        <v>2.0452797731370063E-2</v>
      </c>
      <c r="Q583" s="3">
        <v>0.17245099576954359</v>
      </c>
      <c r="R583" s="3">
        <v>152.30960457566232</v>
      </c>
      <c r="S583" s="3">
        <v>244.64036487053386</v>
      </c>
      <c r="U583" s="3">
        <v>248.42756838953844</v>
      </c>
      <c r="V583" s="3">
        <v>3.7872035190045779</v>
      </c>
      <c r="X583" s="3">
        <v>0</v>
      </c>
      <c r="Y583" s="3">
        <v>0</v>
      </c>
      <c r="AA583" s="3">
        <v>0</v>
      </c>
      <c r="AB583" s="3">
        <v>0</v>
      </c>
      <c r="AC583" s="3">
        <v>0</v>
      </c>
    </row>
    <row r="584" spans="2:29" x14ac:dyDescent="0.2">
      <c r="B584" s="3" t="s">
        <v>1181</v>
      </c>
      <c r="C584" s="3" t="s">
        <v>1182</v>
      </c>
      <c r="D584" s="8">
        <v>42720</v>
      </c>
      <c r="E584" s="3">
        <v>2050</v>
      </c>
      <c r="F584" s="3" t="s">
        <v>25</v>
      </c>
      <c r="G584" s="3" t="s">
        <v>26</v>
      </c>
      <c r="H584" s="3">
        <v>137.69999999999999</v>
      </c>
      <c r="I584" s="3">
        <v>140.94999999999999</v>
      </c>
      <c r="J584" s="3">
        <v>144.19999999999999</v>
      </c>
      <c r="K584" s="3">
        <v>252.1</v>
      </c>
      <c r="L584" s="3">
        <v>256.95</v>
      </c>
      <c r="M584" s="3">
        <v>261.8</v>
      </c>
      <c r="N584" s="3">
        <v>1</v>
      </c>
      <c r="O584" s="3">
        <v>8.2026809420993659E-3</v>
      </c>
      <c r="P584" s="3">
        <v>2.0452797731370063E-2</v>
      </c>
      <c r="Q584" s="3">
        <v>0.16992065128472911</v>
      </c>
      <c r="R584" s="3">
        <v>140.50192362986309</v>
      </c>
      <c r="S584" s="3">
        <v>257.3978936154524</v>
      </c>
      <c r="U584" s="3">
        <v>261.36061286591712</v>
      </c>
      <c r="V584" s="3">
        <v>3.9627192504647155</v>
      </c>
      <c r="X584" s="3">
        <v>0</v>
      </c>
      <c r="Y584" s="3">
        <v>0</v>
      </c>
      <c r="AA584" s="3">
        <v>0</v>
      </c>
      <c r="AB584" s="3">
        <v>0</v>
      </c>
      <c r="AC584" s="3">
        <v>0</v>
      </c>
    </row>
    <row r="585" spans="2:29" x14ac:dyDescent="0.2">
      <c r="B585" s="3" t="s">
        <v>1183</v>
      </c>
      <c r="C585" s="3" t="s">
        <v>1184</v>
      </c>
      <c r="D585" s="8">
        <v>42720</v>
      </c>
      <c r="E585" s="3">
        <v>2075</v>
      </c>
      <c r="F585" s="3" t="s">
        <v>25</v>
      </c>
      <c r="G585" s="3" t="s">
        <v>26</v>
      </c>
      <c r="H585" s="3">
        <v>126.5</v>
      </c>
      <c r="I585" s="3">
        <v>129.65</v>
      </c>
      <c r="J585" s="3">
        <v>132.80000000000001</v>
      </c>
      <c r="K585" s="3">
        <v>265.2</v>
      </c>
      <c r="L585" s="3">
        <v>270.14999999999998</v>
      </c>
      <c r="M585" s="3">
        <v>275.10000000000002</v>
      </c>
      <c r="N585" s="3">
        <v>1</v>
      </c>
      <c r="O585" s="3">
        <v>8.2026809420993659E-3</v>
      </c>
      <c r="P585" s="3">
        <v>2.0452797731370063E-2</v>
      </c>
      <c r="Q585" s="3">
        <v>0.1673820819069613</v>
      </c>
      <c r="R585" s="3">
        <v>129.16869379578679</v>
      </c>
      <c r="S585" s="3">
        <v>270.62987347209378</v>
      </c>
      <c r="U585" s="3">
        <v>275.44473145766301</v>
      </c>
      <c r="V585" s="3">
        <v>4.8148579855692333</v>
      </c>
      <c r="X585" s="3">
        <v>0</v>
      </c>
      <c r="Y585" s="3">
        <v>0</v>
      </c>
      <c r="AA585" s="3">
        <v>0</v>
      </c>
      <c r="AB585" s="3">
        <v>0</v>
      </c>
      <c r="AC585" s="3">
        <v>0</v>
      </c>
    </row>
    <row r="586" spans="2:29" x14ac:dyDescent="0.2">
      <c r="B586" s="3" t="s">
        <v>1185</v>
      </c>
      <c r="C586" s="3" t="s">
        <v>1186</v>
      </c>
      <c r="D586" s="8">
        <v>42720</v>
      </c>
      <c r="E586" s="3">
        <v>2100</v>
      </c>
      <c r="F586" s="3" t="s">
        <v>25</v>
      </c>
      <c r="G586" s="3" t="s">
        <v>26</v>
      </c>
      <c r="H586" s="3">
        <v>115.9</v>
      </c>
      <c r="I586" s="3">
        <v>118.95</v>
      </c>
      <c r="J586" s="3">
        <v>122</v>
      </c>
      <c r="K586" s="3">
        <v>279.2</v>
      </c>
      <c r="L586" s="3">
        <v>284.05</v>
      </c>
      <c r="M586" s="3">
        <v>288.89999999999998</v>
      </c>
      <c r="N586" s="3">
        <v>1</v>
      </c>
      <c r="O586" s="3">
        <v>8.2026809420993659E-3</v>
      </c>
      <c r="P586" s="3">
        <v>2.0452797731370063E-2</v>
      </c>
      <c r="Q586" s="3">
        <v>0.16499118050990258</v>
      </c>
      <c r="R586" s="3">
        <v>118.48674138515071</v>
      </c>
      <c r="S586" s="3">
        <v>284.51313075217604</v>
      </c>
      <c r="U586" s="3">
        <v>289.17335939368189</v>
      </c>
      <c r="V586" s="3">
        <v>4.6602286415058529</v>
      </c>
      <c r="X586" s="3">
        <v>0</v>
      </c>
      <c r="Y586" s="3">
        <v>0</v>
      </c>
      <c r="AA586" s="3">
        <v>0</v>
      </c>
      <c r="AB586" s="3">
        <v>0</v>
      </c>
      <c r="AC586" s="3">
        <v>0</v>
      </c>
    </row>
    <row r="587" spans="2:29" x14ac:dyDescent="0.2">
      <c r="B587" s="3" t="s">
        <v>1187</v>
      </c>
      <c r="C587" s="3" t="s">
        <v>1188</v>
      </c>
      <c r="D587" s="8">
        <v>42720</v>
      </c>
      <c r="E587" s="3">
        <v>2125</v>
      </c>
      <c r="F587" s="3" t="s">
        <v>25</v>
      </c>
      <c r="G587" s="3" t="s">
        <v>26</v>
      </c>
      <c r="H587" s="3">
        <v>105.8</v>
      </c>
      <c r="I587" s="3">
        <v>108.7</v>
      </c>
      <c r="J587" s="3">
        <v>111.6</v>
      </c>
      <c r="K587" s="3">
        <v>296.10000000000002</v>
      </c>
      <c r="L587" s="3">
        <v>299.64999999999998</v>
      </c>
      <c r="M587" s="3">
        <v>303.2</v>
      </c>
      <c r="N587" s="3">
        <v>1</v>
      </c>
      <c r="O587" s="3">
        <v>8.2026809420993659E-3</v>
      </c>
      <c r="P587" s="3">
        <v>2.0452797731370063E-2</v>
      </c>
      <c r="Q587" s="3">
        <v>0.16314502795277142</v>
      </c>
      <c r="R587" s="3">
        <v>108.87918912246573</v>
      </c>
      <c r="S587" s="3">
        <v>299.47078818020873</v>
      </c>
      <c r="U587" s="3">
        <v>304.04471797245333</v>
      </c>
      <c r="V587" s="3">
        <v>4.5739297922445985</v>
      </c>
      <c r="X587" s="3">
        <v>0</v>
      </c>
      <c r="Y587" s="3">
        <v>0</v>
      </c>
      <c r="AA587" s="3">
        <v>0</v>
      </c>
      <c r="AB587" s="3">
        <v>0</v>
      </c>
      <c r="AC587" s="3">
        <v>0</v>
      </c>
    </row>
    <row r="588" spans="2:29" x14ac:dyDescent="0.2">
      <c r="B588" s="3" t="s">
        <v>1189</v>
      </c>
      <c r="C588" s="3" t="s">
        <v>1190</v>
      </c>
      <c r="D588" s="8">
        <v>42720</v>
      </c>
      <c r="E588" s="3">
        <v>2150</v>
      </c>
      <c r="F588" s="3" t="s">
        <v>25</v>
      </c>
      <c r="G588" s="3" t="s">
        <v>26</v>
      </c>
      <c r="H588" s="3">
        <v>96.3</v>
      </c>
      <c r="I588" s="3">
        <v>99.1</v>
      </c>
      <c r="J588" s="3">
        <v>101.9</v>
      </c>
      <c r="K588" s="3">
        <v>310.89999999999998</v>
      </c>
      <c r="L588" s="3">
        <v>314.5</v>
      </c>
      <c r="M588" s="3">
        <v>318.10000000000002</v>
      </c>
      <c r="N588" s="3">
        <v>1</v>
      </c>
      <c r="O588" s="3">
        <v>8.2026809420993659E-3</v>
      </c>
      <c r="P588" s="3">
        <v>2.0452797731370063E-2</v>
      </c>
      <c r="Q588" s="3">
        <v>0.1607920517930462</v>
      </c>
      <c r="R588" s="3">
        <v>99.221526803236202</v>
      </c>
      <c r="S588" s="3">
        <v>314.37833555169755</v>
      </c>
      <c r="U588" s="3">
        <v>319.3177822848769</v>
      </c>
      <c r="V588" s="3">
        <v>4.9394467331793521</v>
      </c>
      <c r="X588" s="3">
        <v>0</v>
      </c>
      <c r="Y588" s="3">
        <v>0</v>
      </c>
      <c r="AA588" s="3">
        <v>0</v>
      </c>
      <c r="AB588" s="3">
        <v>0</v>
      </c>
      <c r="AC588" s="3">
        <v>0</v>
      </c>
    </row>
    <row r="589" spans="2:29" x14ac:dyDescent="0.2">
      <c r="B589" s="3" t="s">
        <v>1191</v>
      </c>
      <c r="C589" s="3" t="s">
        <v>1192</v>
      </c>
      <c r="D589" s="8">
        <v>42720</v>
      </c>
      <c r="E589" s="3">
        <v>2175</v>
      </c>
      <c r="F589" s="3" t="s">
        <v>25</v>
      </c>
      <c r="G589" s="3" t="s">
        <v>26</v>
      </c>
      <c r="H589" s="3">
        <v>87.3</v>
      </c>
      <c r="I589" s="3">
        <v>90</v>
      </c>
      <c r="J589" s="3">
        <v>92.7</v>
      </c>
      <c r="K589" s="3">
        <v>326.39999999999998</v>
      </c>
      <c r="L589" s="3">
        <v>329.95</v>
      </c>
      <c r="M589" s="3">
        <v>333.5</v>
      </c>
      <c r="N589" s="3">
        <v>1</v>
      </c>
      <c r="O589" s="3">
        <v>8.2026809420993659E-3</v>
      </c>
      <c r="P589" s="3">
        <v>2.0452797731370063E-2</v>
      </c>
      <c r="Q589" s="3">
        <v>0.1584872824564359</v>
      </c>
      <c r="R589" s="3">
        <v>90.113486695955316</v>
      </c>
      <c r="S589" s="3">
        <v>329.83550513513455</v>
      </c>
      <c r="U589" s="3">
        <v>335.00323981033716</v>
      </c>
      <c r="V589" s="3">
        <v>5.1677346752026097</v>
      </c>
      <c r="X589" s="3">
        <v>0</v>
      </c>
      <c r="Y589" s="3">
        <v>0</v>
      </c>
      <c r="AA589" s="3">
        <v>0</v>
      </c>
      <c r="AB589" s="3">
        <v>0</v>
      </c>
      <c r="AC589" s="3">
        <v>0</v>
      </c>
    </row>
    <row r="590" spans="2:29" x14ac:dyDescent="0.2">
      <c r="B590" s="3" t="s">
        <v>1193</v>
      </c>
      <c r="C590" s="3" t="s">
        <v>1194</v>
      </c>
      <c r="D590" s="8">
        <v>42720</v>
      </c>
      <c r="E590" s="3">
        <v>2200</v>
      </c>
      <c r="F590" s="3" t="s">
        <v>25</v>
      </c>
      <c r="G590" s="3" t="s">
        <v>26</v>
      </c>
      <c r="H590" s="3">
        <v>78.8</v>
      </c>
      <c r="I590" s="3">
        <v>81.45</v>
      </c>
      <c r="J590" s="3">
        <v>84.1</v>
      </c>
      <c r="K590" s="3">
        <v>339.7</v>
      </c>
      <c r="L590" s="3">
        <v>344.6</v>
      </c>
      <c r="M590" s="3">
        <v>349.5</v>
      </c>
      <c r="N590" s="3">
        <v>1</v>
      </c>
      <c r="O590" s="3">
        <v>8.2026809420993659E-3</v>
      </c>
      <c r="P590" s="3">
        <v>2.0452797731370063E-2</v>
      </c>
      <c r="Q590" s="3">
        <v>0.15555602009096231</v>
      </c>
      <c r="R590" s="3">
        <v>80.881055243930859</v>
      </c>
      <c r="S590" s="3">
        <v>345.16828337382822</v>
      </c>
      <c r="U590" s="3">
        <v>351.11112705039159</v>
      </c>
      <c r="V590" s="3">
        <v>5.9428436765633705</v>
      </c>
      <c r="X590" s="3">
        <v>0</v>
      </c>
      <c r="Y590" s="3">
        <v>0</v>
      </c>
      <c r="AA590" s="3">
        <v>0</v>
      </c>
      <c r="AB590" s="3">
        <v>0</v>
      </c>
      <c r="AC590" s="3">
        <v>0</v>
      </c>
    </row>
    <row r="591" spans="2:29" x14ac:dyDescent="0.2">
      <c r="B591" s="3" t="s">
        <v>1195</v>
      </c>
      <c r="C591" s="3" t="s">
        <v>1196</v>
      </c>
      <c r="D591" s="8">
        <v>42720</v>
      </c>
      <c r="E591" s="3">
        <v>2225</v>
      </c>
      <c r="F591" s="3" t="s">
        <v>25</v>
      </c>
      <c r="G591" s="3" t="s">
        <v>26</v>
      </c>
      <c r="H591" s="3">
        <v>70.900000000000006</v>
      </c>
      <c r="I591" s="3">
        <v>73.400000000000006</v>
      </c>
      <c r="J591" s="3">
        <v>75.900000000000006</v>
      </c>
      <c r="K591" s="3">
        <v>357.5</v>
      </c>
      <c r="L591" s="3">
        <v>361.75</v>
      </c>
      <c r="M591" s="3">
        <v>366</v>
      </c>
      <c r="N591" s="3">
        <v>1</v>
      </c>
      <c r="O591" s="3">
        <v>8.2026809420993659E-3</v>
      </c>
      <c r="P591" s="3">
        <v>2.0452797731370063E-2</v>
      </c>
      <c r="Q591" s="3">
        <v>0.15362011378864199</v>
      </c>
      <c r="R591" s="3">
        <v>73.148695808111086</v>
      </c>
      <c r="S591" s="3">
        <v>362.00113362872617</v>
      </c>
      <c r="U591" s="3">
        <v>367.65053431277317</v>
      </c>
      <c r="V591" s="3">
        <v>5.6494006840470092</v>
      </c>
      <c r="X591" s="3">
        <v>0</v>
      </c>
      <c r="Y591" s="3">
        <v>0</v>
      </c>
      <c r="AA591" s="3">
        <v>0</v>
      </c>
      <c r="AB591" s="3">
        <v>0</v>
      </c>
      <c r="AC591" s="3">
        <v>0</v>
      </c>
    </row>
    <row r="592" spans="2:29" x14ac:dyDescent="0.2">
      <c r="B592" s="3" t="s">
        <v>1197</v>
      </c>
      <c r="C592" s="3" t="s">
        <v>1198</v>
      </c>
      <c r="D592" s="8">
        <v>42720</v>
      </c>
      <c r="E592" s="3">
        <v>2250</v>
      </c>
      <c r="F592" s="3" t="s">
        <v>25</v>
      </c>
      <c r="G592" s="3" t="s">
        <v>26</v>
      </c>
      <c r="H592" s="3">
        <v>63.6</v>
      </c>
      <c r="I592" s="3">
        <v>65.95</v>
      </c>
      <c r="J592" s="3">
        <v>68.3</v>
      </c>
      <c r="K592" s="3">
        <v>376</v>
      </c>
      <c r="L592" s="3">
        <v>379.5</v>
      </c>
      <c r="M592" s="3">
        <v>383</v>
      </c>
      <c r="N592" s="3">
        <v>1</v>
      </c>
      <c r="O592" s="3">
        <v>8.2026809420993659E-3</v>
      </c>
      <c r="P592" s="3">
        <v>2.0452797731370063E-2</v>
      </c>
      <c r="Q592" s="3">
        <v>0.15181422876395723</v>
      </c>
      <c r="R592" s="3">
        <v>66.016160577746575</v>
      </c>
      <c r="S592" s="3">
        <v>379.43380808907955</v>
      </c>
      <c r="U592" s="3">
        <v>384.62929239799882</v>
      </c>
      <c r="V592" s="3">
        <v>5.1954843089192764</v>
      </c>
      <c r="X592" s="3">
        <v>0</v>
      </c>
      <c r="Y592" s="3">
        <v>0</v>
      </c>
      <c r="AA592" s="3">
        <v>0</v>
      </c>
      <c r="AB592" s="3">
        <v>0</v>
      </c>
      <c r="AC592" s="3">
        <v>0</v>
      </c>
    </row>
    <row r="593" spans="2:29" x14ac:dyDescent="0.2">
      <c r="B593" s="3" t="s">
        <v>1199</v>
      </c>
      <c r="C593" s="3" t="s">
        <v>1200</v>
      </c>
      <c r="D593" s="8">
        <v>42720</v>
      </c>
      <c r="E593" s="3">
        <v>2275</v>
      </c>
      <c r="F593" s="3" t="s">
        <v>25</v>
      </c>
      <c r="G593" s="3" t="s">
        <v>26</v>
      </c>
      <c r="H593" s="3">
        <v>56.8</v>
      </c>
      <c r="I593" s="3">
        <v>59.05</v>
      </c>
      <c r="J593" s="3">
        <v>61.3</v>
      </c>
      <c r="K593" s="3">
        <v>393.7</v>
      </c>
      <c r="L593" s="3">
        <v>397.15</v>
      </c>
      <c r="M593" s="3">
        <v>400.6</v>
      </c>
      <c r="N593" s="3">
        <v>1</v>
      </c>
      <c r="O593" s="3">
        <v>8.2026809420993659E-3</v>
      </c>
      <c r="P593" s="3">
        <v>2.0452797731370063E-2</v>
      </c>
      <c r="Q593" s="3">
        <v>0.14974444504865131</v>
      </c>
      <c r="R593" s="3">
        <v>59.108562133102566</v>
      </c>
      <c r="S593" s="3">
        <v>397.0914193351532</v>
      </c>
      <c r="U593" s="3">
        <v>402.60348828625155</v>
      </c>
      <c r="V593" s="3">
        <v>5.5120689510983425</v>
      </c>
      <c r="X593" s="3">
        <v>0</v>
      </c>
      <c r="Y593" s="3">
        <v>0</v>
      </c>
      <c r="AA593" s="3">
        <v>0</v>
      </c>
      <c r="AB593" s="3">
        <v>0</v>
      </c>
      <c r="AC593" s="3">
        <v>0</v>
      </c>
    </row>
    <row r="594" spans="2:29" x14ac:dyDescent="0.2">
      <c r="B594" s="3" t="s">
        <v>1201</v>
      </c>
      <c r="C594" s="3" t="s">
        <v>1202</v>
      </c>
      <c r="D594" s="8">
        <v>42720</v>
      </c>
      <c r="E594" s="3">
        <v>2300</v>
      </c>
      <c r="F594" s="3" t="s">
        <v>25</v>
      </c>
      <c r="G594" s="3" t="s">
        <v>26</v>
      </c>
      <c r="H594" s="3">
        <v>50.6</v>
      </c>
      <c r="I594" s="3">
        <v>52.7</v>
      </c>
      <c r="J594" s="3">
        <v>54.8</v>
      </c>
      <c r="K594" s="3">
        <v>411.8</v>
      </c>
      <c r="L594" s="3">
        <v>415.3</v>
      </c>
      <c r="M594" s="3">
        <v>418.8</v>
      </c>
      <c r="N594" s="3">
        <v>1</v>
      </c>
      <c r="O594" s="3">
        <v>8.2026809420993659E-3</v>
      </c>
      <c r="P594" s="3">
        <v>2.0452797731370063E-2</v>
      </c>
      <c r="Q594" s="3">
        <v>0.14773294610627474</v>
      </c>
      <c r="R594" s="3">
        <v>52.725569796058153</v>
      </c>
      <c r="S594" s="3">
        <v>415.27363668882685</v>
      </c>
      <c r="U594" s="3">
        <v>420.44594221601619</v>
      </c>
      <c r="V594" s="3">
        <v>5.1723055271893372</v>
      </c>
      <c r="X594" s="3">
        <v>0</v>
      </c>
      <c r="Y594" s="3">
        <v>0</v>
      </c>
      <c r="AA594" s="3">
        <v>0</v>
      </c>
      <c r="AB594" s="3">
        <v>0</v>
      </c>
      <c r="AC594" s="3">
        <v>0</v>
      </c>
    </row>
    <row r="595" spans="2:29" x14ac:dyDescent="0.2">
      <c r="B595" s="3" t="s">
        <v>1203</v>
      </c>
      <c r="C595" s="3" t="s">
        <v>1204</v>
      </c>
      <c r="D595" s="8">
        <v>42720</v>
      </c>
      <c r="E595" s="3">
        <v>2325</v>
      </c>
      <c r="F595" s="3" t="s">
        <v>25</v>
      </c>
      <c r="G595" s="3" t="s">
        <v>26</v>
      </c>
      <c r="H595" s="3">
        <v>44.8</v>
      </c>
      <c r="I595" s="3">
        <v>46.85</v>
      </c>
      <c r="J595" s="3">
        <v>48.9</v>
      </c>
      <c r="K595" s="3">
        <v>428.6</v>
      </c>
      <c r="L595" s="3">
        <v>433</v>
      </c>
      <c r="M595" s="3">
        <v>437.4</v>
      </c>
      <c r="N595" s="3">
        <v>1</v>
      </c>
      <c r="O595" s="3">
        <v>8.2026809420993659E-3</v>
      </c>
      <c r="P595" s="3">
        <v>2.0452797731370063E-2</v>
      </c>
      <c r="Q595" s="3">
        <v>0.14519276670855949</v>
      </c>
      <c r="R595" s="3">
        <v>46.367943890726451</v>
      </c>
      <c r="S595" s="3">
        <v>433.48122047421316</v>
      </c>
      <c r="U595" s="3">
        <v>439.22732647245607</v>
      </c>
      <c r="V595" s="3">
        <v>5.7461059982429106</v>
      </c>
      <c r="X595" s="3">
        <v>0</v>
      </c>
      <c r="Y595" s="3">
        <v>0</v>
      </c>
      <c r="AA595" s="3">
        <v>0</v>
      </c>
      <c r="AB595" s="3">
        <v>0</v>
      </c>
      <c r="AC595" s="3">
        <v>0</v>
      </c>
    </row>
    <row r="596" spans="2:29" x14ac:dyDescent="0.2">
      <c r="B596" s="3" t="s">
        <v>1205</v>
      </c>
      <c r="C596" s="3" t="s">
        <v>1206</v>
      </c>
      <c r="D596" s="8">
        <v>42720</v>
      </c>
      <c r="E596" s="3">
        <v>2350</v>
      </c>
      <c r="F596" s="3" t="s">
        <v>25</v>
      </c>
      <c r="G596" s="3" t="s">
        <v>26</v>
      </c>
      <c r="H596" s="3">
        <v>39.6</v>
      </c>
      <c r="I596" s="3">
        <v>41.5</v>
      </c>
      <c r="J596" s="3">
        <v>43.4</v>
      </c>
      <c r="K596" s="3">
        <v>449.6</v>
      </c>
      <c r="L596" s="3">
        <v>453.05</v>
      </c>
      <c r="M596" s="3">
        <v>456.5</v>
      </c>
      <c r="N596" s="3">
        <v>1</v>
      </c>
      <c r="O596" s="3">
        <v>8.2026809420993659E-3</v>
      </c>
      <c r="P596" s="3">
        <v>2.0452797731370063E-2</v>
      </c>
      <c r="Q596" s="3">
        <v>0.14383842155063165</v>
      </c>
      <c r="R596" s="3">
        <v>41.435755995558452</v>
      </c>
      <c r="S596" s="3">
        <v>453.11424226976328</v>
      </c>
      <c r="U596" s="3">
        <v>458.39590473976767</v>
      </c>
      <c r="V596" s="3">
        <v>5.2816624700043917</v>
      </c>
      <c r="X596" s="3">
        <v>0</v>
      </c>
      <c r="Y596" s="3">
        <v>0</v>
      </c>
      <c r="AA596" s="3">
        <v>0</v>
      </c>
      <c r="AB596" s="3">
        <v>0</v>
      </c>
      <c r="AC596" s="3">
        <v>0</v>
      </c>
    </row>
    <row r="597" spans="2:29" x14ac:dyDescent="0.2">
      <c r="B597" s="3" t="s">
        <v>1207</v>
      </c>
      <c r="C597" s="3" t="s">
        <v>1208</v>
      </c>
      <c r="D597" s="8">
        <v>42720</v>
      </c>
      <c r="E597" s="3">
        <v>2375</v>
      </c>
      <c r="F597" s="3" t="s">
        <v>25</v>
      </c>
      <c r="G597" s="3" t="s">
        <v>26</v>
      </c>
      <c r="H597" s="3">
        <v>34.700000000000003</v>
      </c>
      <c r="I597" s="3">
        <v>36.5</v>
      </c>
      <c r="J597" s="3">
        <v>38.299999999999997</v>
      </c>
      <c r="K597" s="3">
        <v>469.2</v>
      </c>
      <c r="L597" s="3">
        <v>472.65</v>
      </c>
      <c r="M597" s="3">
        <v>476.1</v>
      </c>
      <c r="N597" s="3">
        <v>1</v>
      </c>
      <c r="O597" s="3">
        <v>8.2026809420993659E-3</v>
      </c>
      <c r="P597" s="3">
        <v>2.0452797731370063E-2</v>
      </c>
      <c r="Q597" s="3">
        <v>0.14189672912844295</v>
      </c>
      <c r="R597" s="3">
        <v>36.45311652901745</v>
      </c>
      <c r="S597" s="3">
        <v>472.69681249394034</v>
      </c>
      <c r="U597" s="3">
        <v>477.94799929051544</v>
      </c>
      <c r="V597" s="3">
        <v>5.251186796575098</v>
      </c>
      <c r="X597" s="3">
        <v>0</v>
      </c>
      <c r="Y597" s="3">
        <v>0</v>
      </c>
      <c r="AA597" s="3">
        <v>0</v>
      </c>
      <c r="AB597" s="3">
        <v>0</v>
      </c>
      <c r="AC597" s="3">
        <v>0</v>
      </c>
    </row>
    <row r="598" spans="2:29" x14ac:dyDescent="0.2">
      <c r="B598" s="3" t="s">
        <v>1209</v>
      </c>
      <c r="C598" s="3" t="s">
        <v>1210</v>
      </c>
      <c r="D598" s="8">
        <v>42720</v>
      </c>
      <c r="E598" s="3">
        <v>2400</v>
      </c>
      <c r="F598" s="3" t="s">
        <v>25</v>
      </c>
      <c r="G598" s="3" t="s">
        <v>26</v>
      </c>
      <c r="H598" s="3">
        <v>30.5</v>
      </c>
      <c r="I598" s="3">
        <v>32.15</v>
      </c>
      <c r="J598" s="3">
        <v>33.799999999999997</v>
      </c>
      <c r="K598" s="3">
        <v>489.7</v>
      </c>
      <c r="L598" s="3">
        <v>492.95</v>
      </c>
      <c r="M598" s="3">
        <v>496.2</v>
      </c>
      <c r="N598" s="3">
        <v>1</v>
      </c>
      <c r="O598" s="3">
        <v>8.2026809420993659E-3</v>
      </c>
      <c r="P598" s="3">
        <v>2.0452797731370063E-2</v>
      </c>
      <c r="Q598" s="3">
        <v>0.14031803382783492</v>
      </c>
      <c r="R598" s="3">
        <v>32.14554243974618</v>
      </c>
      <c r="S598" s="3">
        <v>492.9544480953864</v>
      </c>
      <c r="U598" s="3">
        <v>497.87802572353428</v>
      </c>
      <c r="V598" s="3">
        <v>4.923577628147882</v>
      </c>
      <c r="X598" s="3">
        <v>0</v>
      </c>
      <c r="Y598" s="3">
        <v>0</v>
      </c>
      <c r="AA598" s="3">
        <v>0</v>
      </c>
      <c r="AB598" s="3">
        <v>0</v>
      </c>
      <c r="AC598" s="3">
        <v>0</v>
      </c>
    </row>
    <row r="599" spans="2:29" x14ac:dyDescent="0.2">
      <c r="B599" s="3" t="s">
        <v>1211</v>
      </c>
      <c r="C599" s="3" t="s">
        <v>1212</v>
      </c>
      <c r="D599" s="8">
        <v>42720</v>
      </c>
      <c r="E599" s="3">
        <v>2425</v>
      </c>
      <c r="F599" s="3" t="s">
        <v>25</v>
      </c>
      <c r="G599" s="3" t="s">
        <v>26</v>
      </c>
      <c r="H599" s="3">
        <v>26.6</v>
      </c>
      <c r="I599" s="3">
        <v>28.15</v>
      </c>
      <c r="J599" s="3">
        <v>29.7</v>
      </c>
      <c r="K599" s="3">
        <v>510.6</v>
      </c>
      <c r="L599" s="3">
        <v>513.65</v>
      </c>
      <c r="M599" s="3">
        <v>516.70000000000005</v>
      </c>
      <c r="N599" s="3">
        <v>1</v>
      </c>
      <c r="O599" s="3">
        <v>8.2026809420993659E-3</v>
      </c>
      <c r="P599" s="3">
        <v>2.0452797731370063E-2</v>
      </c>
      <c r="Q599" s="3">
        <v>0.13874017331196373</v>
      </c>
      <c r="R599" s="3">
        <v>28.212928003553941</v>
      </c>
      <c r="S599" s="3">
        <v>513.58704334991262</v>
      </c>
      <c r="U599" s="3">
        <v>518.1784082325313</v>
      </c>
      <c r="V599" s="3">
        <v>4.5913648826186773</v>
      </c>
      <c r="X599" s="3">
        <v>0</v>
      </c>
      <c r="Y599" s="3">
        <v>0</v>
      </c>
      <c r="AA599" s="3">
        <v>0</v>
      </c>
      <c r="AB599" s="3">
        <v>0</v>
      </c>
      <c r="AC599" s="3">
        <v>0</v>
      </c>
    </row>
    <row r="600" spans="2:29" x14ac:dyDescent="0.2">
      <c r="B600" s="3" t="s">
        <v>1213</v>
      </c>
      <c r="C600" s="3" t="s">
        <v>1214</v>
      </c>
      <c r="D600" s="8">
        <v>42720</v>
      </c>
      <c r="E600" s="3">
        <v>2450</v>
      </c>
      <c r="F600" s="3" t="s">
        <v>25</v>
      </c>
      <c r="G600" s="3" t="s">
        <v>26</v>
      </c>
      <c r="H600" s="3">
        <v>23</v>
      </c>
      <c r="I600" s="3">
        <v>24.55</v>
      </c>
      <c r="J600" s="3">
        <v>26.1</v>
      </c>
      <c r="K600" s="3">
        <v>531.70000000000005</v>
      </c>
      <c r="L600" s="3">
        <v>534.70000000000005</v>
      </c>
      <c r="M600" s="3">
        <v>537.70000000000005</v>
      </c>
      <c r="N600" s="3">
        <v>1</v>
      </c>
      <c r="O600" s="3">
        <v>8.2026809420993659E-3</v>
      </c>
      <c r="P600" s="3">
        <v>2.0452797731370063E-2</v>
      </c>
      <c r="Q600" s="3">
        <v>0.13719035837376609</v>
      </c>
      <c r="R600" s="3">
        <v>24.655231979599876</v>
      </c>
      <c r="S600" s="3">
        <v>534.59455701667662</v>
      </c>
      <c r="U600" s="3">
        <v>538.83954313663821</v>
      </c>
      <c r="V600" s="3">
        <v>4.2449861199615953</v>
      </c>
      <c r="X600" s="3">
        <v>0</v>
      </c>
      <c r="Y600" s="3">
        <v>0</v>
      </c>
      <c r="AA600" s="3">
        <v>0</v>
      </c>
      <c r="AB600" s="3">
        <v>0</v>
      </c>
      <c r="AC600" s="3">
        <v>0</v>
      </c>
    </row>
    <row r="601" spans="2:29" x14ac:dyDescent="0.2">
      <c r="B601" s="3" t="s">
        <v>1215</v>
      </c>
      <c r="C601" s="3" t="s">
        <v>1216</v>
      </c>
      <c r="D601" s="8">
        <v>42720</v>
      </c>
      <c r="E601" s="3">
        <v>2475</v>
      </c>
      <c r="F601" s="3" t="s">
        <v>25</v>
      </c>
      <c r="G601" s="3" t="s">
        <v>26</v>
      </c>
      <c r="H601" s="3">
        <v>20.5</v>
      </c>
      <c r="I601" s="3">
        <v>21.65</v>
      </c>
      <c r="J601" s="3">
        <v>22.8</v>
      </c>
      <c r="K601" s="3">
        <v>553.4</v>
      </c>
      <c r="L601" s="3">
        <v>556.15</v>
      </c>
      <c r="M601" s="3">
        <v>558.9</v>
      </c>
      <c r="N601" s="3">
        <v>1</v>
      </c>
      <c r="O601" s="3">
        <v>8.2026809420993659E-3</v>
      </c>
      <c r="P601" s="3">
        <v>2.0452797731370063E-2</v>
      </c>
      <c r="Q601" s="3">
        <v>0.13601196159017509</v>
      </c>
      <c r="R601" s="3">
        <v>21.647650763547489</v>
      </c>
      <c r="S601" s="3">
        <v>556.15218549134215</v>
      </c>
      <c r="U601" s="3">
        <v>559.84981759187133</v>
      </c>
      <c r="V601" s="3">
        <v>3.6976321005291766</v>
      </c>
      <c r="X601" s="3">
        <v>0</v>
      </c>
      <c r="Y601" s="3">
        <v>0</v>
      </c>
      <c r="AA601" s="3">
        <v>0</v>
      </c>
      <c r="AB601" s="3">
        <v>0</v>
      </c>
      <c r="AC601" s="3">
        <v>0</v>
      </c>
    </row>
    <row r="602" spans="2:29" x14ac:dyDescent="0.2">
      <c r="B602" s="3" t="s">
        <v>1217</v>
      </c>
      <c r="C602" s="3" t="s">
        <v>1218</v>
      </c>
      <c r="D602" s="8">
        <v>42720</v>
      </c>
      <c r="E602" s="3">
        <v>2500</v>
      </c>
      <c r="F602" s="3" t="s">
        <v>25</v>
      </c>
      <c r="G602" s="3" t="s">
        <v>26</v>
      </c>
      <c r="H602" s="3">
        <v>17.600000000000001</v>
      </c>
      <c r="I602" s="3">
        <v>18.75</v>
      </c>
      <c r="J602" s="3">
        <v>19.899999999999999</v>
      </c>
      <c r="K602" s="3">
        <v>575.5</v>
      </c>
      <c r="L602" s="3">
        <v>578.04999999999995</v>
      </c>
      <c r="M602" s="3">
        <v>580.6</v>
      </c>
      <c r="N602" s="3">
        <v>1</v>
      </c>
      <c r="O602" s="3">
        <v>8.2026809420993659E-3</v>
      </c>
      <c r="P602" s="3">
        <v>2.0452797731370063E-2</v>
      </c>
      <c r="Q602" s="3">
        <v>0.13463127350745058</v>
      </c>
      <c r="R602" s="3">
        <v>18.821199818664411</v>
      </c>
      <c r="S602" s="3">
        <v>577.89094423717665</v>
      </c>
      <c r="U602" s="3">
        <v>581.47490610311559</v>
      </c>
      <c r="V602" s="3">
        <v>3.5839618659389316</v>
      </c>
      <c r="X602" s="3">
        <v>0</v>
      </c>
      <c r="Y602" s="3">
        <v>0</v>
      </c>
      <c r="AA602" s="3">
        <v>0</v>
      </c>
      <c r="AB602" s="3">
        <v>0</v>
      </c>
      <c r="AC602" s="3">
        <v>0</v>
      </c>
    </row>
    <row r="603" spans="2:29" x14ac:dyDescent="0.2">
      <c r="B603" s="3" t="s">
        <v>1219</v>
      </c>
      <c r="C603" s="3" t="s">
        <v>1220</v>
      </c>
      <c r="D603" s="8">
        <v>42720</v>
      </c>
      <c r="E603" s="3">
        <v>2525</v>
      </c>
      <c r="F603" s="3" t="s">
        <v>25</v>
      </c>
      <c r="G603" s="3" t="s">
        <v>26</v>
      </c>
      <c r="H603" s="3">
        <v>15</v>
      </c>
      <c r="I603" s="3">
        <v>16.149999999999999</v>
      </c>
      <c r="J603" s="3">
        <v>17.3</v>
      </c>
      <c r="K603" s="3">
        <v>597.5</v>
      </c>
      <c r="L603" s="3">
        <v>600.04999999999995</v>
      </c>
      <c r="M603" s="3">
        <v>602.6</v>
      </c>
      <c r="N603" s="3">
        <v>1</v>
      </c>
      <c r="O603" s="3">
        <v>8.2026809420993659E-3</v>
      </c>
      <c r="P603" s="3">
        <v>2.0452797731370063E-2</v>
      </c>
      <c r="Q603" s="3">
        <v>0.13325058542472604</v>
      </c>
      <c r="R603" s="3">
        <v>16.282028181822028</v>
      </c>
      <c r="S603" s="3">
        <v>599.91698229105259</v>
      </c>
      <c r="U603" s="3">
        <v>603.11365404208937</v>
      </c>
      <c r="V603" s="3">
        <v>3.1966717510367744</v>
      </c>
      <c r="X603" s="3">
        <v>0</v>
      </c>
      <c r="Y603" s="3">
        <v>0</v>
      </c>
      <c r="AA603" s="3">
        <v>0</v>
      </c>
      <c r="AB603" s="3">
        <v>0</v>
      </c>
      <c r="AC603" s="3">
        <v>0</v>
      </c>
    </row>
    <row r="604" spans="2:29" x14ac:dyDescent="0.2">
      <c r="B604" s="3" t="s">
        <v>1221</v>
      </c>
      <c r="C604" s="3" t="s">
        <v>1222</v>
      </c>
      <c r="D604" s="8">
        <v>42720</v>
      </c>
      <c r="E604" s="3">
        <v>2550</v>
      </c>
      <c r="F604" s="3" t="s">
        <v>25</v>
      </c>
      <c r="G604" s="3" t="s">
        <v>26</v>
      </c>
      <c r="H604" s="3">
        <v>12.7</v>
      </c>
      <c r="I604" s="3">
        <v>13.9</v>
      </c>
      <c r="J604" s="3">
        <v>15.1</v>
      </c>
      <c r="K604" s="3">
        <v>619.9</v>
      </c>
      <c r="L604" s="3">
        <v>622.4</v>
      </c>
      <c r="M604" s="3">
        <v>624.9</v>
      </c>
      <c r="N604" s="3">
        <v>1</v>
      </c>
      <c r="O604" s="3">
        <v>8.2026809420993659E-3</v>
      </c>
      <c r="P604" s="3">
        <v>2.0452797731370063E-2</v>
      </c>
      <c r="Q604" s="3">
        <v>0.13193114289388508</v>
      </c>
      <c r="R604" s="3">
        <v>14.03927778976248</v>
      </c>
      <c r="S604" s="3">
        <v>622.23944158971108</v>
      </c>
      <c r="U604" s="3">
        <v>625.285066273349</v>
      </c>
      <c r="V604" s="3">
        <v>3.045624683637925</v>
      </c>
      <c r="X604" s="3">
        <v>0</v>
      </c>
      <c r="Y604" s="3">
        <v>0</v>
      </c>
      <c r="AA604" s="3">
        <v>0</v>
      </c>
      <c r="AB604" s="3">
        <v>0</v>
      </c>
      <c r="AC604" s="3">
        <v>0</v>
      </c>
    </row>
    <row r="605" spans="2:29" x14ac:dyDescent="0.2">
      <c r="B605" s="3" t="s">
        <v>1223</v>
      </c>
      <c r="C605" s="3" t="s">
        <v>1224</v>
      </c>
      <c r="D605" s="8">
        <v>42720</v>
      </c>
      <c r="E605" s="3">
        <v>2575</v>
      </c>
      <c r="F605" s="3" t="s">
        <v>25</v>
      </c>
      <c r="G605" s="3" t="s">
        <v>26</v>
      </c>
      <c r="H605" s="3">
        <v>10.8</v>
      </c>
      <c r="I605" s="3">
        <v>11.95</v>
      </c>
      <c r="J605" s="3">
        <v>13.1</v>
      </c>
      <c r="K605" s="3">
        <v>642.4</v>
      </c>
      <c r="L605" s="3">
        <v>644.9</v>
      </c>
      <c r="M605" s="3">
        <v>647.4</v>
      </c>
      <c r="N605" s="3">
        <v>1</v>
      </c>
      <c r="O605" s="3">
        <v>8.2026809420993659E-3</v>
      </c>
      <c r="P605" s="3">
        <v>2.0452797731370063E-2</v>
      </c>
      <c r="Q605" s="3">
        <v>0.13061170036304415</v>
      </c>
      <c r="R605" s="3">
        <v>12.042320786491331</v>
      </c>
      <c r="S605" s="3">
        <v>644.80769427715768</v>
      </c>
      <c r="U605" s="3">
        <v>647.49026660441098</v>
      </c>
      <c r="V605" s="3">
        <v>2.6825723272532969</v>
      </c>
      <c r="X605" s="3">
        <v>0</v>
      </c>
      <c r="Y605" s="3">
        <v>0</v>
      </c>
      <c r="AA605" s="3">
        <v>0</v>
      </c>
      <c r="AB605" s="3">
        <v>0</v>
      </c>
      <c r="AC605" s="3">
        <v>0</v>
      </c>
    </row>
    <row r="606" spans="2:29" x14ac:dyDescent="0.2">
      <c r="B606" s="3" t="s">
        <v>1225</v>
      </c>
      <c r="C606" s="3" t="s">
        <v>1226</v>
      </c>
      <c r="D606" s="8">
        <v>42720</v>
      </c>
      <c r="E606" s="3">
        <v>2600</v>
      </c>
      <c r="F606" s="3" t="s">
        <v>25</v>
      </c>
      <c r="G606" s="3" t="s">
        <v>26</v>
      </c>
      <c r="H606" s="3">
        <v>9.9</v>
      </c>
      <c r="I606" s="3">
        <v>10.65</v>
      </c>
      <c r="J606" s="3">
        <v>11.4</v>
      </c>
      <c r="K606" s="3">
        <v>665.3</v>
      </c>
      <c r="L606" s="3">
        <v>667.75</v>
      </c>
      <c r="M606" s="3">
        <v>670.2</v>
      </c>
      <c r="N606" s="3">
        <v>1</v>
      </c>
      <c r="O606" s="3">
        <v>8.2026809420993659E-3</v>
      </c>
      <c r="P606" s="3">
        <v>2.0452797731370063E-2</v>
      </c>
      <c r="Q606" s="3">
        <v>0.12992343374782778</v>
      </c>
      <c r="R606" s="3">
        <v>10.508774592899925</v>
      </c>
      <c r="S606" s="3">
        <v>667.83935777428428</v>
      </c>
      <c r="U606" s="3">
        <v>670.14655498427442</v>
      </c>
      <c r="V606" s="3">
        <v>2.3071972099901359</v>
      </c>
      <c r="X606" s="3">
        <v>0</v>
      </c>
      <c r="Y606" s="3">
        <v>0</v>
      </c>
      <c r="AA606" s="3">
        <v>0</v>
      </c>
      <c r="AB606" s="3">
        <v>0</v>
      </c>
      <c r="AC606" s="3">
        <v>0</v>
      </c>
    </row>
    <row r="607" spans="2:29" x14ac:dyDescent="0.2">
      <c r="B607" s="3" t="s">
        <v>1227</v>
      </c>
      <c r="C607" s="3" t="s">
        <v>1228</v>
      </c>
      <c r="D607" s="8">
        <v>42720</v>
      </c>
      <c r="E607" s="3">
        <v>2800</v>
      </c>
      <c r="F607" s="3" t="s">
        <v>25</v>
      </c>
      <c r="G607" s="3" t="s">
        <v>26</v>
      </c>
      <c r="H607" s="3">
        <v>2.35</v>
      </c>
      <c r="I607" s="3">
        <v>3.13</v>
      </c>
      <c r="J607" s="3">
        <v>3.9</v>
      </c>
      <c r="K607" s="3">
        <v>854.6</v>
      </c>
      <c r="L607" s="3">
        <v>856.85</v>
      </c>
      <c r="M607" s="3">
        <v>859.1</v>
      </c>
      <c r="N607" s="3">
        <v>1</v>
      </c>
      <c r="O607" s="3">
        <v>8.2026809420993659E-3</v>
      </c>
      <c r="P607" s="3">
        <v>2.0452797731370063E-2</v>
      </c>
      <c r="Q607" s="3">
        <v>0.12772218362362256</v>
      </c>
      <c r="R607" s="3">
        <v>3.7174988237355464</v>
      </c>
      <c r="S607" s="3">
        <v>857.56975953086362</v>
      </c>
      <c r="U607" s="3">
        <v>857.65930212455294</v>
      </c>
      <c r="V607" s="3">
        <v>8.9542593689316163E-2</v>
      </c>
      <c r="X607" s="3">
        <v>0</v>
      </c>
      <c r="Y607" s="3">
        <v>0</v>
      </c>
      <c r="AA607" s="3">
        <v>0</v>
      </c>
      <c r="AB607" s="3">
        <v>0</v>
      </c>
      <c r="AC607" s="3">
        <v>0</v>
      </c>
    </row>
    <row r="608" spans="2:29" x14ac:dyDescent="0.2">
      <c r="B608" s="3" t="s">
        <v>1229</v>
      </c>
      <c r="C608" s="3" t="s">
        <v>1230</v>
      </c>
      <c r="D608" s="8">
        <v>42720</v>
      </c>
      <c r="E608" s="3">
        <v>3000</v>
      </c>
      <c r="F608" s="3" t="s">
        <v>25</v>
      </c>
      <c r="G608" s="3" t="s">
        <v>26</v>
      </c>
      <c r="H608" s="3">
        <v>1.25</v>
      </c>
      <c r="I608" s="3">
        <v>1.27</v>
      </c>
      <c r="J608" s="3">
        <v>1.3</v>
      </c>
      <c r="K608" s="3">
        <v>1049.4000000000001</v>
      </c>
      <c r="L608" s="3">
        <v>1051.7</v>
      </c>
      <c r="M608" s="3">
        <v>1054</v>
      </c>
      <c r="N608" s="3">
        <v>1</v>
      </c>
      <c r="O608" s="3">
        <v>8.2026809420993659E-3</v>
      </c>
      <c r="P608" s="3">
        <v>2.0452797731370063E-2</v>
      </c>
      <c r="Q608" s="3">
        <v>0.12772218362362256</v>
      </c>
      <c r="R608" s="3">
        <v>1.3559397288735866</v>
      </c>
      <c r="S608" s="3">
        <v>1051.7298779617452</v>
      </c>
      <c r="U608" s="3">
        <v>1051.4313270269479</v>
      </c>
      <c r="V608" s="3">
        <v>-0.29855093479727657</v>
      </c>
      <c r="X608" s="3">
        <v>0</v>
      </c>
      <c r="Y608" s="3">
        <v>0</v>
      </c>
      <c r="AA608" s="3">
        <v>0</v>
      </c>
      <c r="AB608" s="3">
        <v>0</v>
      </c>
      <c r="AC608" s="3">
        <v>0</v>
      </c>
    </row>
    <row r="609" spans="2:29" x14ac:dyDescent="0.2">
      <c r="B609" s="3" t="s">
        <v>1231</v>
      </c>
      <c r="C609" s="3" t="s">
        <v>1232</v>
      </c>
      <c r="D609" s="8">
        <v>42720</v>
      </c>
      <c r="E609" s="3">
        <v>3500</v>
      </c>
      <c r="F609" s="3" t="s">
        <v>25</v>
      </c>
      <c r="G609" s="3" t="s">
        <v>26</v>
      </c>
      <c r="H609" s="3">
        <v>0.15</v>
      </c>
      <c r="I609" s="3">
        <v>0.3</v>
      </c>
      <c r="J609" s="3">
        <v>0.45</v>
      </c>
      <c r="K609" s="3">
        <v>1539.5</v>
      </c>
      <c r="L609" s="3">
        <v>1541.6</v>
      </c>
      <c r="M609" s="3">
        <v>1543.7</v>
      </c>
      <c r="N609" s="3">
        <v>0</v>
      </c>
      <c r="O609" s="3">
        <v>8.2026809420993659E-3</v>
      </c>
      <c r="P609" s="3">
        <v>2.0452797731370063E-2</v>
      </c>
      <c r="Q609" s="3">
        <v>0.12772218362362256</v>
      </c>
      <c r="R609" s="3">
        <v>9.3507684428612237E-2</v>
      </c>
      <c r="S609" s="3">
        <v>1541.7716397316592</v>
      </c>
      <c r="U609" s="3">
        <v>1541.7253404783428</v>
      </c>
      <c r="V609" s="3">
        <v>-4.6299253316419708E-2</v>
      </c>
      <c r="X609" s="3">
        <v>0</v>
      </c>
      <c r="Y609" s="3">
        <v>0</v>
      </c>
      <c r="AA609" s="3">
        <v>0</v>
      </c>
      <c r="AB609" s="3">
        <v>0</v>
      </c>
      <c r="AC609" s="3">
        <v>0</v>
      </c>
    </row>
    <row r="610" spans="2:29" x14ac:dyDescent="0.2">
      <c r="D610" s="8"/>
    </row>
    <row r="611" spans="2:29" x14ac:dyDescent="0.2">
      <c r="D611" s="8"/>
    </row>
    <row r="612" spans="2:29" x14ac:dyDescent="0.2">
      <c r="D612" s="8"/>
    </row>
    <row r="613" spans="2:29" x14ac:dyDescent="0.2">
      <c r="D613" s="8"/>
    </row>
    <row r="614" spans="2:29" x14ac:dyDescent="0.2">
      <c r="D614" s="8"/>
    </row>
    <row r="615" spans="2:29" x14ac:dyDescent="0.2">
      <c r="D615" s="8"/>
    </row>
    <row r="616" spans="2:29" x14ac:dyDescent="0.2">
      <c r="D616" s="8"/>
    </row>
    <row r="617" spans="2:29" x14ac:dyDescent="0.2">
      <c r="D617" s="8"/>
    </row>
    <row r="618" spans="2:29" x14ac:dyDescent="0.2">
      <c r="D618" s="8"/>
    </row>
    <row r="619" spans="2:29" x14ac:dyDescent="0.2">
      <c r="D619" s="8"/>
    </row>
    <row r="620" spans="2:29" x14ac:dyDescent="0.2">
      <c r="D620" s="8"/>
    </row>
    <row r="621" spans="2:29" x14ac:dyDescent="0.2">
      <c r="D621" s="8"/>
    </row>
    <row r="622" spans="2:29" x14ac:dyDescent="0.2">
      <c r="D622" s="8"/>
    </row>
    <row r="623" spans="2:29" x14ac:dyDescent="0.2">
      <c r="D623" s="8"/>
    </row>
    <row r="624" spans="2:29" x14ac:dyDescent="0.2">
      <c r="D624" s="8"/>
    </row>
    <row r="625" spans="4:4" x14ac:dyDescent="0.2">
      <c r="D625" s="8"/>
    </row>
    <row r="626" spans="4:4" x14ac:dyDescent="0.2">
      <c r="D626" s="8"/>
    </row>
    <row r="627" spans="4:4" x14ac:dyDescent="0.2">
      <c r="D627" s="8"/>
    </row>
    <row r="628" spans="4:4" x14ac:dyDescent="0.2">
      <c r="D628" s="8"/>
    </row>
    <row r="629" spans="4:4" x14ac:dyDescent="0.2">
      <c r="D629" s="8"/>
    </row>
    <row r="630" spans="4:4" x14ac:dyDescent="0.2">
      <c r="D630" s="8"/>
    </row>
    <row r="631" spans="4:4" x14ac:dyDescent="0.2">
      <c r="D631" s="8"/>
    </row>
    <row r="632" spans="4:4" x14ac:dyDescent="0.2">
      <c r="D632" s="8"/>
    </row>
    <row r="633" spans="4:4" x14ac:dyDescent="0.2">
      <c r="D633" s="8"/>
    </row>
    <row r="634" spans="4:4" x14ac:dyDescent="0.2">
      <c r="D634" s="8"/>
    </row>
    <row r="635" spans="4:4" x14ac:dyDescent="0.2">
      <c r="D635" s="8"/>
    </row>
    <row r="636" spans="4:4" x14ac:dyDescent="0.2">
      <c r="D636" s="8"/>
    </row>
    <row r="637" spans="4:4" x14ac:dyDescent="0.2">
      <c r="D637" s="8"/>
    </row>
    <row r="638" spans="4:4" x14ac:dyDescent="0.2">
      <c r="D638" s="8"/>
    </row>
    <row r="639" spans="4:4" x14ac:dyDescent="0.2">
      <c r="D639" s="8"/>
    </row>
    <row r="640" spans="4:4" x14ac:dyDescent="0.2">
      <c r="D640" s="8"/>
    </row>
    <row r="641" spans="4:4" x14ac:dyDescent="0.2">
      <c r="D641" s="8"/>
    </row>
    <row r="642" spans="4:4" x14ac:dyDescent="0.2">
      <c r="D642" s="8"/>
    </row>
    <row r="643" spans="4:4" x14ac:dyDescent="0.2">
      <c r="D643" s="8"/>
    </row>
    <row r="644" spans="4:4" x14ac:dyDescent="0.2">
      <c r="D644" s="8"/>
    </row>
    <row r="645" spans="4:4" x14ac:dyDescent="0.2">
      <c r="D645" s="8"/>
    </row>
    <row r="646" spans="4:4" x14ac:dyDescent="0.2">
      <c r="D646" s="8"/>
    </row>
    <row r="647" spans="4:4" x14ac:dyDescent="0.2">
      <c r="D647" s="8"/>
    </row>
    <row r="648" spans="4:4" x14ac:dyDescent="0.2">
      <c r="D648" s="8"/>
    </row>
    <row r="649" spans="4:4" x14ac:dyDescent="0.2">
      <c r="D649" s="8"/>
    </row>
    <row r="650" spans="4:4" x14ac:dyDescent="0.2">
      <c r="D650" s="8"/>
    </row>
    <row r="651" spans="4:4" x14ac:dyDescent="0.2">
      <c r="D651" s="8"/>
    </row>
    <row r="652" spans="4:4" x14ac:dyDescent="0.2">
      <c r="D652" s="8"/>
    </row>
    <row r="653" spans="4:4" x14ac:dyDescent="0.2">
      <c r="D653" s="8"/>
    </row>
    <row r="654" spans="4:4" x14ac:dyDescent="0.2">
      <c r="D654" s="8"/>
    </row>
    <row r="655" spans="4:4" x14ac:dyDescent="0.2">
      <c r="D655" s="8"/>
    </row>
    <row r="656" spans="4:4" x14ac:dyDescent="0.2">
      <c r="D656" s="8"/>
    </row>
    <row r="657" spans="4:10" x14ac:dyDescent="0.2">
      <c r="D657" s="8"/>
    </row>
    <row r="658" spans="4:10" x14ac:dyDescent="0.2">
      <c r="D658" s="8"/>
    </row>
    <row r="659" spans="4:10" x14ac:dyDescent="0.2">
      <c r="D659" s="8"/>
    </row>
    <row r="660" spans="4:10" x14ac:dyDescent="0.2">
      <c r="D660" s="8"/>
    </row>
    <row r="661" spans="4:10" x14ac:dyDescent="0.2">
      <c r="D661" s="8"/>
      <c r="J661" s="13"/>
    </row>
    <row r="662" spans="4:10" x14ac:dyDescent="0.2">
      <c r="D662" s="8"/>
    </row>
    <row r="663" spans="4:10" x14ac:dyDescent="0.2">
      <c r="D663" s="8"/>
    </row>
    <row r="664" spans="4:10" x14ac:dyDescent="0.2">
      <c r="D664" s="8"/>
    </row>
    <row r="665" spans="4:10" x14ac:dyDescent="0.2">
      <c r="D665" s="8"/>
    </row>
    <row r="666" spans="4:10" x14ac:dyDescent="0.2">
      <c r="D666" s="8"/>
    </row>
    <row r="667" spans="4:10" x14ac:dyDescent="0.2">
      <c r="D667" s="8"/>
    </row>
    <row r="668" spans="4:10" x14ac:dyDescent="0.2">
      <c r="D668" s="8"/>
    </row>
    <row r="669" spans="4:10" x14ac:dyDescent="0.2">
      <c r="D669" s="8"/>
    </row>
    <row r="670" spans="4:10" x14ac:dyDescent="0.2">
      <c r="D670" s="8"/>
    </row>
    <row r="671" spans="4:10" x14ac:dyDescent="0.2">
      <c r="D671" s="8"/>
    </row>
    <row r="672" spans="4:10" x14ac:dyDescent="0.2">
      <c r="D672" s="8"/>
    </row>
    <row r="673" spans="4:4" x14ac:dyDescent="0.2">
      <c r="D673" s="8"/>
    </row>
    <row r="674" spans="4:4" x14ac:dyDescent="0.2">
      <c r="D674" s="8"/>
    </row>
    <row r="675" spans="4:4" x14ac:dyDescent="0.2">
      <c r="D675" s="8"/>
    </row>
    <row r="676" spans="4:4" x14ac:dyDescent="0.2">
      <c r="D676" s="8"/>
    </row>
    <row r="677" spans="4:4" x14ac:dyDescent="0.2">
      <c r="D677" s="8"/>
    </row>
    <row r="678" spans="4:4" x14ac:dyDescent="0.2">
      <c r="D678" s="8"/>
    </row>
    <row r="679" spans="4:4" x14ac:dyDescent="0.2">
      <c r="D679" s="8"/>
    </row>
    <row r="680" spans="4:4" x14ac:dyDescent="0.2">
      <c r="D680" s="8"/>
    </row>
    <row r="681" spans="4:4" x14ac:dyDescent="0.2">
      <c r="D681" s="8"/>
    </row>
    <row r="682" spans="4:4" x14ac:dyDescent="0.2">
      <c r="D682" s="8"/>
    </row>
    <row r="683" spans="4:4" x14ac:dyDescent="0.2">
      <c r="D683" s="8"/>
    </row>
    <row r="684" spans="4:4" x14ac:dyDescent="0.2">
      <c r="D684" s="8"/>
    </row>
    <row r="685" spans="4:4" x14ac:dyDescent="0.2">
      <c r="D685" s="8"/>
    </row>
    <row r="686" spans="4:4" x14ac:dyDescent="0.2">
      <c r="D686" s="8"/>
    </row>
    <row r="687" spans="4:4" x14ac:dyDescent="0.2">
      <c r="D687" s="8"/>
    </row>
    <row r="688" spans="4:4" x14ac:dyDescent="0.2">
      <c r="D688" s="8"/>
    </row>
    <row r="689" spans="4:4" x14ac:dyDescent="0.2">
      <c r="D689" s="8"/>
    </row>
    <row r="690" spans="4:4" x14ac:dyDescent="0.2">
      <c r="D690" s="8"/>
    </row>
    <row r="691" spans="4:4" x14ac:dyDescent="0.2">
      <c r="D691" s="8"/>
    </row>
    <row r="692" spans="4:4" x14ac:dyDescent="0.2">
      <c r="D692" s="8"/>
    </row>
    <row r="693" spans="4:4" x14ac:dyDescent="0.2">
      <c r="D693" s="8"/>
    </row>
    <row r="694" spans="4:4" x14ac:dyDescent="0.2">
      <c r="D694" s="8"/>
    </row>
    <row r="695" spans="4:4" x14ac:dyDescent="0.2">
      <c r="D695" s="8"/>
    </row>
    <row r="696" spans="4:4" x14ac:dyDescent="0.2">
      <c r="D696" s="8"/>
    </row>
    <row r="697" spans="4:4" x14ac:dyDescent="0.2">
      <c r="D697" s="8"/>
    </row>
    <row r="698" spans="4:4" x14ac:dyDescent="0.2">
      <c r="D698" s="8"/>
    </row>
    <row r="699" spans="4:4" x14ac:dyDescent="0.2">
      <c r="D699" s="8"/>
    </row>
    <row r="700" spans="4:4" x14ac:dyDescent="0.2">
      <c r="D700" s="8"/>
    </row>
    <row r="701" spans="4:4" x14ac:dyDescent="0.2">
      <c r="D701" s="8"/>
    </row>
    <row r="702" spans="4:4" x14ac:dyDescent="0.2">
      <c r="D702" s="8"/>
    </row>
    <row r="703" spans="4:4" x14ac:dyDescent="0.2">
      <c r="D703" s="8"/>
    </row>
    <row r="704" spans="4:4" x14ac:dyDescent="0.2">
      <c r="D704" s="8"/>
    </row>
    <row r="705" spans="4:4" x14ac:dyDescent="0.2">
      <c r="D705" s="8"/>
    </row>
    <row r="706" spans="4:4" x14ac:dyDescent="0.2">
      <c r="D706" s="8"/>
    </row>
    <row r="707" spans="4:4" x14ac:dyDescent="0.2">
      <c r="D707" s="8"/>
    </row>
    <row r="708" spans="4:4" x14ac:dyDescent="0.2">
      <c r="D708" s="8"/>
    </row>
    <row r="709" spans="4:4" x14ac:dyDescent="0.2">
      <c r="D709" s="8"/>
    </row>
    <row r="710" spans="4:4" x14ac:dyDescent="0.2">
      <c r="D710" s="8"/>
    </row>
    <row r="711" spans="4:4" x14ac:dyDescent="0.2">
      <c r="D711" s="8"/>
    </row>
    <row r="712" spans="4:4" x14ac:dyDescent="0.2">
      <c r="D712" s="8"/>
    </row>
    <row r="713" spans="4:4" x14ac:dyDescent="0.2">
      <c r="D713" s="8"/>
    </row>
    <row r="714" spans="4:4" x14ac:dyDescent="0.2">
      <c r="D714" s="8"/>
    </row>
    <row r="715" spans="4:4" x14ac:dyDescent="0.2">
      <c r="D715" s="8"/>
    </row>
    <row r="716" spans="4:4" x14ac:dyDescent="0.2">
      <c r="D716" s="8"/>
    </row>
    <row r="717" spans="4:4" x14ac:dyDescent="0.2">
      <c r="D717" s="8"/>
    </row>
    <row r="718" spans="4:4" x14ac:dyDescent="0.2">
      <c r="D718" s="8"/>
    </row>
    <row r="719" spans="4:4" x14ac:dyDescent="0.2">
      <c r="D719" s="8"/>
    </row>
    <row r="720" spans="4:4" x14ac:dyDescent="0.2">
      <c r="D720" s="8"/>
    </row>
    <row r="721" spans="4:4" x14ac:dyDescent="0.2">
      <c r="D721" s="8"/>
    </row>
    <row r="722" spans="4:4" x14ac:dyDescent="0.2">
      <c r="D722" s="8"/>
    </row>
    <row r="723" spans="4:4" x14ac:dyDescent="0.2">
      <c r="D723" s="8"/>
    </row>
    <row r="724" spans="4:4" x14ac:dyDescent="0.2">
      <c r="D724" s="8"/>
    </row>
    <row r="725" spans="4:4" x14ac:dyDescent="0.2">
      <c r="D725" s="8"/>
    </row>
    <row r="726" spans="4:4" x14ac:dyDescent="0.2">
      <c r="D726" s="8"/>
    </row>
    <row r="727" spans="4:4" x14ac:dyDescent="0.2">
      <c r="D727" s="8"/>
    </row>
    <row r="728" spans="4:4" x14ac:dyDescent="0.2">
      <c r="D728" s="8"/>
    </row>
    <row r="729" spans="4:4" x14ac:dyDescent="0.2">
      <c r="D729" s="8"/>
    </row>
    <row r="730" spans="4:4" x14ac:dyDescent="0.2">
      <c r="D730" s="8"/>
    </row>
    <row r="731" spans="4:4" x14ac:dyDescent="0.2">
      <c r="D731" s="8"/>
    </row>
    <row r="732" spans="4:4" x14ac:dyDescent="0.2">
      <c r="D732" s="8"/>
    </row>
    <row r="733" spans="4:4" x14ac:dyDescent="0.2">
      <c r="D733" s="8"/>
    </row>
    <row r="734" spans="4:4" x14ac:dyDescent="0.2">
      <c r="D734" s="8"/>
    </row>
    <row r="735" spans="4:4" x14ac:dyDescent="0.2">
      <c r="D735" s="8"/>
    </row>
    <row r="736" spans="4:4" x14ac:dyDescent="0.2">
      <c r="D736" s="8"/>
    </row>
    <row r="737" spans="4:4" x14ac:dyDescent="0.2">
      <c r="D737" s="8"/>
    </row>
    <row r="738" spans="4:4" x14ac:dyDescent="0.2">
      <c r="D738" s="8"/>
    </row>
    <row r="739" spans="4:4" x14ac:dyDescent="0.2">
      <c r="D739" s="8"/>
    </row>
    <row r="740" spans="4:4" x14ac:dyDescent="0.2">
      <c r="D740" s="8"/>
    </row>
    <row r="741" spans="4:4" x14ac:dyDescent="0.2">
      <c r="D741" s="8"/>
    </row>
    <row r="742" spans="4:4" x14ac:dyDescent="0.2">
      <c r="D742" s="8"/>
    </row>
    <row r="743" spans="4:4" x14ac:dyDescent="0.2">
      <c r="D743" s="8"/>
    </row>
    <row r="744" spans="4:4" x14ac:dyDescent="0.2">
      <c r="D744" s="8"/>
    </row>
    <row r="745" spans="4:4" x14ac:dyDescent="0.2">
      <c r="D745" s="8"/>
    </row>
    <row r="746" spans="4:4" x14ac:dyDescent="0.2">
      <c r="D746" s="8"/>
    </row>
    <row r="747" spans="4:4" x14ac:dyDescent="0.2">
      <c r="D747" s="8"/>
    </row>
    <row r="748" spans="4:4" x14ac:dyDescent="0.2">
      <c r="D748" s="8"/>
    </row>
    <row r="749" spans="4:4" x14ac:dyDescent="0.2">
      <c r="D749" s="8"/>
    </row>
    <row r="750" spans="4:4" x14ac:dyDescent="0.2">
      <c r="D750" s="8"/>
    </row>
    <row r="751" spans="4:4" x14ac:dyDescent="0.2">
      <c r="D751" s="8"/>
    </row>
    <row r="752" spans="4:4" x14ac:dyDescent="0.2">
      <c r="D752" s="8"/>
    </row>
    <row r="753" spans="4:4" x14ac:dyDescent="0.2">
      <c r="D753" s="8"/>
    </row>
    <row r="754" spans="4:4" x14ac:dyDescent="0.2">
      <c r="D754" s="8"/>
    </row>
    <row r="755" spans="4:4" x14ac:dyDescent="0.2">
      <c r="D755" s="8"/>
    </row>
    <row r="756" spans="4:4" x14ac:dyDescent="0.2">
      <c r="D756" s="8"/>
    </row>
    <row r="757" spans="4:4" x14ac:dyDescent="0.2">
      <c r="D757" s="8"/>
    </row>
    <row r="758" spans="4:4" x14ac:dyDescent="0.2">
      <c r="D758" s="8"/>
    </row>
    <row r="759" spans="4:4" x14ac:dyDescent="0.2">
      <c r="D759" s="8"/>
    </row>
    <row r="760" spans="4:4" x14ac:dyDescent="0.2">
      <c r="D760" s="8"/>
    </row>
    <row r="761" spans="4:4" x14ac:dyDescent="0.2">
      <c r="D761" s="8"/>
    </row>
    <row r="762" spans="4:4" x14ac:dyDescent="0.2">
      <c r="D762" s="8"/>
    </row>
    <row r="763" spans="4:4" x14ac:dyDescent="0.2">
      <c r="D763" s="8"/>
    </row>
    <row r="764" spans="4:4" x14ac:dyDescent="0.2">
      <c r="D764" s="8"/>
    </row>
    <row r="765" spans="4:4" x14ac:dyDescent="0.2">
      <c r="D765" s="8"/>
    </row>
    <row r="766" spans="4:4" x14ac:dyDescent="0.2">
      <c r="D766" s="8"/>
    </row>
    <row r="767" spans="4:4" x14ac:dyDescent="0.2">
      <c r="D767" s="8"/>
    </row>
    <row r="768" spans="4:4" x14ac:dyDescent="0.2">
      <c r="D768" s="8"/>
    </row>
    <row r="769" spans="4:4" x14ac:dyDescent="0.2">
      <c r="D769" s="8"/>
    </row>
    <row r="770" spans="4:4" x14ac:dyDescent="0.2">
      <c r="D770" s="8"/>
    </row>
    <row r="771" spans="4:4" x14ac:dyDescent="0.2">
      <c r="D771" s="8"/>
    </row>
    <row r="772" spans="4:4" x14ac:dyDescent="0.2">
      <c r="D772" s="8"/>
    </row>
    <row r="773" spans="4:4" x14ac:dyDescent="0.2">
      <c r="D773" s="8"/>
    </row>
    <row r="774" spans="4:4" x14ac:dyDescent="0.2">
      <c r="D774" s="8"/>
    </row>
    <row r="775" spans="4:4" x14ac:dyDescent="0.2">
      <c r="D775" s="8"/>
    </row>
    <row r="776" spans="4:4" x14ac:dyDescent="0.2">
      <c r="D776" s="8"/>
    </row>
    <row r="777" spans="4:4" x14ac:dyDescent="0.2">
      <c r="D777" s="8"/>
    </row>
    <row r="778" spans="4:4" x14ac:dyDescent="0.2">
      <c r="D778" s="8"/>
    </row>
    <row r="779" spans="4:4" x14ac:dyDescent="0.2">
      <c r="D779" s="8"/>
    </row>
    <row r="780" spans="4:4" x14ac:dyDescent="0.2">
      <c r="D780" s="8"/>
    </row>
    <row r="781" spans="4:4" x14ac:dyDescent="0.2">
      <c r="D781" s="8"/>
    </row>
    <row r="782" spans="4:4" x14ac:dyDescent="0.2">
      <c r="D782" s="8"/>
    </row>
    <row r="783" spans="4:4" x14ac:dyDescent="0.2">
      <c r="D783" s="8"/>
    </row>
    <row r="784" spans="4:4" x14ac:dyDescent="0.2">
      <c r="D784" s="8"/>
    </row>
    <row r="785" spans="4:4" x14ac:dyDescent="0.2">
      <c r="D785" s="8"/>
    </row>
    <row r="786" spans="4:4" x14ac:dyDescent="0.2">
      <c r="D786" s="8"/>
    </row>
    <row r="787" spans="4:4" x14ac:dyDescent="0.2">
      <c r="D787" s="8"/>
    </row>
    <row r="788" spans="4:4" x14ac:dyDescent="0.2">
      <c r="D788" s="8"/>
    </row>
    <row r="789" spans="4:4" x14ac:dyDescent="0.2">
      <c r="D789" s="8"/>
    </row>
    <row r="790" spans="4:4" x14ac:dyDescent="0.2">
      <c r="D790" s="8"/>
    </row>
    <row r="791" spans="4:4" x14ac:dyDescent="0.2">
      <c r="D791" s="8"/>
    </row>
    <row r="792" spans="4:4" x14ac:dyDescent="0.2">
      <c r="D792" s="8"/>
    </row>
    <row r="793" spans="4:4" x14ac:dyDescent="0.2">
      <c r="D793" s="8"/>
    </row>
    <row r="794" spans="4:4" x14ac:dyDescent="0.2">
      <c r="D794" s="8"/>
    </row>
    <row r="795" spans="4:4" x14ac:dyDescent="0.2">
      <c r="D795" s="8"/>
    </row>
    <row r="796" spans="4:4" x14ac:dyDescent="0.2">
      <c r="D796" s="8"/>
    </row>
    <row r="797" spans="4:4" x14ac:dyDescent="0.2">
      <c r="D797" s="8"/>
    </row>
    <row r="798" spans="4:4" x14ac:dyDescent="0.2">
      <c r="D798" s="8"/>
    </row>
    <row r="799" spans="4:4" x14ac:dyDescent="0.2">
      <c r="D799" s="8"/>
    </row>
    <row r="800" spans="4:4" x14ac:dyDescent="0.2">
      <c r="D800" s="8"/>
    </row>
    <row r="801" spans="4:4" x14ac:dyDescent="0.2">
      <c r="D801" s="8"/>
    </row>
    <row r="802" spans="4:4" x14ac:dyDescent="0.2">
      <c r="D802" s="8"/>
    </row>
    <row r="803" spans="4:4" x14ac:dyDescent="0.2">
      <c r="D803" s="8"/>
    </row>
    <row r="804" spans="4:4" x14ac:dyDescent="0.2">
      <c r="D804" s="8"/>
    </row>
    <row r="805" spans="4:4" x14ac:dyDescent="0.2">
      <c r="D805" s="8"/>
    </row>
    <row r="806" spans="4:4" x14ac:dyDescent="0.2">
      <c r="D806" s="8"/>
    </row>
    <row r="807" spans="4:4" x14ac:dyDescent="0.2">
      <c r="D807" s="8"/>
    </row>
    <row r="808" spans="4:4" x14ac:dyDescent="0.2">
      <c r="D808" s="8"/>
    </row>
    <row r="809" spans="4:4" x14ac:dyDescent="0.2">
      <c r="D809" s="8"/>
    </row>
    <row r="810" spans="4:4" x14ac:dyDescent="0.2">
      <c r="D810" s="8"/>
    </row>
    <row r="811" spans="4:4" x14ac:dyDescent="0.2">
      <c r="D811" s="8"/>
    </row>
    <row r="812" spans="4:4" x14ac:dyDescent="0.2">
      <c r="D812" s="8"/>
    </row>
    <row r="813" spans="4:4" x14ac:dyDescent="0.2">
      <c r="D813" s="8"/>
    </row>
    <row r="814" spans="4:4" x14ac:dyDescent="0.2">
      <c r="D814" s="8"/>
    </row>
    <row r="815" spans="4:4" x14ac:dyDescent="0.2">
      <c r="D815" s="8"/>
    </row>
    <row r="816" spans="4:4" x14ac:dyDescent="0.2">
      <c r="D816" s="8"/>
    </row>
    <row r="817" spans="4:4" x14ac:dyDescent="0.2">
      <c r="D817" s="8"/>
    </row>
    <row r="818" spans="4:4" x14ac:dyDescent="0.2">
      <c r="D818" s="8"/>
    </row>
    <row r="819" spans="4:4" x14ac:dyDescent="0.2">
      <c r="D819" s="8"/>
    </row>
    <row r="820" spans="4:4" x14ac:dyDescent="0.2">
      <c r="D820" s="8"/>
    </row>
    <row r="821" spans="4:4" x14ac:dyDescent="0.2">
      <c r="D821" s="8"/>
    </row>
    <row r="822" spans="4:4" x14ac:dyDescent="0.2">
      <c r="D822" s="8"/>
    </row>
    <row r="823" spans="4:4" x14ac:dyDescent="0.2">
      <c r="D823" s="8"/>
    </row>
    <row r="824" spans="4:4" x14ac:dyDescent="0.2">
      <c r="D824" s="8"/>
    </row>
    <row r="825" spans="4:4" x14ac:dyDescent="0.2">
      <c r="D825" s="8"/>
    </row>
    <row r="826" spans="4:4" x14ac:dyDescent="0.2">
      <c r="D826" s="8"/>
    </row>
    <row r="827" spans="4:4" x14ac:dyDescent="0.2">
      <c r="D827" s="8"/>
    </row>
    <row r="828" spans="4:4" x14ac:dyDescent="0.2">
      <c r="D828" s="8"/>
    </row>
    <row r="829" spans="4:4" x14ac:dyDescent="0.2">
      <c r="D829" s="8"/>
    </row>
    <row r="830" spans="4:4" x14ac:dyDescent="0.2">
      <c r="D830" s="8"/>
    </row>
    <row r="831" spans="4:4" x14ac:dyDescent="0.2">
      <c r="D831" s="8"/>
    </row>
    <row r="832" spans="4:4" x14ac:dyDescent="0.2">
      <c r="D832" s="8"/>
    </row>
    <row r="833" spans="4:4" x14ac:dyDescent="0.2">
      <c r="D833" s="8"/>
    </row>
    <row r="834" spans="4:4" x14ac:dyDescent="0.2">
      <c r="D834" s="8"/>
    </row>
    <row r="835" spans="4:4" x14ac:dyDescent="0.2">
      <c r="D835" s="8"/>
    </row>
    <row r="836" spans="4:4" x14ac:dyDescent="0.2">
      <c r="D836" s="8"/>
    </row>
    <row r="837" spans="4:4" x14ac:dyDescent="0.2">
      <c r="D837" s="8"/>
    </row>
    <row r="838" spans="4:4" x14ac:dyDescent="0.2">
      <c r="D838" s="8"/>
    </row>
    <row r="839" spans="4:4" x14ac:dyDescent="0.2">
      <c r="D839" s="8"/>
    </row>
    <row r="840" spans="4:4" x14ac:dyDescent="0.2">
      <c r="D840" s="8"/>
    </row>
    <row r="841" spans="4:4" x14ac:dyDescent="0.2">
      <c r="D841" s="8"/>
    </row>
    <row r="842" spans="4:4" x14ac:dyDescent="0.2">
      <c r="D842" s="8"/>
    </row>
    <row r="843" spans="4:4" x14ac:dyDescent="0.2">
      <c r="D843" s="8"/>
    </row>
    <row r="844" spans="4:4" x14ac:dyDescent="0.2">
      <c r="D844" s="8"/>
    </row>
    <row r="845" spans="4:4" x14ac:dyDescent="0.2">
      <c r="D845" s="8"/>
    </row>
    <row r="846" spans="4:4" x14ac:dyDescent="0.2">
      <c r="D846" s="8"/>
    </row>
    <row r="847" spans="4:4" x14ac:dyDescent="0.2">
      <c r="D847" s="8"/>
    </row>
    <row r="848" spans="4:4" x14ac:dyDescent="0.2">
      <c r="D848" s="8"/>
    </row>
    <row r="849" spans="4:4" x14ac:dyDescent="0.2">
      <c r="D849" s="8"/>
    </row>
    <row r="850" spans="4:4" x14ac:dyDescent="0.2">
      <c r="D850" s="8"/>
    </row>
    <row r="851" spans="4:4" x14ac:dyDescent="0.2">
      <c r="D851" s="8"/>
    </row>
    <row r="852" spans="4:4" x14ac:dyDescent="0.2">
      <c r="D852" s="8"/>
    </row>
    <row r="853" spans="4:4" x14ac:dyDescent="0.2">
      <c r="D853" s="8"/>
    </row>
    <row r="854" spans="4:4" x14ac:dyDescent="0.2">
      <c r="D854" s="8"/>
    </row>
    <row r="855" spans="4:4" x14ac:dyDescent="0.2">
      <c r="D855" s="8"/>
    </row>
    <row r="856" spans="4:4" x14ac:dyDescent="0.2">
      <c r="D856" s="8"/>
    </row>
    <row r="857" spans="4:4" x14ac:dyDescent="0.2">
      <c r="D857" s="8"/>
    </row>
    <row r="858" spans="4:4" x14ac:dyDescent="0.2">
      <c r="D858" s="8"/>
    </row>
    <row r="859" spans="4:4" x14ac:dyDescent="0.2">
      <c r="D859" s="8"/>
    </row>
    <row r="860" spans="4:4" x14ac:dyDescent="0.2">
      <c r="D860" s="8"/>
    </row>
    <row r="861" spans="4:4" x14ac:dyDescent="0.2">
      <c r="D861" s="8"/>
    </row>
    <row r="862" spans="4:4" x14ac:dyDescent="0.2">
      <c r="D862" s="8"/>
    </row>
    <row r="863" spans="4:4" x14ac:dyDescent="0.2">
      <c r="D863" s="8"/>
    </row>
    <row r="864" spans="4:4" x14ac:dyDescent="0.2">
      <c r="D864" s="8"/>
    </row>
    <row r="865" spans="4:4" x14ac:dyDescent="0.2">
      <c r="D865" s="8"/>
    </row>
    <row r="866" spans="4:4" x14ac:dyDescent="0.2">
      <c r="D866" s="8"/>
    </row>
    <row r="867" spans="4:4" x14ac:dyDescent="0.2">
      <c r="D867" s="8"/>
    </row>
    <row r="868" spans="4:4" x14ac:dyDescent="0.2">
      <c r="D868" s="8"/>
    </row>
    <row r="869" spans="4:4" x14ac:dyDescent="0.2">
      <c r="D869" s="8"/>
    </row>
    <row r="870" spans="4:4" x14ac:dyDescent="0.2">
      <c r="D870" s="8"/>
    </row>
    <row r="871" spans="4:4" x14ac:dyDescent="0.2">
      <c r="D871" s="8"/>
    </row>
    <row r="872" spans="4:4" x14ac:dyDescent="0.2">
      <c r="D872" s="8"/>
    </row>
    <row r="873" spans="4:4" x14ac:dyDescent="0.2">
      <c r="D873" s="8"/>
    </row>
    <row r="874" spans="4:4" x14ac:dyDescent="0.2">
      <c r="D874" s="8"/>
    </row>
    <row r="875" spans="4:4" x14ac:dyDescent="0.2">
      <c r="D875" s="8"/>
    </row>
    <row r="876" spans="4:4" x14ac:dyDescent="0.2">
      <c r="D876" s="8"/>
    </row>
    <row r="877" spans="4:4" x14ac:dyDescent="0.2">
      <c r="D877" s="8"/>
    </row>
    <row r="878" spans="4:4" x14ac:dyDescent="0.2">
      <c r="D878" s="8"/>
    </row>
    <row r="879" spans="4:4" x14ac:dyDescent="0.2">
      <c r="D879" s="8"/>
    </row>
    <row r="880" spans="4:4" x14ac:dyDescent="0.2">
      <c r="D880" s="8"/>
    </row>
    <row r="881" spans="4:4" x14ac:dyDescent="0.2">
      <c r="D881" s="8"/>
    </row>
    <row r="882" spans="4:4" x14ac:dyDescent="0.2">
      <c r="D882" s="8"/>
    </row>
    <row r="883" spans="4:4" x14ac:dyDescent="0.2">
      <c r="D883" s="8"/>
    </row>
    <row r="884" spans="4:4" x14ac:dyDescent="0.2">
      <c r="D884" s="8"/>
    </row>
    <row r="885" spans="4:4" x14ac:dyDescent="0.2">
      <c r="D885" s="8"/>
    </row>
    <row r="886" spans="4:4" x14ac:dyDescent="0.2">
      <c r="D886" s="8"/>
    </row>
    <row r="887" spans="4:4" x14ac:dyDescent="0.2">
      <c r="D887" s="8"/>
    </row>
    <row r="888" spans="4:4" x14ac:dyDescent="0.2">
      <c r="D888" s="8"/>
    </row>
    <row r="889" spans="4:4" x14ac:dyDescent="0.2">
      <c r="D889" s="8"/>
    </row>
    <row r="890" spans="4:4" x14ac:dyDescent="0.2">
      <c r="D890" s="8"/>
    </row>
    <row r="891" spans="4:4" x14ac:dyDescent="0.2">
      <c r="D891" s="8"/>
    </row>
    <row r="892" spans="4:4" x14ac:dyDescent="0.2">
      <c r="D892" s="8"/>
    </row>
    <row r="893" spans="4:4" x14ac:dyDescent="0.2">
      <c r="D893" s="8"/>
    </row>
    <row r="894" spans="4:4" x14ac:dyDescent="0.2">
      <c r="D894" s="8"/>
    </row>
    <row r="895" spans="4:4" x14ac:dyDescent="0.2">
      <c r="D895" s="8"/>
    </row>
    <row r="896" spans="4:4" x14ac:dyDescent="0.2">
      <c r="D896" s="8"/>
    </row>
    <row r="897" spans="4:4" x14ac:dyDescent="0.2">
      <c r="D897" s="8"/>
    </row>
    <row r="898" spans="4:4" x14ac:dyDescent="0.2">
      <c r="D898" s="8"/>
    </row>
    <row r="899" spans="4:4" x14ac:dyDescent="0.2">
      <c r="D899" s="8"/>
    </row>
    <row r="900" spans="4:4" x14ac:dyDescent="0.2">
      <c r="D900" s="8"/>
    </row>
    <row r="901" spans="4:4" x14ac:dyDescent="0.2">
      <c r="D901" s="8"/>
    </row>
    <row r="902" spans="4:4" x14ac:dyDescent="0.2">
      <c r="D902" s="8"/>
    </row>
    <row r="903" spans="4:4" x14ac:dyDescent="0.2">
      <c r="D903" s="8"/>
    </row>
    <row r="904" spans="4:4" x14ac:dyDescent="0.2">
      <c r="D904" s="8"/>
    </row>
    <row r="905" spans="4:4" x14ac:dyDescent="0.2">
      <c r="D905" s="8"/>
    </row>
    <row r="906" spans="4:4" x14ac:dyDescent="0.2">
      <c r="D906" s="8"/>
    </row>
    <row r="907" spans="4:4" x14ac:dyDescent="0.2">
      <c r="D907" s="8"/>
    </row>
    <row r="908" spans="4:4" x14ac:dyDescent="0.2">
      <c r="D908" s="8"/>
    </row>
    <row r="909" spans="4:4" x14ac:dyDescent="0.2">
      <c r="D909" s="8"/>
    </row>
    <row r="910" spans="4:4" x14ac:dyDescent="0.2">
      <c r="D910" s="8"/>
    </row>
    <row r="911" spans="4:4" x14ac:dyDescent="0.2">
      <c r="D911" s="8"/>
    </row>
    <row r="912" spans="4:4" x14ac:dyDescent="0.2">
      <c r="D912" s="8"/>
    </row>
    <row r="913" spans="4:4" x14ac:dyDescent="0.2">
      <c r="D913" s="8"/>
    </row>
    <row r="914" spans="4:4" x14ac:dyDescent="0.2">
      <c r="D914" s="8"/>
    </row>
    <row r="915" spans="4:4" x14ac:dyDescent="0.2">
      <c r="D915" s="8"/>
    </row>
    <row r="916" spans="4:4" x14ac:dyDescent="0.2">
      <c r="D916" s="8"/>
    </row>
    <row r="917" spans="4:4" x14ac:dyDescent="0.2">
      <c r="D917" s="8"/>
    </row>
    <row r="918" spans="4:4" x14ac:dyDescent="0.2">
      <c r="D918" s="8"/>
    </row>
    <row r="919" spans="4:4" x14ac:dyDescent="0.2">
      <c r="D919" s="8"/>
    </row>
    <row r="920" spans="4:4" x14ac:dyDescent="0.2">
      <c r="D920" s="8"/>
    </row>
    <row r="921" spans="4:4" x14ac:dyDescent="0.2">
      <c r="D921" s="8"/>
    </row>
    <row r="922" spans="4:4" x14ac:dyDescent="0.2">
      <c r="D922" s="8"/>
    </row>
    <row r="923" spans="4:4" x14ac:dyDescent="0.2">
      <c r="D923" s="8"/>
    </row>
    <row r="924" spans="4:4" x14ac:dyDescent="0.2">
      <c r="D924" s="8"/>
    </row>
    <row r="925" spans="4:4" x14ac:dyDescent="0.2">
      <c r="D925" s="8"/>
    </row>
    <row r="926" spans="4:4" x14ac:dyDescent="0.2">
      <c r="D926" s="8"/>
    </row>
    <row r="927" spans="4:4" x14ac:dyDescent="0.2">
      <c r="D927" s="8"/>
    </row>
    <row r="928" spans="4:4" x14ac:dyDescent="0.2">
      <c r="D928" s="8"/>
    </row>
    <row r="929" spans="4:4" x14ac:dyDescent="0.2">
      <c r="D929" s="8"/>
    </row>
    <row r="930" spans="4:4" x14ac:dyDescent="0.2">
      <c r="D930" s="8"/>
    </row>
    <row r="931" spans="4:4" x14ac:dyDescent="0.2">
      <c r="D931" s="8"/>
    </row>
    <row r="932" spans="4:4" x14ac:dyDescent="0.2">
      <c r="D932" s="8"/>
    </row>
    <row r="933" spans="4:4" x14ac:dyDescent="0.2">
      <c r="D933" s="8"/>
    </row>
    <row r="934" spans="4:4" x14ac:dyDescent="0.2">
      <c r="D934" s="8"/>
    </row>
    <row r="935" spans="4:4" x14ac:dyDescent="0.2">
      <c r="D935" s="8"/>
    </row>
    <row r="936" spans="4:4" x14ac:dyDescent="0.2">
      <c r="D936" s="8"/>
    </row>
    <row r="937" spans="4:4" x14ac:dyDescent="0.2">
      <c r="D937" s="8"/>
    </row>
    <row r="938" spans="4:4" x14ac:dyDescent="0.2">
      <c r="D938" s="8"/>
    </row>
    <row r="939" spans="4:4" x14ac:dyDescent="0.2">
      <c r="D939" s="8"/>
    </row>
    <row r="940" spans="4:4" x14ac:dyDescent="0.2">
      <c r="D940" s="8"/>
    </row>
    <row r="941" spans="4:4" x14ac:dyDescent="0.2">
      <c r="D941" s="8"/>
    </row>
    <row r="942" spans="4:4" x14ac:dyDescent="0.2">
      <c r="D942" s="8"/>
    </row>
    <row r="943" spans="4:4" x14ac:dyDescent="0.2">
      <c r="D943" s="8"/>
    </row>
    <row r="944" spans="4:4" x14ac:dyDescent="0.2">
      <c r="D944" s="8"/>
    </row>
    <row r="945" spans="4:4" x14ac:dyDescent="0.2">
      <c r="D945" s="8"/>
    </row>
    <row r="946" spans="4:4" x14ac:dyDescent="0.2">
      <c r="D946" s="8"/>
    </row>
    <row r="947" spans="4:4" x14ac:dyDescent="0.2">
      <c r="D947" s="8"/>
    </row>
    <row r="948" spans="4:4" x14ac:dyDescent="0.2">
      <c r="D948" s="8"/>
    </row>
    <row r="949" spans="4:4" x14ac:dyDescent="0.2">
      <c r="D949" s="8"/>
    </row>
    <row r="950" spans="4:4" x14ac:dyDescent="0.2">
      <c r="D950" s="8"/>
    </row>
    <row r="951" spans="4:4" x14ac:dyDescent="0.2">
      <c r="D951" s="8"/>
    </row>
    <row r="952" spans="4:4" x14ac:dyDescent="0.2">
      <c r="D952" s="8"/>
    </row>
    <row r="953" spans="4:4" x14ac:dyDescent="0.2">
      <c r="D953" s="8"/>
    </row>
    <row r="954" spans="4:4" x14ac:dyDescent="0.2">
      <c r="D954" s="8"/>
    </row>
    <row r="955" spans="4:4" x14ac:dyDescent="0.2">
      <c r="D955" s="8"/>
    </row>
    <row r="956" spans="4:4" x14ac:dyDescent="0.2">
      <c r="D956" s="8"/>
    </row>
    <row r="957" spans="4:4" x14ac:dyDescent="0.2">
      <c r="D957" s="8"/>
    </row>
    <row r="958" spans="4:4" x14ac:dyDescent="0.2">
      <c r="D958" s="8"/>
    </row>
    <row r="959" spans="4:4" x14ac:dyDescent="0.2">
      <c r="D959" s="8"/>
    </row>
    <row r="960" spans="4:4" x14ac:dyDescent="0.2">
      <c r="D960" s="8"/>
    </row>
    <row r="961" spans="4:4" x14ac:dyDescent="0.2">
      <c r="D961" s="8"/>
    </row>
    <row r="962" spans="4:4" x14ac:dyDescent="0.2">
      <c r="D962" s="8"/>
    </row>
    <row r="963" spans="4:4" x14ac:dyDescent="0.2">
      <c r="D963" s="8"/>
    </row>
    <row r="964" spans="4:4" x14ac:dyDescent="0.2">
      <c r="D964" s="8"/>
    </row>
    <row r="965" spans="4:4" x14ac:dyDescent="0.2">
      <c r="D965" s="8"/>
    </row>
    <row r="966" spans="4:4" x14ac:dyDescent="0.2">
      <c r="D966" s="8"/>
    </row>
    <row r="967" spans="4:4" x14ac:dyDescent="0.2">
      <c r="D967" s="8"/>
    </row>
    <row r="968" spans="4:4" x14ac:dyDescent="0.2">
      <c r="D968" s="8"/>
    </row>
    <row r="969" spans="4:4" x14ac:dyDescent="0.2">
      <c r="D969" s="8"/>
    </row>
    <row r="970" spans="4:4" x14ac:dyDescent="0.2">
      <c r="D970" s="8"/>
    </row>
    <row r="971" spans="4:4" x14ac:dyDescent="0.2">
      <c r="D971" s="8"/>
    </row>
    <row r="972" spans="4:4" x14ac:dyDescent="0.2">
      <c r="D972" s="8"/>
    </row>
    <row r="973" spans="4:4" x14ac:dyDescent="0.2">
      <c r="D973" s="8"/>
    </row>
    <row r="974" spans="4:4" x14ac:dyDescent="0.2">
      <c r="D974" s="8"/>
    </row>
    <row r="975" spans="4:4" x14ac:dyDescent="0.2">
      <c r="D975" s="8"/>
    </row>
    <row r="976" spans="4:4" x14ac:dyDescent="0.2">
      <c r="D976" s="8"/>
    </row>
    <row r="977" spans="4:4" x14ac:dyDescent="0.2">
      <c r="D977" s="8"/>
    </row>
    <row r="978" spans="4:4" x14ac:dyDescent="0.2">
      <c r="D978" s="8"/>
    </row>
    <row r="979" spans="4:4" x14ac:dyDescent="0.2">
      <c r="D979" s="8"/>
    </row>
    <row r="980" spans="4:4" x14ac:dyDescent="0.2">
      <c r="D980" s="8"/>
    </row>
    <row r="981" spans="4:4" x14ac:dyDescent="0.2">
      <c r="D981" s="8"/>
    </row>
    <row r="982" spans="4:4" x14ac:dyDescent="0.2">
      <c r="D982" s="8"/>
    </row>
    <row r="983" spans="4:4" x14ac:dyDescent="0.2">
      <c r="D983" s="8"/>
    </row>
    <row r="984" spans="4:4" x14ac:dyDescent="0.2">
      <c r="D984" s="8"/>
    </row>
    <row r="985" spans="4:4" x14ac:dyDescent="0.2">
      <c r="D985" s="8"/>
    </row>
    <row r="986" spans="4:4" x14ac:dyDescent="0.2">
      <c r="D986" s="8"/>
    </row>
    <row r="987" spans="4:4" x14ac:dyDescent="0.2">
      <c r="D987" s="8"/>
    </row>
    <row r="988" spans="4:4" x14ac:dyDescent="0.2">
      <c r="D988" s="8"/>
    </row>
    <row r="989" spans="4:4" x14ac:dyDescent="0.2">
      <c r="D989" s="8"/>
    </row>
    <row r="990" spans="4:4" x14ac:dyDescent="0.2">
      <c r="D990" s="8"/>
    </row>
    <row r="991" spans="4:4" x14ac:dyDescent="0.2">
      <c r="D991" s="8"/>
    </row>
    <row r="992" spans="4:4" x14ac:dyDescent="0.2">
      <c r="D992" s="8"/>
    </row>
    <row r="993" spans="4:4" x14ac:dyDescent="0.2">
      <c r="D993" s="8"/>
    </row>
    <row r="994" spans="4:4" x14ac:dyDescent="0.2">
      <c r="D994" s="8"/>
    </row>
    <row r="995" spans="4:4" x14ac:dyDescent="0.2">
      <c r="D995" s="8"/>
    </row>
    <row r="996" spans="4:4" x14ac:dyDescent="0.2">
      <c r="D996" s="8"/>
    </row>
    <row r="997" spans="4:4" x14ac:dyDescent="0.2">
      <c r="D997" s="8"/>
    </row>
    <row r="998" spans="4:4" x14ac:dyDescent="0.2">
      <c r="D998" s="8"/>
    </row>
    <row r="999" spans="4:4" x14ac:dyDescent="0.2">
      <c r="D999" s="8"/>
    </row>
    <row r="1000" spans="4:4" x14ac:dyDescent="0.2">
      <c r="D1000" s="8"/>
    </row>
    <row r="1001" spans="4:4" x14ac:dyDescent="0.2">
      <c r="D1001" s="8"/>
    </row>
    <row r="1002" spans="4:4" x14ac:dyDescent="0.2">
      <c r="D1002" s="8"/>
    </row>
    <row r="1003" spans="4:4" x14ac:dyDescent="0.2">
      <c r="D1003" s="8"/>
    </row>
    <row r="1004" spans="4:4" x14ac:dyDescent="0.2">
      <c r="D1004" s="8"/>
    </row>
    <row r="1005" spans="4:4" x14ac:dyDescent="0.2">
      <c r="D1005" s="8"/>
    </row>
    <row r="1006" spans="4:4" x14ac:dyDescent="0.2">
      <c r="D1006" s="8"/>
    </row>
    <row r="1007" spans="4:4" x14ac:dyDescent="0.2">
      <c r="D1007" s="8"/>
    </row>
    <row r="1008" spans="4:4" x14ac:dyDescent="0.2">
      <c r="D1008" s="8"/>
    </row>
    <row r="1009" spans="4:4" x14ac:dyDescent="0.2">
      <c r="D1009" s="8"/>
    </row>
    <row r="1010" spans="4:4" x14ac:dyDescent="0.2">
      <c r="D1010" s="8"/>
    </row>
    <row r="1011" spans="4:4" x14ac:dyDescent="0.2">
      <c r="D1011" s="8"/>
    </row>
    <row r="1012" spans="4:4" x14ac:dyDescent="0.2">
      <c r="D1012" s="8"/>
    </row>
    <row r="1013" spans="4:4" x14ac:dyDescent="0.2">
      <c r="D1013" s="8"/>
    </row>
    <row r="1014" spans="4:4" x14ac:dyDescent="0.2">
      <c r="D1014" s="8"/>
    </row>
    <row r="1015" spans="4:4" x14ac:dyDescent="0.2">
      <c r="D1015" s="8"/>
    </row>
    <row r="1016" spans="4:4" x14ac:dyDescent="0.2">
      <c r="D1016" s="8"/>
    </row>
    <row r="1017" spans="4:4" x14ac:dyDescent="0.2">
      <c r="D1017" s="8"/>
    </row>
    <row r="1018" spans="4:4" x14ac:dyDescent="0.2">
      <c r="D1018" s="8"/>
    </row>
    <row r="1019" spans="4:4" x14ac:dyDescent="0.2">
      <c r="D1019" s="8"/>
    </row>
    <row r="1020" spans="4:4" x14ac:dyDescent="0.2">
      <c r="D1020" s="8"/>
    </row>
    <row r="1021" spans="4:4" x14ac:dyDescent="0.2">
      <c r="D1021" s="8"/>
    </row>
    <row r="1022" spans="4:4" x14ac:dyDescent="0.2">
      <c r="D1022" s="8"/>
    </row>
    <row r="1023" spans="4:4" x14ac:dyDescent="0.2">
      <c r="D1023" s="8"/>
    </row>
    <row r="1024" spans="4:4" x14ac:dyDescent="0.2">
      <c r="D1024" s="8"/>
    </row>
    <row r="1025" spans="4:4" x14ac:dyDescent="0.2">
      <c r="D1025" s="8"/>
    </row>
    <row r="1026" spans="4:4" x14ac:dyDescent="0.2">
      <c r="D1026" s="8"/>
    </row>
    <row r="1027" spans="4:4" x14ac:dyDescent="0.2">
      <c r="D1027" s="8"/>
    </row>
    <row r="1028" spans="4:4" x14ac:dyDescent="0.2">
      <c r="D1028" s="8"/>
    </row>
    <row r="1029" spans="4:4" x14ac:dyDescent="0.2">
      <c r="D1029" s="8"/>
    </row>
    <row r="1030" spans="4:4" x14ac:dyDescent="0.2">
      <c r="D1030" s="8"/>
    </row>
    <row r="1031" spans="4:4" x14ac:dyDescent="0.2">
      <c r="D1031" s="8"/>
    </row>
    <row r="1032" spans="4:4" x14ac:dyDescent="0.2">
      <c r="D1032" s="8"/>
    </row>
    <row r="1033" spans="4:4" x14ac:dyDescent="0.2">
      <c r="D1033" s="8"/>
    </row>
    <row r="1034" spans="4:4" x14ac:dyDescent="0.2">
      <c r="D1034" s="8"/>
    </row>
    <row r="1035" spans="4:4" x14ac:dyDescent="0.2">
      <c r="D1035" s="8"/>
    </row>
    <row r="1036" spans="4:4" x14ac:dyDescent="0.2">
      <c r="D1036" s="8"/>
    </row>
    <row r="1037" spans="4:4" x14ac:dyDescent="0.2">
      <c r="D1037" s="8"/>
    </row>
    <row r="1038" spans="4:4" x14ac:dyDescent="0.2">
      <c r="D1038" s="8"/>
    </row>
    <row r="1039" spans="4:4" x14ac:dyDescent="0.2">
      <c r="D1039" s="8"/>
    </row>
    <row r="1040" spans="4:4" x14ac:dyDescent="0.2">
      <c r="D1040" s="8"/>
    </row>
    <row r="1041" spans="4:4" x14ac:dyDescent="0.2">
      <c r="D1041" s="8"/>
    </row>
    <row r="1042" spans="4:4" x14ac:dyDescent="0.2">
      <c r="D1042" s="8"/>
    </row>
    <row r="1043" spans="4:4" x14ac:dyDescent="0.2">
      <c r="D1043" s="8"/>
    </row>
    <row r="1044" spans="4:4" x14ac:dyDescent="0.2">
      <c r="D1044" s="8"/>
    </row>
    <row r="1045" spans="4:4" x14ac:dyDescent="0.2">
      <c r="D1045" s="8"/>
    </row>
    <row r="1046" spans="4:4" x14ac:dyDescent="0.2">
      <c r="D1046" s="8"/>
    </row>
    <row r="1047" spans="4:4" x14ac:dyDescent="0.2">
      <c r="D1047" s="8"/>
    </row>
    <row r="1048" spans="4:4" x14ac:dyDescent="0.2">
      <c r="D1048" s="8"/>
    </row>
    <row r="1049" spans="4:4" x14ac:dyDescent="0.2">
      <c r="D1049" s="8"/>
    </row>
    <row r="1050" spans="4:4" x14ac:dyDescent="0.2">
      <c r="D1050" s="8"/>
    </row>
    <row r="1051" spans="4:4" x14ac:dyDescent="0.2">
      <c r="D1051" s="8"/>
    </row>
    <row r="1052" spans="4:4" x14ac:dyDescent="0.2">
      <c r="D1052" s="8"/>
    </row>
    <row r="1053" spans="4:4" x14ac:dyDescent="0.2">
      <c r="D1053" s="8"/>
    </row>
    <row r="1054" spans="4:4" x14ac:dyDescent="0.2">
      <c r="D1054" s="8"/>
    </row>
    <row r="1055" spans="4:4" x14ac:dyDescent="0.2">
      <c r="D1055" s="8"/>
    </row>
    <row r="1056" spans="4:4" x14ac:dyDescent="0.2">
      <c r="D1056" s="8"/>
    </row>
    <row r="1057" spans="4:4" x14ac:dyDescent="0.2">
      <c r="D1057" s="8"/>
    </row>
    <row r="1058" spans="4:4" x14ac:dyDescent="0.2">
      <c r="D1058" s="8"/>
    </row>
    <row r="1059" spans="4:4" x14ac:dyDescent="0.2">
      <c r="D1059" s="8"/>
    </row>
    <row r="1060" spans="4:4" x14ac:dyDescent="0.2">
      <c r="D1060" s="8"/>
    </row>
    <row r="1061" spans="4:4" x14ac:dyDescent="0.2">
      <c r="D1061" s="8"/>
    </row>
    <row r="1062" spans="4:4" x14ac:dyDescent="0.2">
      <c r="D1062" s="8"/>
    </row>
    <row r="1063" spans="4:4" x14ac:dyDescent="0.2">
      <c r="D1063" s="8"/>
    </row>
    <row r="1064" spans="4:4" x14ac:dyDescent="0.2">
      <c r="D1064" s="8"/>
    </row>
    <row r="1065" spans="4:4" x14ac:dyDescent="0.2">
      <c r="D1065" s="8"/>
    </row>
    <row r="1066" spans="4:4" x14ac:dyDescent="0.2">
      <c r="D1066" s="8"/>
    </row>
    <row r="1067" spans="4:4" x14ac:dyDescent="0.2">
      <c r="D1067" s="8"/>
    </row>
    <row r="1068" spans="4:4" x14ac:dyDescent="0.2">
      <c r="D1068" s="8"/>
    </row>
    <row r="1069" spans="4:4" x14ac:dyDescent="0.2">
      <c r="D1069" s="8"/>
    </row>
    <row r="1070" spans="4:4" x14ac:dyDescent="0.2">
      <c r="D1070" s="8"/>
    </row>
    <row r="1071" spans="4:4" x14ac:dyDescent="0.2">
      <c r="D1071" s="8"/>
    </row>
    <row r="1072" spans="4:4" x14ac:dyDescent="0.2">
      <c r="D1072" s="8"/>
    </row>
    <row r="1073" spans="4:4" x14ac:dyDescent="0.2">
      <c r="D1073" s="8"/>
    </row>
    <row r="1074" spans="4:4" x14ac:dyDescent="0.2">
      <c r="D1074" s="8"/>
    </row>
    <row r="1075" spans="4:4" x14ac:dyDescent="0.2">
      <c r="D1075" s="8"/>
    </row>
    <row r="1076" spans="4:4" x14ac:dyDescent="0.2">
      <c r="D1076" s="8"/>
    </row>
    <row r="1077" spans="4:4" x14ac:dyDescent="0.2">
      <c r="D1077" s="8"/>
    </row>
    <row r="1078" spans="4:4" x14ac:dyDescent="0.2">
      <c r="D1078" s="8"/>
    </row>
    <row r="1079" spans="4:4" x14ac:dyDescent="0.2">
      <c r="D1079" s="8"/>
    </row>
    <row r="1080" spans="4:4" x14ac:dyDescent="0.2">
      <c r="D1080" s="8"/>
    </row>
    <row r="1081" spans="4:4" x14ac:dyDescent="0.2">
      <c r="D1081" s="8"/>
    </row>
    <row r="1082" spans="4:4" x14ac:dyDescent="0.2">
      <c r="D1082" s="8"/>
    </row>
    <row r="1083" spans="4:4" x14ac:dyDescent="0.2">
      <c r="D1083" s="8"/>
    </row>
    <row r="1084" spans="4:4" x14ac:dyDescent="0.2">
      <c r="D1084" s="8"/>
    </row>
    <row r="1085" spans="4:4" x14ac:dyDescent="0.2">
      <c r="D1085" s="8"/>
    </row>
    <row r="1086" spans="4:4" x14ac:dyDescent="0.2">
      <c r="D1086" s="8"/>
    </row>
    <row r="1087" spans="4:4" x14ac:dyDescent="0.2">
      <c r="D1087" s="8"/>
    </row>
    <row r="1088" spans="4:4" x14ac:dyDescent="0.2">
      <c r="D1088" s="8"/>
    </row>
    <row r="1089" spans="4:4" x14ac:dyDescent="0.2">
      <c r="D1089" s="8"/>
    </row>
    <row r="1090" spans="4:4" x14ac:dyDescent="0.2">
      <c r="D1090" s="8"/>
    </row>
    <row r="1091" spans="4:4" x14ac:dyDescent="0.2">
      <c r="D1091" s="8"/>
    </row>
    <row r="1092" spans="4:4" x14ac:dyDescent="0.2">
      <c r="D1092" s="8"/>
    </row>
    <row r="1093" spans="4:4" x14ac:dyDescent="0.2">
      <c r="D1093" s="8"/>
    </row>
    <row r="1094" spans="4:4" x14ac:dyDescent="0.2">
      <c r="D1094" s="8"/>
    </row>
    <row r="1095" spans="4:4" x14ac:dyDescent="0.2">
      <c r="D1095" s="8"/>
    </row>
    <row r="1096" spans="4:4" x14ac:dyDescent="0.2">
      <c r="D1096" s="8"/>
    </row>
    <row r="1097" spans="4:4" x14ac:dyDescent="0.2">
      <c r="D1097" s="8"/>
    </row>
    <row r="1098" spans="4:4" x14ac:dyDescent="0.2">
      <c r="D1098" s="8"/>
    </row>
    <row r="1099" spans="4:4" x14ac:dyDescent="0.2">
      <c r="D1099" s="8"/>
    </row>
    <row r="1100" spans="4:4" x14ac:dyDescent="0.2">
      <c r="D1100" s="8"/>
    </row>
    <row r="1101" spans="4:4" x14ac:dyDescent="0.2">
      <c r="D1101" s="8"/>
    </row>
    <row r="1102" spans="4:4" x14ac:dyDescent="0.2">
      <c r="D1102" s="8"/>
    </row>
    <row r="1103" spans="4:4" x14ac:dyDescent="0.2">
      <c r="D1103" s="8"/>
    </row>
    <row r="1104" spans="4:4" x14ac:dyDescent="0.2">
      <c r="D1104" s="8"/>
    </row>
    <row r="1105" spans="4:4" x14ac:dyDescent="0.2">
      <c r="D1105" s="8"/>
    </row>
    <row r="1106" spans="4:4" x14ac:dyDescent="0.2">
      <c r="D1106" s="8"/>
    </row>
    <row r="1107" spans="4:4" x14ac:dyDescent="0.2">
      <c r="D1107" s="8"/>
    </row>
    <row r="1108" spans="4:4" x14ac:dyDescent="0.2">
      <c r="D1108" s="8"/>
    </row>
    <row r="1109" spans="4:4" x14ac:dyDescent="0.2">
      <c r="D1109" s="8"/>
    </row>
    <row r="1110" spans="4:4" x14ac:dyDescent="0.2">
      <c r="D1110" s="8"/>
    </row>
    <row r="1111" spans="4:4" x14ac:dyDescent="0.2">
      <c r="D1111" s="8"/>
    </row>
    <row r="1112" spans="4:4" x14ac:dyDescent="0.2">
      <c r="D1112" s="8"/>
    </row>
    <row r="1113" spans="4:4" x14ac:dyDescent="0.2">
      <c r="D1113" s="8"/>
    </row>
    <row r="1114" spans="4:4" x14ac:dyDescent="0.2">
      <c r="D1114" s="8"/>
    </row>
    <row r="1115" spans="4:4" x14ac:dyDescent="0.2">
      <c r="D1115" s="8"/>
    </row>
    <row r="1116" spans="4:4" x14ac:dyDescent="0.2">
      <c r="D1116" s="8"/>
    </row>
    <row r="1117" spans="4:4" x14ac:dyDescent="0.2">
      <c r="D1117" s="8"/>
    </row>
    <row r="1118" spans="4:4" x14ac:dyDescent="0.2">
      <c r="D1118" s="8"/>
    </row>
    <row r="1119" spans="4:4" x14ac:dyDescent="0.2">
      <c r="D1119" s="8"/>
    </row>
    <row r="1120" spans="4:4" x14ac:dyDescent="0.2">
      <c r="D1120" s="8"/>
    </row>
    <row r="1121" spans="4:4" x14ac:dyDescent="0.2">
      <c r="D1121" s="8"/>
    </row>
    <row r="1122" spans="4:4" x14ac:dyDescent="0.2">
      <c r="D1122" s="8"/>
    </row>
    <row r="1123" spans="4:4" x14ac:dyDescent="0.2">
      <c r="D1123" s="8"/>
    </row>
    <row r="1124" spans="4:4" x14ac:dyDescent="0.2">
      <c r="D1124" s="8"/>
    </row>
    <row r="1125" spans="4:4" x14ac:dyDescent="0.2">
      <c r="D1125" s="8"/>
    </row>
    <row r="1126" spans="4:4" x14ac:dyDescent="0.2">
      <c r="D1126" s="8"/>
    </row>
    <row r="1127" spans="4:4" x14ac:dyDescent="0.2">
      <c r="D1127" s="8"/>
    </row>
    <row r="1128" spans="4:4" x14ac:dyDescent="0.2">
      <c r="D1128" s="8"/>
    </row>
    <row r="1129" spans="4:4" x14ac:dyDescent="0.2">
      <c r="D1129" s="8"/>
    </row>
    <row r="1130" spans="4:4" x14ac:dyDescent="0.2">
      <c r="D1130" s="8"/>
    </row>
    <row r="1131" spans="4:4" x14ac:dyDescent="0.2">
      <c r="D1131" s="8"/>
    </row>
    <row r="1132" spans="4:4" x14ac:dyDescent="0.2">
      <c r="D1132" s="8"/>
    </row>
    <row r="1133" spans="4:4" x14ac:dyDescent="0.2">
      <c r="D1133" s="8"/>
    </row>
    <row r="1134" spans="4:4" x14ac:dyDescent="0.2">
      <c r="D1134" s="8"/>
    </row>
    <row r="1135" spans="4:4" x14ac:dyDescent="0.2">
      <c r="D1135" s="8"/>
    </row>
    <row r="1136" spans="4:4" x14ac:dyDescent="0.2">
      <c r="D1136" s="8"/>
    </row>
    <row r="1137" spans="4:4" x14ac:dyDescent="0.2">
      <c r="D1137" s="8"/>
    </row>
    <row r="1138" spans="4:4" x14ac:dyDescent="0.2">
      <c r="D1138" s="8"/>
    </row>
    <row r="1139" spans="4:4" x14ac:dyDescent="0.2">
      <c r="D1139" s="8"/>
    </row>
    <row r="1140" spans="4:4" x14ac:dyDescent="0.2">
      <c r="D1140" s="8"/>
    </row>
    <row r="1141" spans="4:4" x14ac:dyDescent="0.2">
      <c r="D1141" s="8"/>
    </row>
    <row r="1142" spans="4:4" x14ac:dyDescent="0.2">
      <c r="D1142" s="8"/>
    </row>
    <row r="1143" spans="4:4" x14ac:dyDescent="0.2">
      <c r="D1143" s="8"/>
    </row>
    <row r="1144" spans="4:4" x14ac:dyDescent="0.2">
      <c r="D1144" s="8"/>
    </row>
    <row r="1145" spans="4:4" x14ac:dyDescent="0.2">
      <c r="D1145" s="8"/>
    </row>
    <row r="1146" spans="4:4" x14ac:dyDescent="0.2">
      <c r="D1146" s="8"/>
    </row>
    <row r="1147" spans="4:4" x14ac:dyDescent="0.2">
      <c r="D1147" s="8"/>
    </row>
    <row r="1148" spans="4:4" x14ac:dyDescent="0.2">
      <c r="D1148" s="8"/>
    </row>
    <row r="1149" spans="4:4" x14ac:dyDescent="0.2">
      <c r="D1149" s="8"/>
    </row>
    <row r="1150" spans="4:4" x14ac:dyDescent="0.2">
      <c r="D1150" s="8"/>
    </row>
    <row r="1151" spans="4:4" x14ac:dyDescent="0.2">
      <c r="D1151" s="8"/>
    </row>
    <row r="1152" spans="4:4" x14ac:dyDescent="0.2">
      <c r="D1152" s="8"/>
    </row>
    <row r="1153" spans="4:4" x14ac:dyDescent="0.2">
      <c r="D1153" s="8"/>
    </row>
    <row r="1154" spans="4:4" x14ac:dyDescent="0.2">
      <c r="D1154" s="8"/>
    </row>
    <row r="1155" spans="4:4" x14ac:dyDescent="0.2">
      <c r="D1155" s="8"/>
    </row>
    <row r="1156" spans="4:4" x14ac:dyDescent="0.2">
      <c r="D1156" s="8"/>
    </row>
    <row r="1157" spans="4:4" x14ac:dyDescent="0.2">
      <c r="D1157" s="8"/>
    </row>
    <row r="1158" spans="4:4" x14ac:dyDescent="0.2">
      <c r="D1158" s="8"/>
    </row>
    <row r="1159" spans="4:4" x14ac:dyDescent="0.2">
      <c r="D1159" s="8"/>
    </row>
    <row r="1160" spans="4:4" x14ac:dyDescent="0.2">
      <c r="D1160" s="8"/>
    </row>
    <row r="1161" spans="4:4" x14ac:dyDescent="0.2">
      <c r="D1161" s="8"/>
    </row>
    <row r="1162" spans="4:4" x14ac:dyDescent="0.2">
      <c r="D1162" s="8"/>
    </row>
    <row r="1163" spans="4:4" x14ac:dyDescent="0.2">
      <c r="D1163" s="8"/>
    </row>
    <row r="1164" spans="4:4" x14ac:dyDescent="0.2">
      <c r="D1164" s="8"/>
    </row>
    <row r="1165" spans="4:4" x14ac:dyDescent="0.2">
      <c r="D1165" s="8"/>
    </row>
    <row r="1166" spans="4:4" x14ac:dyDescent="0.2">
      <c r="D1166" s="8"/>
    </row>
    <row r="1167" spans="4:4" x14ac:dyDescent="0.2">
      <c r="D1167" s="8"/>
    </row>
    <row r="1168" spans="4:4" x14ac:dyDescent="0.2">
      <c r="D1168" s="8"/>
    </row>
    <row r="1169" spans="4:4" x14ac:dyDescent="0.2">
      <c r="D1169" s="8"/>
    </row>
    <row r="1170" spans="4:4" x14ac:dyDescent="0.2">
      <c r="D1170" s="8"/>
    </row>
    <row r="1171" spans="4:4" x14ac:dyDescent="0.2">
      <c r="D1171" s="8"/>
    </row>
    <row r="1172" spans="4:4" x14ac:dyDescent="0.2">
      <c r="D1172" s="8"/>
    </row>
    <row r="1173" spans="4:4" x14ac:dyDescent="0.2">
      <c r="D1173" s="8"/>
    </row>
    <row r="1174" spans="4:4" x14ac:dyDescent="0.2">
      <c r="D1174" s="8"/>
    </row>
    <row r="1175" spans="4:4" x14ac:dyDescent="0.2">
      <c r="D1175" s="8"/>
    </row>
    <row r="1176" spans="4:4" x14ac:dyDescent="0.2">
      <c r="D1176" s="8"/>
    </row>
    <row r="1177" spans="4:4" x14ac:dyDescent="0.2">
      <c r="D1177" s="8"/>
    </row>
    <row r="1178" spans="4:4" x14ac:dyDescent="0.2">
      <c r="D1178" s="8"/>
    </row>
    <row r="1179" spans="4:4" x14ac:dyDescent="0.2">
      <c r="D1179" s="8"/>
    </row>
    <row r="1180" spans="4:4" x14ac:dyDescent="0.2">
      <c r="D1180" s="8"/>
    </row>
    <row r="1181" spans="4:4" x14ac:dyDescent="0.2">
      <c r="D1181" s="8"/>
    </row>
    <row r="1182" spans="4:4" x14ac:dyDescent="0.2">
      <c r="D1182" s="8"/>
    </row>
    <row r="1183" spans="4:4" x14ac:dyDescent="0.2">
      <c r="D1183" s="8"/>
    </row>
    <row r="1184" spans="4:4" x14ac:dyDescent="0.2">
      <c r="D1184" s="8"/>
    </row>
    <row r="1185" spans="4:4" x14ac:dyDescent="0.2">
      <c r="D1185" s="8"/>
    </row>
    <row r="1186" spans="4:4" x14ac:dyDescent="0.2">
      <c r="D1186" s="8"/>
    </row>
    <row r="1187" spans="4:4" x14ac:dyDescent="0.2">
      <c r="D1187" s="8"/>
    </row>
    <row r="1188" spans="4:4" x14ac:dyDescent="0.2">
      <c r="D1188" s="8"/>
    </row>
    <row r="1189" spans="4:4" x14ac:dyDescent="0.2">
      <c r="D1189" s="8"/>
    </row>
    <row r="1190" spans="4:4" x14ac:dyDescent="0.2">
      <c r="D1190" s="8"/>
    </row>
    <row r="1191" spans="4:4" x14ac:dyDescent="0.2">
      <c r="D1191" s="8"/>
    </row>
    <row r="1192" spans="4:4" x14ac:dyDescent="0.2">
      <c r="D1192" s="8"/>
    </row>
    <row r="1193" spans="4:4" x14ac:dyDescent="0.2">
      <c r="D1193" s="8"/>
    </row>
    <row r="1194" spans="4:4" x14ac:dyDescent="0.2">
      <c r="D1194" s="8"/>
    </row>
    <row r="1195" spans="4:4" x14ac:dyDescent="0.2">
      <c r="D1195" s="8"/>
    </row>
    <row r="1196" spans="4:4" x14ac:dyDescent="0.2">
      <c r="D1196" s="8"/>
    </row>
    <row r="1197" spans="4:4" x14ac:dyDescent="0.2">
      <c r="D1197" s="8"/>
    </row>
    <row r="1198" spans="4:4" x14ac:dyDescent="0.2">
      <c r="D1198" s="8"/>
    </row>
    <row r="1199" spans="4:4" x14ac:dyDescent="0.2">
      <c r="D1199" s="8"/>
    </row>
    <row r="1200" spans="4:4" x14ac:dyDescent="0.2">
      <c r="D1200" s="8"/>
    </row>
    <row r="1201" spans="4:4" x14ac:dyDescent="0.2">
      <c r="D1201" s="8"/>
    </row>
    <row r="1202" spans="4:4" x14ac:dyDescent="0.2">
      <c r="D1202" s="8"/>
    </row>
    <row r="1203" spans="4:4" x14ac:dyDescent="0.2">
      <c r="D1203" s="8"/>
    </row>
    <row r="1204" spans="4:4" x14ac:dyDescent="0.2">
      <c r="D1204" s="8"/>
    </row>
    <row r="1205" spans="4:4" x14ac:dyDescent="0.2">
      <c r="D1205" s="8"/>
    </row>
    <row r="1206" spans="4:4" x14ac:dyDescent="0.2">
      <c r="D1206" s="8"/>
    </row>
    <row r="1207" spans="4:4" x14ac:dyDescent="0.2">
      <c r="D1207" s="8"/>
    </row>
    <row r="1208" spans="4:4" x14ac:dyDescent="0.2">
      <c r="D1208" s="8"/>
    </row>
    <row r="1209" spans="4:4" x14ac:dyDescent="0.2">
      <c r="D1209" s="8"/>
    </row>
    <row r="1210" spans="4:4" x14ac:dyDescent="0.2">
      <c r="D1210" s="8"/>
    </row>
    <row r="1211" spans="4:4" x14ac:dyDescent="0.2">
      <c r="D1211" s="8"/>
    </row>
    <row r="1212" spans="4:4" x14ac:dyDescent="0.2">
      <c r="D1212" s="8"/>
    </row>
    <row r="1213" spans="4:4" x14ac:dyDescent="0.2">
      <c r="D1213" s="8"/>
    </row>
    <row r="1214" spans="4:4" x14ac:dyDescent="0.2">
      <c r="D1214" s="8"/>
    </row>
    <row r="1215" spans="4:4" x14ac:dyDescent="0.2">
      <c r="D1215" s="8"/>
    </row>
    <row r="1216" spans="4:4" x14ac:dyDescent="0.2">
      <c r="D1216" s="8"/>
    </row>
    <row r="1217" spans="4:4" x14ac:dyDescent="0.2">
      <c r="D1217" s="8"/>
    </row>
    <row r="1218" spans="4:4" x14ac:dyDescent="0.2">
      <c r="D1218" s="8"/>
    </row>
    <row r="1219" spans="4:4" x14ac:dyDescent="0.2">
      <c r="D1219" s="8"/>
    </row>
    <row r="1220" spans="4:4" x14ac:dyDescent="0.2">
      <c r="D1220" s="8"/>
    </row>
    <row r="1221" spans="4:4" x14ac:dyDescent="0.2">
      <c r="D1221" s="8"/>
    </row>
    <row r="1222" spans="4:4" x14ac:dyDescent="0.2">
      <c r="D1222" s="8"/>
    </row>
    <row r="1223" spans="4:4" x14ac:dyDescent="0.2">
      <c r="D1223" s="8"/>
    </row>
    <row r="1224" spans="4:4" x14ac:dyDescent="0.2">
      <c r="D1224" s="8"/>
    </row>
    <row r="1225" spans="4:4" x14ac:dyDescent="0.2">
      <c r="D1225" s="8"/>
    </row>
    <row r="1226" spans="4:4" x14ac:dyDescent="0.2">
      <c r="D1226" s="8"/>
    </row>
    <row r="1227" spans="4:4" x14ac:dyDescent="0.2">
      <c r="D1227" s="8"/>
    </row>
    <row r="1228" spans="4:4" x14ac:dyDescent="0.2">
      <c r="D1228" s="8"/>
    </row>
    <row r="1229" spans="4:4" x14ac:dyDescent="0.2">
      <c r="D1229" s="8"/>
    </row>
    <row r="1230" spans="4:4" x14ac:dyDescent="0.2">
      <c r="D1230" s="8"/>
    </row>
    <row r="1231" spans="4:4" x14ac:dyDescent="0.2">
      <c r="D1231" s="8"/>
    </row>
    <row r="1232" spans="4:4" x14ac:dyDescent="0.2">
      <c r="D1232" s="8"/>
    </row>
    <row r="1233" spans="4:4" x14ac:dyDescent="0.2">
      <c r="D1233" s="8"/>
    </row>
    <row r="1234" spans="4:4" x14ac:dyDescent="0.2">
      <c r="D1234" s="8"/>
    </row>
    <row r="1235" spans="4:4" x14ac:dyDescent="0.2">
      <c r="D1235" s="8"/>
    </row>
    <row r="1236" spans="4:4" x14ac:dyDescent="0.2">
      <c r="D1236" s="8"/>
    </row>
    <row r="1237" spans="4:4" x14ac:dyDescent="0.2">
      <c r="D1237" s="8"/>
    </row>
    <row r="1238" spans="4:4" x14ac:dyDescent="0.2">
      <c r="D1238" s="8"/>
    </row>
    <row r="1239" spans="4:4" x14ac:dyDescent="0.2">
      <c r="D1239" s="8"/>
    </row>
    <row r="1240" spans="4:4" x14ac:dyDescent="0.2">
      <c r="D1240" s="8"/>
    </row>
    <row r="1241" spans="4:4" x14ac:dyDescent="0.2">
      <c r="D1241" s="8"/>
    </row>
    <row r="1242" spans="4:4" x14ac:dyDescent="0.2">
      <c r="D1242" s="8"/>
    </row>
    <row r="1243" spans="4:4" x14ac:dyDescent="0.2">
      <c r="D1243" s="8"/>
    </row>
    <row r="1244" spans="4:4" x14ac:dyDescent="0.2">
      <c r="D1244" s="8"/>
    </row>
    <row r="1245" spans="4:4" x14ac:dyDescent="0.2">
      <c r="D1245" s="8"/>
    </row>
    <row r="1246" spans="4:4" x14ac:dyDescent="0.2">
      <c r="D1246" s="8"/>
    </row>
    <row r="1247" spans="4:4" x14ac:dyDescent="0.2">
      <c r="D1247" s="8"/>
    </row>
    <row r="1248" spans="4:4" x14ac:dyDescent="0.2">
      <c r="D1248" s="8"/>
    </row>
    <row r="1249" spans="4:4" x14ac:dyDescent="0.2">
      <c r="D1249" s="8"/>
    </row>
    <row r="1250" spans="4:4" x14ac:dyDescent="0.2">
      <c r="D1250" s="8"/>
    </row>
    <row r="1251" spans="4:4" x14ac:dyDescent="0.2">
      <c r="D1251" s="8"/>
    </row>
    <row r="1252" spans="4:4" x14ac:dyDescent="0.2">
      <c r="D1252" s="8"/>
    </row>
    <row r="1253" spans="4:4" x14ac:dyDescent="0.2">
      <c r="D1253" s="8"/>
    </row>
    <row r="1254" spans="4:4" x14ac:dyDescent="0.2">
      <c r="D1254" s="8"/>
    </row>
    <row r="1255" spans="4:4" x14ac:dyDescent="0.2">
      <c r="D1255" s="8"/>
    </row>
    <row r="1256" spans="4:4" x14ac:dyDescent="0.2">
      <c r="D1256" s="8"/>
    </row>
    <row r="1257" spans="4:4" x14ac:dyDescent="0.2">
      <c r="D1257" s="8"/>
    </row>
    <row r="1258" spans="4:4" x14ac:dyDescent="0.2">
      <c r="D1258" s="8"/>
    </row>
    <row r="1259" spans="4:4" x14ac:dyDescent="0.2">
      <c r="D1259" s="8"/>
    </row>
    <row r="1260" spans="4:4" x14ac:dyDescent="0.2">
      <c r="D1260" s="8"/>
    </row>
    <row r="1261" spans="4:4" x14ac:dyDescent="0.2">
      <c r="D1261" s="8"/>
    </row>
    <row r="1262" spans="4:4" x14ac:dyDescent="0.2">
      <c r="D1262" s="8"/>
    </row>
    <row r="1263" spans="4:4" x14ac:dyDescent="0.2">
      <c r="D1263" s="8"/>
    </row>
    <row r="1264" spans="4:4" x14ac:dyDescent="0.2">
      <c r="D1264" s="8"/>
    </row>
    <row r="1265" spans="4:4" x14ac:dyDescent="0.2">
      <c r="D1265" s="8"/>
    </row>
    <row r="1266" spans="4:4" x14ac:dyDescent="0.2">
      <c r="D1266" s="8"/>
    </row>
    <row r="1267" spans="4:4" x14ac:dyDescent="0.2">
      <c r="D1267" s="8"/>
    </row>
    <row r="1268" spans="4:4" x14ac:dyDescent="0.2">
      <c r="D1268" s="8"/>
    </row>
    <row r="1269" spans="4:4" x14ac:dyDescent="0.2">
      <c r="D1269" s="8"/>
    </row>
    <row r="1270" spans="4:4" x14ac:dyDescent="0.2">
      <c r="D1270" s="8"/>
    </row>
    <row r="1271" spans="4:4" x14ac:dyDescent="0.2">
      <c r="D1271" s="8"/>
    </row>
    <row r="1272" spans="4:4" x14ac:dyDescent="0.2">
      <c r="D1272" s="8"/>
    </row>
    <row r="1273" spans="4:4" x14ac:dyDescent="0.2">
      <c r="D1273" s="8"/>
    </row>
    <row r="1274" spans="4:4" x14ac:dyDescent="0.2">
      <c r="D1274" s="8"/>
    </row>
    <row r="1275" spans="4:4" x14ac:dyDescent="0.2">
      <c r="D1275" s="8"/>
    </row>
    <row r="1276" spans="4:4" x14ac:dyDescent="0.2">
      <c r="D1276" s="8"/>
    </row>
    <row r="1277" spans="4:4" x14ac:dyDescent="0.2">
      <c r="D1277" s="8"/>
    </row>
    <row r="1278" spans="4:4" x14ac:dyDescent="0.2">
      <c r="D1278" s="8"/>
    </row>
    <row r="1279" spans="4:4" x14ac:dyDescent="0.2">
      <c r="D1279" s="8"/>
    </row>
    <row r="1280" spans="4:4" x14ac:dyDescent="0.2">
      <c r="D1280" s="8"/>
    </row>
    <row r="1281" spans="4:4" x14ac:dyDescent="0.2">
      <c r="D1281" s="8"/>
    </row>
    <row r="1282" spans="4:4" x14ac:dyDescent="0.2">
      <c r="D1282" s="8"/>
    </row>
    <row r="1283" spans="4:4" x14ac:dyDescent="0.2">
      <c r="D1283" s="8"/>
    </row>
    <row r="1284" spans="4:4" x14ac:dyDescent="0.2">
      <c r="D1284" s="8"/>
    </row>
    <row r="1285" spans="4:4" x14ac:dyDescent="0.2">
      <c r="D1285" s="8"/>
    </row>
    <row r="1286" spans="4:4" x14ac:dyDescent="0.2">
      <c r="D1286" s="8"/>
    </row>
    <row r="1287" spans="4:4" x14ac:dyDescent="0.2">
      <c r="D1287" s="8"/>
    </row>
    <row r="1288" spans="4:4" x14ac:dyDescent="0.2">
      <c r="D1288" s="8"/>
    </row>
    <row r="1289" spans="4:4" x14ac:dyDescent="0.2">
      <c r="D1289" s="8"/>
    </row>
    <row r="1290" spans="4:4" x14ac:dyDescent="0.2">
      <c r="D1290" s="8"/>
    </row>
    <row r="1291" spans="4:4" x14ac:dyDescent="0.2">
      <c r="D1291" s="8"/>
    </row>
    <row r="1292" spans="4:4" x14ac:dyDescent="0.2">
      <c r="D1292" s="8"/>
    </row>
    <row r="1293" spans="4:4" x14ac:dyDescent="0.2">
      <c r="D1293" s="8"/>
    </row>
    <row r="1294" spans="4:4" x14ac:dyDescent="0.2">
      <c r="D1294" s="8"/>
    </row>
    <row r="1295" spans="4:4" x14ac:dyDescent="0.2">
      <c r="D1295" s="8"/>
    </row>
    <row r="1296" spans="4:4" x14ac:dyDescent="0.2">
      <c r="D1296" s="8"/>
    </row>
    <row r="1297" spans="4:4" x14ac:dyDescent="0.2">
      <c r="D1297" s="8"/>
    </row>
    <row r="1298" spans="4:4" x14ac:dyDescent="0.2">
      <c r="D1298" s="8"/>
    </row>
    <row r="1299" spans="4:4" x14ac:dyDescent="0.2">
      <c r="D1299" s="8"/>
    </row>
    <row r="1300" spans="4:4" x14ac:dyDescent="0.2">
      <c r="D1300" s="8"/>
    </row>
    <row r="1301" spans="4:4" x14ac:dyDescent="0.2">
      <c r="D1301" s="8"/>
    </row>
    <row r="1302" spans="4:4" x14ac:dyDescent="0.2">
      <c r="D1302" s="8"/>
    </row>
    <row r="1303" spans="4:4" x14ac:dyDescent="0.2">
      <c r="D1303" s="8"/>
    </row>
    <row r="1304" spans="4:4" x14ac:dyDescent="0.2">
      <c r="D1304" s="8"/>
    </row>
    <row r="1305" spans="4:4" x14ac:dyDescent="0.2">
      <c r="D1305" s="8"/>
    </row>
    <row r="1306" spans="4:4" x14ac:dyDescent="0.2">
      <c r="D1306" s="8"/>
    </row>
    <row r="1307" spans="4:4" x14ac:dyDescent="0.2">
      <c r="D1307" s="8"/>
    </row>
    <row r="1308" spans="4:4" x14ac:dyDescent="0.2">
      <c r="D1308" s="8"/>
    </row>
    <row r="1309" spans="4:4" x14ac:dyDescent="0.2">
      <c r="D1309" s="8"/>
    </row>
    <row r="1310" spans="4:4" x14ac:dyDescent="0.2">
      <c r="D1310" s="8"/>
    </row>
    <row r="1311" spans="4:4" x14ac:dyDescent="0.2">
      <c r="D1311" s="8"/>
    </row>
    <row r="1312" spans="4:4" x14ac:dyDescent="0.2">
      <c r="D1312" s="8"/>
    </row>
    <row r="1313" spans="4:4" x14ac:dyDescent="0.2">
      <c r="D1313" s="8"/>
    </row>
    <row r="1314" spans="4:4" x14ac:dyDescent="0.2">
      <c r="D1314" s="8"/>
    </row>
    <row r="1315" spans="4:4" x14ac:dyDescent="0.2">
      <c r="D1315" s="8"/>
    </row>
    <row r="1316" spans="4:4" x14ac:dyDescent="0.2">
      <c r="D1316" s="8"/>
    </row>
    <row r="1317" spans="4:4" x14ac:dyDescent="0.2">
      <c r="D1317" s="8"/>
    </row>
    <row r="1318" spans="4:4" x14ac:dyDescent="0.2">
      <c r="D1318" s="8"/>
    </row>
    <row r="1319" spans="4:4" x14ac:dyDescent="0.2">
      <c r="D1319" s="8"/>
    </row>
    <row r="1320" spans="4:4" x14ac:dyDescent="0.2">
      <c r="D1320" s="8"/>
    </row>
    <row r="1321" spans="4:4" x14ac:dyDescent="0.2">
      <c r="D1321" s="8"/>
    </row>
    <row r="1322" spans="4:4" x14ac:dyDescent="0.2">
      <c r="D1322" s="8"/>
    </row>
    <row r="1323" spans="4:4" x14ac:dyDescent="0.2">
      <c r="D1323" s="8"/>
    </row>
    <row r="1324" spans="4:4" x14ac:dyDescent="0.2">
      <c r="D1324" s="8"/>
    </row>
    <row r="1325" spans="4:4" x14ac:dyDescent="0.2">
      <c r="D1325" s="8"/>
    </row>
    <row r="1326" spans="4:4" x14ac:dyDescent="0.2">
      <c r="D1326" s="8"/>
    </row>
    <row r="1327" spans="4:4" x14ac:dyDescent="0.2">
      <c r="D1327" s="8"/>
    </row>
    <row r="1328" spans="4:4" x14ac:dyDescent="0.2">
      <c r="D1328" s="8"/>
    </row>
    <row r="1329" spans="4:4" x14ac:dyDescent="0.2">
      <c r="D1329" s="8"/>
    </row>
    <row r="1330" spans="4:4" x14ac:dyDescent="0.2">
      <c r="D1330" s="8"/>
    </row>
    <row r="1331" spans="4:4" x14ac:dyDescent="0.2">
      <c r="D1331" s="8"/>
    </row>
    <row r="1332" spans="4:4" x14ac:dyDescent="0.2">
      <c r="D1332" s="8"/>
    </row>
    <row r="1333" spans="4:4" x14ac:dyDescent="0.2">
      <c r="D1333" s="8"/>
    </row>
    <row r="1334" spans="4:4" x14ac:dyDescent="0.2">
      <c r="D1334" s="8"/>
    </row>
    <row r="1335" spans="4:4" x14ac:dyDescent="0.2">
      <c r="D1335" s="8"/>
    </row>
    <row r="1336" spans="4:4" x14ac:dyDescent="0.2">
      <c r="D1336" s="8"/>
    </row>
    <row r="1337" spans="4:4" x14ac:dyDescent="0.2">
      <c r="D1337" s="8"/>
    </row>
    <row r="1338" spans="4:4" x14ac:dyDescent="0.2">
      <c r="D1338" s="8"/>
    </row>
    <row r="1339" spans="4:4" x14ac:dyDescent="0.2">
      <c r="D1339" s="8"/>
    </row>
    <row r="1340" spans="4:4" x14ac:dyDescent="0.2">
      <c r="D1340" s="8"/>
    </row>
    <row r="1341" spans="4:4" x14ac:dyDescent="0.2">
      <c r="D1341" s="8"/>
    </row>
    <row r="1342" spans="4:4" x14ac:dyDescent="0.2">
      <c r="D1342" s="8"/>
    </row>
    <row r="1343" spans="4:4" x14ac:dyDescent="0.2">
      <c r="D1343" s="8"/>
    </row>
    <row r="1344" spans="4:4" x14ac:dyDescent="0.2">
      <c r="D1344" s="8"/>
    </row>
    <row r="1345" spans="4:4" x14ac:dyDescent="0.2">
      <c r="D1345" s="8"/>
    </row>
    <row r="1346" spans="4:4" x14ac:dyDescent="0.2">
      <c r="D1346" s="8"/>
    </row>
    <row r="1347" spans="4:4" x14ac:dyDescent="0.2">
      <c r="D1347" s="8"/>
    </row>
    <row r="1348" spans="4:4" x14ac:dyDescent="0.2">
      <c r="D1348" s="8"/>
    </row>
    <row r="1349" spans="4:4" x14ac:dyDescent="0.2">
      <c r="D1349" s="8"/>
    </row>
    <row r="1350" spans="4:4" x14ac:dyDescent="0.2">
      <c r="D1350" s="8"/>
    </row>
    <row r="1351" spans="4:4" x14ac:dyDescent="0.2">
      <c r="D1351" s="8"/>
    </row>
    <row r="1352" spans="4:4" x14ac:dyDescent="0.2">
      <c r="D1352" s="8"/>
    </row>
    <row r="1353" spans="4:4" x14ac:dyDescent="0.2">
      <c r="D1353" s="8"/>
    </row>
    <row r="1354" spans="4:4" x14ac:dyDescent="0.2">
      <c r="D1354" s="8"/>
    </row>
    <row r="1355" spans="4:4" x14ac:dyDescent="0.2">
      <c r="D1355" s="8"/>
    </row>
    <row r="1356" spans="4:4" x14ac:dyDescent="0.2">
      <c r="D1356" s="8"/>
    </row>
    <row r="1357" spans="4:4" x14ac:dyDescent="0.2">
      <c r="D1357" s="8"/>
    </row>
    <row r="1358" spans="4:4" x14ac:dyDescent="0.2">
      <c r="D1358" s="8"/>
    </row>
    <row r="1359" spans="4:4" x14ac:dyDescent="0.2">
      <c r="D1359" s="8"/>
    </row>
    <row r="1360" spans="4:4" x14ac:dyDescent="0.2">
      <c r="D1360" s="8"/>
    </row>
    <row r="1361" spans="4:4" x14ac:dyDescent="0.2">
      <c r="D1361" s="8"/>
    </row>
    <row r="1362" spans="4:4" x14ac:dyDescent="0.2">
      <c r="D1362" s="8"/>
    </row>
    <row r="1363" spans="4:4" x14ac:dyDescent="0.2">
      <c r="D1363" s="8"/>
    </row>
    <row r="1364" spans="4:4" x14ac:dyDescent="0.2">
      <c r="D1364" s="8"/>
    </row>
    <row r="1365" spans="4:4" x14ac:dyDescent="0.2">
      <c r="D1365" s="8"/>
    </row>
    <row r="1366" spans="4:4" x14ac:dyDescent="0.2">
      <c r="D1366" s="8"/>
    </row>
    <row r="1367" spans="4:4" x14ac:dyDescent="0.2">
      <c r="D1367" s="8"/>
    </row>
    <row r="1368" spans="4:4" x14ac:dyDescent="0.2">
      <c r="D1368" s="8"/>
    </row>
    <row r="1369" spans="4:4" x14ac:dyDescent="0.2">
      <c r="D1369" s="8"/>
    </row>
    <row r="1370" spans="4:4" x14ac:dyDescent="0.2">
      <c r="D1370" s="8"/>
    </row>
    <row r="1371" spans="4:4" x14ac:dyDescent="0.2">
      <c r="D1371" s="8"/>
    </row>
    <row r="1372" spans="4:4" x14ac:dyDescent="0.2">
      <c r="D1372" s="8"/>
    </row>
    <row r="1373" spans="4:4" x14ac:dyDescent="0.2">
      <c r="D1373" s="8"/>
    </row>
    <row r="1374" spans="4:4" x14ac:dyDescent="0.2">
      <c r="D1374" s="8"/>
    </row>
    <row r="1375" spans="4:4" x14ac:dyDescent="0.2">
      <c r="D1375" s="8"/>
    </row>
    <row r="1376" spans="4:4" x14ac:dyDescent="0.2">
      <c r="D1376" s="8"/>
    </row>
    <row r="1377" spans="4:4" x14ac:dyDescent="0.2">
      <c r="D1377" s="8"/>
    </row>
    <row r="1378" spans="4:4" x14ac:dyDescent="0.2">
      <c r="D1378" s="8"/>
    </row>
    <row r="1379" spans="4:4" x14ac:dyDescent="0.2">
      <c r="D1379" s="8"/>
    </row>
    <row r="1380" spans="4:4" x14ac:dyDescent="0.2">
      <c r="D1380" s="8"/>
    </row>
    <row r="1381" spans="4:4" x14ac:dyDescent="0.2">
      <c r="D1381" s="8"/>
    </row>
    <row r="1382" spans="4:4" x14ac:dyDescent="0.2">
      <c r="D1382" s="8"/>
    </row>
    <row r="1383" spans="4:4" x14ac:dyDescent="0.2">
      <c r="D1383" s="8"/>
    </row>
    <row r="1384" spans="4:4" x14ac:dyDescent="0.2">
      <c r="D1384" s="8"/>
    </row>
    <row r="1385" spans="4:4" x14ac:dyDescent="0.2">
      <c r="D1385" s="8"/>
    </row>
    <row r="1386" spans="4:4" x14ac:dyDescent="0.2">
      <c r="D1386" s="8"/>
    </row>
    <row r="1387" spans="4:4" x14ac:dyDescent="0.2">
      <c r="D1387" s="8"/>
    </row>
    <row r="1388" spans="4:4" x14ac:dyDescent="0.2">
      <c r="D1388" s="8"/>
    </row>
    <row r="1389" spans="4:4" x14ac:dyDescent="0.2">
      <c r="D1389" s="8"/>
    </row>
    <row r="1390" spans="4:4" x14ac:dyDescent="0.2">
      <c r="D1390" s="8"/>
    </row>
    <row r="1391" spans="4:4" x14ac:dyDescent="0.2">
      <c r="D1391" s="8"/>
    </row>
    <row r="1392" spans="4:4" x14ac:dyDescent="0.2">
      <c r="D1392" s="8"/>
    </row>
    <row r="1393" spans="4:4" x14ac:dyDescent="0.2">
      <c r="D1393" s="8"/>
    </row>
    <row r="1394" spans="4:4" x14ac:dyDescent="0.2">
      <c r="D1394" s="8"/>
    </row>
    <row r="1395" spans="4:4" x14ac:dyDescent="0.2">
      <c r="D1395" s="8"/>
    </row>
    <row r="1396" spans="4:4" x14ac:dyDescent="0.2">
      <c r="D1396" s="8"/>
    </row>
    <row r="1397" spans="4:4" x14ac:dyDescent="0.2">
      <c r="D1397" s="8"/>
    </row>
    <row r="1398" spans="4:4" x14ac:dyDescent="0.2">
      <c r="D1398" s="8"/>
    </row>
    <row r="1399" spans="4:4" x14ac:dyDescent="0.2">
      <c r="D1399" s="8"/>
    </row>
    <row r="1400" spans="4:4" x14ac:dyDescent="0.2">
      <c r="D1400" s="8"/>
    </row>
    <row r="1401" spans="4:4" x14ac:dyDescent="0.2">
      <c r="D1401" s="8"/>
    </row>
    <row r="1402" spans="4:4" x14ac:dyDescent="0.2">
      <c r="D1402" s="8"/>
    </row>
    <row r="1403" spans="4:4" x14ac:dyDescent="0.2">
      <c r="D1403" s="8"/>
    </row>
    <row r="1404" spans="4:4" x14ac:dyDescent="0.2">
      <c r="D1404" s="8"/>
    </row>
    <row r="1405" spans="4:4" x14ac:dyDescent="0.2">
      <c r="D1405" s="8"/>
    </row>
    <row r="1406" spans="4:4" x14ac:dyDescent="0.2">
      <c r="D1406" s="8"/>
    </row>
    <row r="1407" spans="4:4" x14ac:dyDescent="0.2">
      <c r="D1407" s="8"/>
    </row>
    <row r="1408" spans="4:4" x14ac:dyDescent="0.2">
      <c r="D1408" s="8"/>
    </row>
    <row r="1409" spans="4:4" x14ac:dyDescent="0.2">
      <c r="D1409" s="8"/>
    </row>
    <row r="1410" spans="4:4" x14ac:dyDescent="0.2">
      <c r="D1410" s="8"/>
    </row>
    <row r="1411" spans="4:4" x14ac:dyDescent="0.2">
      <c r="D1411" s="8"/>
    </row>
    <row r="1412" spans="4:4" x14ac:dyDescent="0.2">
      <c r="D1412" s="8"/>
    </row>
    <row r="1413" spans="4:4" x14ac:dyDescent="0.2">
      <c r="D1413" s="8"/>
    </row>
    <row r="1414" spans="4:4" x14ac:dyDescent="0.2">
      <c r="D1414" s="8"/>
    </row>
    <row r="1415" spans="4:4" x14ac:dyDescent="0.2">
      <c r="D1415" s="8"/>
    </row>
    <row r="1416" spans="4:4" x14ac:dyDescent="0.2">
      <c r="D1416" s="8"/>
    </row>
    <row r="1417" spans="4:4" x14ac:dyDescent="0.2">
      <c r="D1417" s="8"/>
    </row>
    <row r="1418" spans="4:4" x14ac:dyDescent="0.2">
      <c r="D1418" s="8"/>
    </row>
    <row r="1419" spans="4:4" x14ac:dyDescent="0.2">
      <c r="D1419" s="8"/>
    </row>
    <row r="1420" spans="4:4" x14ac:dyDescent="0.2">
      <c r="D1420" s="8"/>
    </row>
    <row r="1421" spans="4:4" x14ac:dyDescent="0.2">
      <c r="D1421" s="8"/>
    </row>
    <row r="1422" spans="4:4" x14ac:dyDescent="0.2">
      <c r="D1422" s="8"/>
    </row>
    <row r="1423" spans="4:4" x14ac:dyDescent="0.2">
      <c r="D1423" s="8"/>
    </row>
    <row r="1424" spans="4:4" x14ac:dyDescent="0.2">
      <c r="D1424" s="8"/>
    </row>
    <row r="1425" spans="4:4" x14ac:dyDescent="0.2">
      <c r="D1425" s="8"/>
    </row>
    <row r="1426" spans="4:4" x14ac:dyDescent="0.2">
      <c r="D1426" s="8"/>
    </row>
    <row r="1427" spans="4:4" x14ac:dyDescent="0.2">
      <c r="D1427" s="8"/>
    </row>
    <row r="1428" spans="4:4" x14ac:dyDescent="0.2">
      <c r="D1428" s="8"/>
    </row>
    <row r="1429" spans="4:4" x14ac:dyDescent="0.2">
      <c r="D1429" s="8"/>
    </row>
    <row r="1430" spans="4:4" x14ac:dyDescent="0.2">
      <c r="D1430" s="8"/>
    </row>
    <row r="1431" spans="4:4" x14ac:dyDescent="0.2">
      <c r="D1431" s="8"/>
    </row>
    <row r="1432" spans="4:4" x14ac:dyDescent="0.2">
      <c r="D1432" s="8"/>
    </row>
    <row r="1433" spans="4:4" x14ac:dyDescent="0.2">
      <c r="D1433" s="8"/>
    </row>
    <row r="1434" spans="4:4" x14ac:dyDescent="0.2">
      <c r="D1434" s="8"/>
    </row>
    <row r="1435" spans="4:4" x14ac:dyDescent="0.2">
      <c r="D1435" s="8"/>
    </row>
    <row r="1436" spans="4:4" x14ac:dyDescent="0.2">
      <c r="D1436" s="8"/>
    </row>
    <row r="1437" spans="4:4" x14ac:dyDescent="0.2">
      <c r="D1437" s="8"/>
    </row>
    <row r="1438" spans="4:4" x14ac:dyDescent="0.2">
      <c r="D1438" s="8"/>
    </row>
    <row r="1439" spans="4:4" x14ac:dyDescent="0.2">
      <c r="D1439" s="8"/>
    </row>
    <row r="1440" spans="4:4" x14ac:dyDescent="0.2">
      <c r="D1440" s="8"/>
    </row>
    <row r="1441" spans="4:4" x14ac:dyDescent="0.2">
      <c r="D1441" s="8"/>
    </row>
    <row r="1442" spans="4:4" x14ac:dyDescent="0.2">
      <c r="D1442" s="8"/>
    </row>
    <row r="1443" spans="4:4" x14ac:dyDescent="0.2">
      <c r="D1443" s="8"/>
    </row>
    <row r="1444" spans="4:4" x14ac:dyDescent="0.2">
      <c r="D1444" s="8"/>
    </row>
    <row r="1445" spans="4:4" x14ac:dyDescent="0.2">
      <c r="D1445" s="8"/>
    </row>
    <row r="1446" spans="4:4" x14ac:dyDescent="0.2">
      <c r="D1446" s="8"/>
    </row>
    <row r="1447" spans="4:4" x14ac:dyDescent="0.2">
      <c r="D1447" s="8"/>
    </row>
    <row r="1448" spans="4:4" x14ac:dyDescent="0.2">
      <c r="D1448" s="8"/>
    </row>
    <row r="1449" spans="4:4" x14ac:dyDescent="0.2">
      <c r="D1449" s="8"/>
    </row>
    <row r="1450" spans="4:4" x14ac:dyDescent="0.2">
      <c r="D1450" s="8"/>
    </row>
    <row r="1451" spans="4:4" x14ac:dyDescent="0.2">
      <c r="D1451" s="8"/>
    </row>
    <row r="1452" spans="4:4" x14ac:dyDescent="0.2">
      <c r="D1452" s="8"/>
    </row>
    <row r="1453" spans="4:4" x14ac:dyDescent="0.2">
      <c r="D1453" s="8"/>
    </row>
    <row r="1454" spans="4:4" x14ac:dyDescent="0.2">
      <c r="D1454" s="8"/>
    </row>
    <row r="1455" spans="4:4" x14ac:dyDescent="0.2">
      <c r="D1455" s="8"/>
    </row>
    <row r="1456" spans="4:4" x14ac:dyDescent="0.2">
      <c r="D1456" s="8"/>
    </row>
    <row r="1457" spans="4:4" x14ac:dyDescent="0.2">
      <c r="D1457" s="8"/>
    </row>
    <row r="1458" spans="4:4" x14ac:dyDescent="0.2">
      <c r="D1458" s="8"/>
    </row>
    <row r="1459" spans="4:4" x14ac:dyDescent="0.2">
      <c r="D1459" s="8"/>
    </row>
    <row r="1460" spans="4:4" x14ac:dyDescent="0.2">
      <c r="D1460" s="8"/>
    </row>
    <row r="1461" spans="4:4" x14ac:dyDescent="0.2">
      <c r="D1461" s="8"/>
    </row>
    <row r="1462" spans="4:4" x14ac:dyDescent="0.2">
      <c r="D1462" s="8"/>
    </row>
    <row r="1463" spans="4:4" x14ac:dyDescent="0.2">
      <c r="D1463" s="8"/>
    </row>
    <row r="1464" spans="4:4" x14ac:dyDescent="0.2">
      <c r="D1464" s="8"/>
    </row>
    <row r="1465" spans="4:4" x14ac:dyDescent="0.2">
      <c r="D1465" s="8"/>
    </row>
    <row r="1466" spans="4:4" x14ac:dyDescent="0.2">
      <c r="D1466" s="8"/>
    </row>
    <row r="1467" spans="4:4" x14ac:dyDescent="0.2">
      <c r="D1467" s="8"/>
    </row>
    <row r="1468" spans="4:4" x14ac:dyDescent="0.2">
      <c r="D1468" s="8"/>
    </row>
    <row r="1469" spans="4:4" x14ac:dyDescent="0.2">
      <c r="D1469" s="8"/>
    </row>
    <row r="1470" spans="4:4" x14ac:dyDescent="0.2">
      <c r="D1470" s="8"/>
    </row>
    <row r="1471" spans="4:4" x14ac:dyDescent="0.2">
      <c r="D1471" s="8"/>
    </row>
    <row r="1472" spans="4:4" x14ac:dyDescent="0.2">
      <c r="D1472" s="8"/>
    </row>
    <row r="1473" spans="4:4" x14ac:dyDescent="0.2">
      <c r="D1473" s="8"/>
    </row>
    <row r="1474" spans="4:4" x14ac:dyDescent="0.2">
      <c r="D1474" s="8"/>
    </row>
    <row r="1475" spans="4:4" x14ac:dyDescent="0.2">
      <c r="D1475" s="8"/>
    </row>
    <row r="1476" spans="4:4" x14ac:dyDescent="0.2">
      <c r="D1476" s="8"/>
    </row>
    <row r="1477" spans="4:4" x14ac:dyDescent="0.2">
      <c r="D1477" s="8"/>
    </row>
    <row r="1478" spans="4:4" x14ac:dyDescent="0.2">
      <c r="D1478" s="8"/>
    </row>
    <row r="1479" spans="4:4" x14ac:dyDescent="0.2">
      <c r="D1479" s="8"/>
    </row>
    <row r="1480" spans="4:4" x14ac:dyDescent="0.2">
      <c r="D1480" s="8"/>
    </row>
    <row r="1481" spans="4:4" x14ac:dyDescent="0.2">
      <c r="D1481" s="8"/>
    </row>
    <row r="1482" spans="4:4" x14ac:dyDescent="0.2">
      <c r="D1482" s="8"/>
    </row>
    <row r="1483" spans="4:4" x14ac:dyDescent="0.2">
      <c r="D1483" s="8"/>
    </row>
    <row r="1484" spans="4:4" x14ac:dyDescent="0.2">
      <c r="D1484" s="8"/>
    </row>
    <row r="1485" spans="4:4" x14ac:dyDescent="0.2">
      <c r="D1485" s="8"/>
    </row>
    <row r="1486" spans="4:4" x14ac:dyDescent="0.2">
      <c r="D1486" s="8"/>
    </row>
    <row r="1487" spans="4:4" x14ac:dyDescent="0.2">
      <c r="D1487" s="8"/>
    </row>
    <row r="1488" spans="4:4" x14ac:dyDescent="0.2">
      <c r="D1488" s="8"/>
    </row>
    <row r="1489" spans="4:4" x14ac:dyDescent="0.2">
      <c r="D1489" s="8"/>
    </row>
    <row r="1490" spans="4:4" x14ac:dyDescent="0.2">
      <c r="D1490" s="8"/>
    </row>
    <row r="1491" spans="4:4" x14ac:dyDescent="0.2">
      <c r="D1491" s="8"/>
    </row>
    <row r="1492" spans="4:4" x14ac:dyDescent="0.2">
      <c r="D1492" s="8"/>
    </row>
    <row r="1493" spans="4:4" x14ac:dyDescent="0.2">
      <c r="D1493" s="8"/>
    </row>
    <row r="1494" spans="4:4" x14ac:dyDescent="0.2">
      <c r="D1494" s="8"/>
    </row>
    <row r="1495" spans="4:4" x14ac:dyDescent="0.2">
      <c r="D1495" s="8"/>
    </row>
    <row r="1496" spans="4:4" x14ac:dyDescent="0.2">
      <c r="D1496" s="8"/>
    </row>
    <row r="1497" spans="4:4" x14ac:dyDescent="0.2">
      <c r="D1497" s="8"/>
    </row>
    <row r="1498" spans="4:4" x14ac:dyDescent="0.2">
      <c r="D1498" s="8"/>
    </row>
    <row r="1499" spans="4:4" x14ac:dyDescent="0.2">
      <c r="D1499" s="8"/>
    </row>
    <row r="1500" spans="4:4" x14ac:dyDescent="0.2">
      <c r="D1500" s="8"/>
    </row>
    <row r="1501" spans="4:4" x14ac:dyDescent="0.2">
      <c r="D1501" s="8"/>
    </row>
    <row r="1502" spans="4:4" x14ac:dyDescent="0.2">
      <c r="D1502" s="8"/>
    </row>
    <row r="1503" spans="4:4" x14ac:dyDescent="0.2">
      <c r="D1503" s="8"/>
    </row>
    <row r="1504" spans="4:4" x14ac:dyDescent="0.2">
      <c r="D1504" s="8"/>
    </row>
    <row r="1505" spans="4:4" x14ac:dyDescent="0.2">
      <c r="D1505" s="8"/>
    </row>
    <row r="1506" spans="4:4" x14ac:dyDescent="0.2">
      <c r="D1506" s="8"/>
    </row>
    <row r="1507" spans="4:4" x14ac:dyDescent="0.2">
      <c r="D1507" s="8"/>
    </row>
    <row r="1508" spans="4:4" x14ac:dyDescent="0.2">
      <c r="D1508" s="8"/>
    </row>
    <row r="1509" spans="4:4" x14ac:dyDescent="0.2">
      <c r="D1509" s="8"/>
    </row>
    <row r="1510" spans="4:4" x14ac:dyDescent="0.2">
      <c r="D1510" s="8"/>
    </row>
    <row r="1511" spans="4:4" x14ac:dyDescent="0.2">
      <c r="D1511" s="8"/>
    </row>
    <row r="1512" spans="4:4" x14ac:dyDescent="0.2">
      <c r="D1512" s="8"/>
    </row>
    <row r="1513" spans="4:4" x14ac:dyDescent="0.2">
      <c r="D1513" s="8"/>
    </row>
    <row r="1514" spans="4:4" x14ac:dyDescent="0.2">
      <c r="D1514" s="8"/>
    </row>
    <row r="1515" spans="4:4" x14ac:dyDescent="0.2">
      <c r="D1515" s="8"/>
    </row>
    <row r="1516" spans="4:4" x14ac:dyDescent="0.2">
      <c r="D1516" s="8"/>
    </row>
    <row r="1517" spans="4:4" x14ac:dyDescent="0.2">
      <c r="D1517" s="8"/>
    </row>
    <row r="1518" spans="4:4" x14ac:dyDescent="0.2">
      <c r="D1518" s="8"/>
    </row>
    <row r="1519" spans="4:4" x14ac:dyDescent="0.2">
      <c r="D1519" s="8"/>
    </row>
    <row r="1520" spans="4:4" x14ac:dyDescent="0.2">
      <c r="D1520" s="8"/>
    </row>
    <row r="1521" spans="4:4" x14ac:dyDescent="0.2">
      <c r="D1521" s="8"/>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Run</vt:lpstr>
      <vt:lpstr>SPX Option Data</vt:lpstr>
      <vt:lpstr>BatesDataStart</vt:lpstr>
      <vt:lpstr>DataDate</vt:lpstr>
      <vt:lpstr>EmailContent</vt:lpstr>
      <vt:lpstr>HestonDataStart</vt:lpstr>
    </vt:vector>
  </TitlesOfParts>
  <Company>American International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 Mei</dc:creator>
  <cp:lastModifiedBy>Li, Mei</cp:lastModifiedBy>
  <dcterms:created xsi:type="dcterms:W3CDTF">2014-10-28T23:02:43Z</dcterms:created>
  <dcterms:modified xsi:type="dcterms:W3CDTF">2014-10-31T16:04:55Z</dcterms:modified>
</cp:coreProperties>
</file>