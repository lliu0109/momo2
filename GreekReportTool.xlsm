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705" yWindow="-15" windowWidth="12510" windowHeight="12405" activeTab="9"/>
  </bookViews>
  <sheets>
    <sheet name="Summary" sheetId="1" r:id="rId1"/>
    <sheet name="DAP" sheetId="10" r:id="rId2"/>
    <sheet name="ML" sheetId="11" r:id="rId3"/>
    <sheet name="USL" sheetId="12" r:id="rId4"/>
    <sheet name="VALIC-GMWB" sheetId="13" r:id="rId5"/>
    <sheet name="VALIC-VIX-DAP" sheetId="14" r:id="rId6"/>
    <sheet name="VIX" sheetId="15" r:id="rId7"/>
    <sheet name="GMAB" sheetId="16" r:id="rId8"/>
    <sheet name="Input" sheetId="2" r:id="rId9"/>
    <sheet name="TimeSeries" sheetId="17" r:id="rId10"/>
  </sheets>
  <functionGroups builtInGroupCount="17"/>
  <definedNames>
    <definedName name="FormFolder">Input!$C$3</definedName>
    <definedName name="GlobalEndDate">Summary!$C$4</definedName>
    <definedName name="GlobalStartDate">Summary!$C$3</definedName>
    <definedName name="InputStart">Input!$B$5</definedName>
  </definedNames>
  <calcPr calcId="145621" calcOnSave="0"/>
</workbook>
</file>

<file path=xl/calcChain.xml><?xml version="1.0" encoding="utf-8"?>
<calcChain xmlns="http://schemas.openxmlformats.org/spreadsheetml/2006/main">
  <c r="B6" i="17" l="1"/>
  <c r="B2" i="17"/>
  <c r="G92" i="17" s="1"/>
  <c r="B8" i="17"/>
  <c r="B11" i="17"/>
  <c r="B7" i="17"/>
  <c r="B9" i="17"/>
  <c r="B10" i="17"/>
  <c r="B71" i="17"/>
  <c r="B64" i="17"/>
  <c r="B12" i="17"/>
  <c r="B57" i="17"/>
  <c r="B16" i="17"/>
  <c r="B13" i="17"/>
  <c r="B14" i="17"/>
  <c r="B15" i="17"/>
  <c r="B17" i="17"/>
  <c r="B58" i="17"/>
  <c r="B18" i="17"/>
  <c r="B19" i="17"/>
  <c r="B20" i="17"/>
  <c r="B29" i="17"/>
  <c r="B21" i="17"/>
  <c r="B22" i="17"/>
  <c r="B23" i="17"/>
  <c r="B24" i="17"/>
  <c r="B25" i="17"/>
  <c r="B28" i="17"/>
  <c r="B26" i="17"/>
  <c r="B27" i="17"/>
  <c r="B30" i="17"/>
  <c r="B31" i="17"/>
  <c r="B32" i="17"/>
  <c r="B33" i="17"/>
  <c r="B34" i="17"/>
  <c r="B40" i="17"/>
  <c r="B36" i="17"/>
  <c r="B35" i="17"/>
  <c r="B37" i="17"/>
  <c r="B38" i="17"/>
  <c r="B39" i="17"/>
  <c r="B41" i="17"/>
  <c r="B42" i="17"/>
  <c r="B43" i="17"/>
  <c r="B48" i="17"/>
  <c r="B44" i="17"/>
  <c r="B45" i="17"/>
  <c r="B46" i="17"/>
  <c r="B47" i="17"/>
  <c r="B49" i="17"/>
  <c r="B50" i="17"/>
  <c r="B63" i="17"/>
  <c r="B54" i="17"/>
  <c r="B51" i="17"/>
  <c r="B52" i="17"/>
  <c r="B53" i="17"/>
  <c r="B67" i="17"/>
  <c r="B55" i="17"/>
  <c r="B56" i="17"/>
  <c r="B59" i="17"/>
  <c r="B60" i="17"/>
  <c r="B61" i="17"/>
  <c r="B62" i="17"/>
  <c r="B66" i="17"/>
  <c r="B70" i="17"/>
  <c r="B68" i="17"/>
  <c r="B69" i="17"/>
  <c r="B73" i="17"/>
  <c r="B72" i="17"/>
  <c r="B75" i="17"/>
  <c r="B74" i="17"/>
  <c r="B77" i="17"/>
  <c r="B76" i="17"/>
  <c r="B78" i="17"/>
  <c r="B79" i="17"/>
  <c r="B83" i="17"/>
  <c r="B81" i="17"/>
  <c r="B80" i="17"/>
  <c r="B85" i="17"/>
  <c r="B82" i="17"/>
  <c r="B88" i="17"/>
  <c r="B84" i="17"/>
  <c r="B86" i="17"/>
  <c r="B91" i="17"/>
  <c r="B87" i="17"/>
  <c r="B89" i="17"/>
  <c r="B90" i="17"/>
  <c r="B65" i="17"/>
  <c r="B92" i="17"/>
  <c r="D5" i="17" l="1"/>
  <c r="D6" i="17" s="1"/>
  <c r="H5" i="17"/>
  <c r="H6" i="17" s="1"/>
  <c r="H7" i="17" s="1"/>
  <c r="F7" i="17"/>
  <c r="F8" i="17" s="1"/>
  <c r="F9" i="17" s="1"/>
  <c r="E5" i="17"/>
  <c r="E6" i="17" s="1"/>
  <c r="F5" i="17"/>
  <c r="F6" i="17" s="1"/>
  <c r="C5" i="17"/>
  <c r="C6" i="17" s="1"/>
  <c r="C7" i="17" s="1"/>
  <c r="G5" i="17"/>
  <c r="G6" i="17"/>
  <c r="G7" i="17" s="1"/>
  <c r="G8" i="17" s="1"/>
  <c r="E7" i="17"/>
  <c r="E8" i="17" s="1"/>
  <c r="E9" i="17" s="1"/>
  <c r="D10" i="17"/>
  <c r="D11" i="17" s="1"/>
  <c r="D12" i="17" s="1"/>
  <c r="C11" i="17"/>
  <c r="C12" i="17" s="1"/>
  <c r="C13" i="17" s="1"/>
  <c r="F13" i="17"/>
  <c r="F14" i="17" s="1"/>
  <c r="F15" i="17" s="1"/>
  <c r="G15" i="17"/>
  <c r="G16" i="17" s="1"/>
  <c r="G17" i="17" s="1"/>
  <c r="F16" i="17"/>
  <c r="F17" i="17" s="1"/>
  <c r="F18" i="17" s="1"/>
  <c r="H17" i="17"/>
  <c r="H18" i="17" s="1"/>
  <c r="H19" i="17" s="1"/>
  <c r="E19" i="17"/>
  <c r="E20" i="17" s="1"/>
  <c r="E21" i="17" s="1"/>
  <c r="H20" i="17"/>
  <c r="H21" i="17" s="1"/>
  <c r="H22" i="17" s="1"/>
  <c r="E22" i="17"/>
  <c r="E23" i="17" s="1"/>
  <c r="E24" i="17" s="1"/>
  <c r="H23" i="17"/>
  <c r="H24" i="17" s="1"/>
  <c r="D25" i="17"/>
  <c r="D26" i="17" s="1"/>
  <c r="D27" i="17" s="1"/>
  <c r="H25" i="17"/>
  <c r="G27" i="17"/>
  <c r="G28" i="17" s="1"/>
  <c r="G29" i="17" s="1"/>
  <c r="F28" i="17"/>
  <c r="F29" i="17" s="1"/>
  <c r="F30" i="17" s="1"/>
  <c r="D31" i="17"/>
  <c r="E32" i="17"/>
  <c r="E33" i="17" s="1"/>
  <c r="E34" i="17" s="1"/>
  <c r="D35" i="17"/>
  <c r="D36" i="17" s="1"/>
  <c r="D37" i="17" s="1"/>
  <c r="D38" i="17"/>
  <c r="D39" i="17" s="1"/>
  <c r="D40" i="17" s="1"/>
  <c r="G40" i="17"/>
  <c r="G41" i="17" s="1"/>
  <c r="G42" i="17" s="1"/>
  <c r="C42" i="17"/>
  <c r="C43" i="17" s="1"/>
  <c r="C44" i="17" s="1"/>
  <c r="C45" i="17"/>
  <c r="C46" i="17" s="1"/>
  <c r="C47" i="17" s="1"/>
  <c r="G45" i="17"/>
  <c r="D47" i="17"/>
  <c r="D48" i="17" s="1"/>
  <c r="D49" i="17" s="1"/>
  <c r="D50" i="17"/>
  <c r="D51" i="17" s="1"/>
  <c r="D52" i="17" s="1"/>
  <c r="G52" i="17"/>
  <c r="G53" i="17" s="1"/>
  <c r="G54" i="17" s="1"/>
  <c r="C54" i="17"/>
  <c r="C55" i="17" s="1"/>
  <c r="C56" i="17" s="1"/>
  <c r="C57" i="17"/>
  <c r="C58" i="17" s="1"/>
  <c r="C59" i="17" s="1"/>
  <c r="D59" i="17"/>
  <c r="D60" i="17" s="1"/>
  <c r="D61" i="17" s="1"/>
  <c r="D62" i="17"/>
  <c r="D63" i="17" s="1"/>
  <c r="D64" i="17" s="1"/>
  <c r="D65" i="17" s="1"/>
  <c r="G65" i="17"/>
  <c r="F66" i="17"/>
  <c r="F67" i="17" s="1"/>
  <c r="E68" i="17"/>
  <c r="D69" i="17"/>
  <c r="D70" i="17" s="1"/>
  <c r="D71" i="17" s="1"/>
  <c r="D72" i="17"/>
  <c r="D73" i="17" s="1"/>
  <c r="D74" i="17" s="1"/>
  <c r="D75" i="17"/>
  <c r="D76" i="17" s="1"/>
  <c r="D77" i="17" s="1"/>
  <c r="D78" i="17"/>
  <c r="D79" i="17" s="1"/>
  <c r="D80" i="17" s="1"/>
  <c r="E81" i="17"/>
  <c r="E82" i="17" s="1"/>
  <c r="E83" i="17" s="1"/>
  <c r="G83" i="17"/>
  <c r="G84" i="17" s="1"/>
  <c r="G85" i="17" s="1"/>
  <c r="C85" i="17"/>
  <c r="C86" i="17" s="1"/>
  <c r="C87" i="17" s="1"/>
  <c r="E87" i="17"/>
  <c r="E88" i="17" s="1"/>
  <c r="C89" i="17"/>
  <c r="C90" i="17" s="1"/>
  <c r="G89" i="17"/>
  <c r="G90" i="17" s="1"/>
  <c r="G91" i="17" s="1"/>
  <c r="F90" i="17"/>
  <c r="F91" i="17" s="1"/>
  <c r="F92" i="17" s="1"/>
  <c r="H8" i="17"/>
  <c r="H9" i="17" s="1"/>
  <c r="H10" i="17" s="1"/>
  <c r="E10" i="17"/>
  <c r="E11" i="17" s="1"/>
  <c r="E12" i="17" s="1"/>
  <c r="G12" i="17"/>
  <c r="G13" i="17" s="1"/>
  <c r="G14" i="17" s="1"/>
  <c r="C14" i="17"/>
  <c r="C15" i="17" s="1"/>
  <c r="C16" i="17" s="1"/>
  <c r="C17" i="17"/>
  <c r="C18" i="17" s="1"/>
  <c r="C19" i="17" s="1"/>
  <c r="F19" i="17"/>
  <c r="F20" i="17" s="1"/>
  <c r="F21" i="17" s="1"/>
  <c r="G21" i="17"/>
  <c r="G22" i="17" s="1"/>
  <c r="G23" i="17" s="1"/>
  <c r="F22" i="17"/>
  <c r="F23" i="17" s="1"/>
  <c r="F24" i="17" s="1"/>
  <c r="E25" i="17"/>
  <c r="E26" i="17" s="1"/>
  <c r="E27" i="17" s="1"/>
  <c r="C26" i="17"/>
  <c r="C27" i="17" s="1"/>
  <c r="C28" i="17" s="1"/>
  <c r="H29" i="17"/>
  <c r="H30" i="17" s="1"/>
  <c r="H31" i="17" s="1"/>
  <c r="H32" i="17" s="1"/>
  <c r="E31" i="17"/>
  <c r="F32" i="17"/>
  <c r="F33" i="17" s="1"/>
  <c r="F34" i="17" s="1"/>
  <c r="H33" i="17"/>
  <c r="H34" i="17" s="1"/>
  <c r="H35" i="17" s="1"/>
  <c r="E35" i="17"/>
  <c r="E36" i="17" s="1"/>
  <c r="E37" i="17" s="1"/>
  <c r="H36" i="17"/>
  <c r="H37" i="17" s="1"/>
  <c r="H38" i="17" s="1"/>
  <c r="E38" i="17"/>
  <c r="E39" i="17" s="1"/>
  <c r="E40" i="17" s="1"/>
  <c r="D41" i="17"/>
  <c r="D42" i="17" s="1"/>
  <c r="D43" i="17" s="1"/>
  <c r="D44" i="17"/>
  <c r="D45" i="17"/>
  <c r="D46" i="17" s="1"/>
  <c r="H45" i="17"/>
  <c r="H46" i="17" s="1"/>
  <c r="H47" i="17" s="1"/>
  <c r="E47" i="17"/>
  <c r="E48" i="17" s="1"/>
  <c r="E49" i="17" s="1"/>
  <c r="H48" i="17"/>
  <c r="H49" i="17" s="1"/>
  <c r="H50" i="17" s="1"/>
  <c r="E50" i="17"/>
  <c r="E51" i="17" s="1"/>
  <c r="E52" i="17" s="1"/>
  <c r="D53" i="17"/>
  <c r="D54" i="17" s="1"/>
  <c r="D55" i="17" s="1"/>
  <c r="D56" i="17"/>
  <c r="D57" i="17" s="1"/>
  <c r="D58" i="17" s="1"/>
  <c r="E59" i="17"/>
  <c r="E60" i="17" s="1"/>
  <c r="E61" i="17" s="1"/>
  <c r="H60" i="17"/>
  <c r="H61" i="17" s="1"/>
  <c r="H62" i="17" s="1"/>
  <c r="E62" i="17"/>
  <c r="E63" i="17" s="1"/>
  <c r="E64" i="17" s="1"/>
  <c r="E65" i="17" s="1"/>
  <c r="H63" i="17"/>
  <c r="H64" i="17" s="1"/>
  <c r="H65" i="17" s="1"/>
  <c r="C66" i="17"/>
  <c r="G66" i="17"/>
  <c r="G67" i="17" s="1"/>
  <c r="H67" i="17"/>
  <c r="F68" i="17"/>
  <c r="E69" i="17"/>
  <c r="E70" i="17" s="1"/>
  <c r="E71" i="17" s="1"/>
  <c r="H70" i="17"/>
  <c r="H71" i="17" s="1"/>
  <c r="H72" i="17" s="1"/>
  <c r="E72" i="17"/>
  <c r="E73" i="17" s="1"/>
  <c r="E74" i="17" s="1"/>
  <c r="H73" i="17"/>
  <c r="H74" i="17" s="1"/>
  <c r="H75" i="17" s="1"/>
  <c r="E75" i="17"/>
  <c r="E76" i="17" s="1"/>
  <c r="E77" i="17" s="1"/>
  <c r="H76" i="17"/>
  <c r="H77" i="17" s="1"/>
  <c r="H78" i="17" s="1"/>
  <c r="E78" i="17"/>
  <c r="E79" i="17" s="1"/>
  <c r="E80" i="17" s="1"/>
  <c r="H79" i="17"/>
  <c r="H80" i="17" s="1"/>
  <c r="H81" i="17" s="1"/>
  <c r="F81" i="17"/>
  <c r="F82" i="17" s="1"/>
  <c r="F83" i="17" s="1"/>
  <c r="D84" i="17"/>
  <c r="D85" i="17" s="1"/>
  <c r="D86" i="17" s="1"/>
  <c r="H85" i="17"/>
  <c r="H86" i="17" s="1"/>
  <c r="H87" i="17" s="1"/>
  <c r="F87" i="17"/>
  <c r="F88" i="17" s="1"/>
  <c r="D89" i="17"/>
  <c r="H89" i="17"/>
  <c r="H90" i="17" s="1"/>
  <c r="C91" i="17"/>
  <c r="C92" i="17" s="1"/>
  <c r="G9" i="17"/>
  <c r="G10" i="17" s="1"/>
  <c r="G11" i="17" s="1"/>
  <c r="F10" i="17"/>
  <c r="F11" i="17" s="1"/>
  <c r="F12" i="17" s="1"/>
  <c r="D13" i="17"/>
  <c r="D14" i="17" s="1"/>
  <c r="D15" i="17" s="1"/>
  <c r="D16" i="17"/>
  <c r="D17" i="17" s="1"/>
  <c r="D18" i="17" s="1"/>
  <c r="G18" i="17"/>
  <c r="G19" i="17" s="1"/>
  <c r="G20" i="17" s="1"/>
  <c r="C20" i="17"/>
  <c r="C21" i="17" s="1"/>
  <c r="C22" i="17" s="1"/>
  <c r="C23" i="17"/>
  <c r="C24" i="17" s="1"/>
  <c r="G24" i="17"/>
  <c r="F25" i="17"/>
  <c r="F26" i="17" s="1"/>
  <c r="F27" i="17" s="1"/>
  <c r="D28" i="17"/>
  <c r="D29" i="17" s="1"/>
  <c r="D30" i="17" s="1"/>
  <c r="C29" i="17"/>
  <c r="C30" i="17" s="1"/>
  <c r="C31" i="17" s="1"/>
  <c r="C32" i="17" s="1"/>
  <c r="F31" i="17"/>
  <c r="C33" i="17"/>
  <c r="C34" i="17" s="1"/>
  <c r="C35" i="17" s="1"/>
  <c r="F35" i="17"/>
  <c r="F36" i="17" s="1"/>
  <c r="F37" i="17" s="1"/>
  <c r="G37" i="17"/>
  <c r="G38" i="17" s="1"/>
  <c r="G39" i="17" s="1"/>
  <c r="F38" i="17"/>
  <c r="F39" i="17" s="1"/>
  <c r="F40" i="17" s="1"/>
  <c r="H39" i="17"/>
  <c r="H40" i="17" s="1"/>
  <c r="H41" i="17" s="1"/>
  <c r="E41" i="17"/>
  <c r="E42" i="17" s="1"/>
  <c r="E43" i="17" s="1"/>
  <c r="H42" i="17"/>
  <c r="H43" i="17" s="1"/>
  <c r="H44" i="17" s="1"/>
  <c r="E44" i="17"/>
  <c r="E45" i="17"/>
  <c r="E46" i="17" s="1"/>
  <c r="F47" i="17"/>
  <c r="F48" i="17" s="1"/>
  <c r="F49" i="17" s="1"/>
  <c r="G49" i="17"/>
  <c r="G50" i="17" s="1"/>
  <c r="G51" i="17" s="1"/>
  <c r="F50" i="17"/>
  <c r="F51" i="17" s="1"/>
  <c r="F52" i="17" s="1"/>
  <c r="H51" i="17"/>
  <c r="H52" i="17" s="1"/>
  <c r="H53" i="17" s="1"/>
  <c r="E53" i="17"/>
  <c r="E54" i="17" s="1"/>
  <c r="E55" i="17" s="1"/>
  <c r="H54" i="17"/>
  <c r="H55" i="17" s="1"/>
  <c r="H56" i="17" s="1"/>
  <c r="E56" i="17"/>
  <c r="E57" i="17" s="1"/>
  <c r="E58" i="17" s="1"/>
  <c r="H57" i="17"/>
  <c r="H58" i="17" s="1"/>
  <c r="H59" i="17" s="1"/>
  <c r="F59" i="17"/>
  <c r="F60" i="17" s="1"/>
  <c r="F61" i="17" s="1"/>
  <c r="G61" i="17"/>
  <c r="G62" i="17" s="1"/>
  <c r="G63" i="17" s="1"/>
  <c r="F62" i="17"/>
  <c r="F63" i="17" s="1"/>
  <c r="F64" i="17" s="1"/>
  <c r="F65" i="17" s="1"/>
  <c r="D66" i="17"/>
  <c r="D67" i="17" s="1"/>
  <c r="H66" i="17"/>
  <c r="C68" i="17"/>
  <c r="C69" i="17" s="1"/>
  <c r="G68" i="17"/>
  <c r="G69" i="17" s="1"/>
  <c r="G70" i="17" s="1"/>
  <c r="F69" i="17"/>
  <c r="F70" i="17" s="1"/>
  <c r="F71" i="17" s="1"/>
  <c r="G71" i="17"/>
  <c r="G72" i="17" s="1"/>
  <c r="G73" i="17" s="1"/>
  <c r="F72" i="17"/>
  <c r="F73" i="17" s="1"/>
  <c r="F74" i="17" s="1"/>
  <c r="F75" i="17"/>
  <c r="F76" i="17" s="1"/>
  <c r="F77" i="17" s="1"/>
  <c r="G77" i="17"/>
  <c r="G78" i="17" s="1"/>
  <c r="G79" i="17" s="1"/>
  <c r="F78" i="17"/>
  <c r="F79" i="17" s="1"/>
  <c r="F80" i="17" s="1"/>
  <c r="G80" i="17"/>
  <c r="G81" i="17" s="1"/>
  <c r="G82" i="17" s="1"/>
  <c r="C82" i="17"/>
  <c r="C83" i="17" s="1"/>
  <c r="C84" i="17" s="1"/>
  <c r="E84" i="17"/>
  <c r="E85" i="17" s="1"/>
  <c r="E86" i="17" s="1"/>
  <c r="G86" i="17"/>
  <c r="G87" i="17" s="1"/>
  <c r="G88" i="17" s="1"/>
  <c r="C88" i="17"/>
  <c r="E89" i="17"/>
  <c r="D90" i="17"/>
  <c r="D91" i="17" s="1"/>
  <c r="D92" i="17" s="1"/>
  <c r="H91" i="17"/>
  <c r="H92" i="17" s="1"/>
  <c r="B5" i="17"/>
  <c r="I5" i="17" s="1"/>
  <c r="D7" i="17"/>
  <c r="D8" i="17" s="1"/>
  <c r="D9" i="17" s="1"/>
  <c r="C8" i="17"/>
  <c r="C9" i="17" s="1"/>
  <c r="C10" i="17" s="1"/>
  <c r="H11" i="17"/>
  <c r="H12" i="17" s="1"/>
  <c r="H13" i="17" s="1"/>
  <c r="E13" i="17"/>
  <c r="E14" i="17" s="1"/>
  <c r="E15" i="17" s="1"/>
  <c r="H14" i="17"/>
  <c r="H15" i="17" s="1"/>
  <c r="H16" i="17" s="1"/>
  <c r="E16" i="17"/>
  <c r="E17" i="17" s="1"/>
  <c r="E18" i="17" s="1"/>
  <c r="D19" i="17"/>
  <c r="D20" i="17" s="1"/>
  <c r="D21" i="17" s="1"/>
  <c r="D22" i="17"/>
  <c r="D23" i="17" s="1"/>
  <c r="D24" i="17" s="1"/>
  <c r="C25" i="17"/>
  <c r="G25" i="17"/>
  <c r="G26" i="17" s="1"/>
  <c r="H26" i="17"/>
  <c r="H27" i="17" s="1"/>
  <c r="H28" i="17" s="1"/>
  <c r="E28" i="17"/>
  <c r="E29" i="17" s="1"/>
  <c r="E30" i="17" s="1"/>
  <c r="G30" i="17"/>
  <c r="G31" i="17" s="1"/>
  <c r="G32" i="17" s="1"/>
  <c r="G33" i="17" s="1"/>
  <c r="D32" i="17"/>
  <c r="D33" i="17" s="1"/>
  <c r="D34" i="17" s="1"/>
  <c r="G34" i="17"/>
  <c r="G35" i="17" s="1"/>
  <c r="G36" i="17" s="1"/>
  <c r="I36" i="17" s="1"/>
  <c r="C36" i="17"/>
  <c r="C37" i="17" s="1"/>
  <c r="C38" i="17" s="1"/>
  <c r="C39" i="17"/>
  <c r="C40" i="17" s="1"/>
  <c r="C41" i="17" s="1"/>
  <c r="F41" i="17"/>
  <c r="F42" i="17" s="1"/>
  <c r="F43" i="17" s="1"/>
  <c r="G43" i="17"/>
  <c r="G44" i="17" s="1"/>
  <c r="F44" i="17"/>
  <c r="F45" i="17"/>
  <c r="F46" i="17" s="1"/>
  <c r="G46" i="17"/>
  <c r="G47" i="17" s="1"/>
  <c r="G48" i="17" s="1"/>
  <c r="C48" i="17"/>
  <c r="C49" i="17" s="1"/>
  <c r="C50" i="17" s="1"/>
  <c r="C51" i="17"/>
  <c r="C52" i="17" s="1"/>
  <c r="C53" i="17" s="1"/>
  <c r="I53" i="17" s="1"/>
  <c r="F53" i="17"/>
  <c r="F54" i="17" s="1"/>
  <c r="F55" i="17" s="1"/>
  <c r="G55" i="17"/>
  <c r="G56" i="17" s="1"/>
  <c r="G57" i="17" s="1"/>
  <c r="F56" i="17"/>
  <c r="F57" i="17" s="1"/>
  <c r="F58" i="17" s="1"/>
  <c r="G58" i="17"/>
  <c r="G59" i="17" s="1"/>
  <c r="G60" i="17" s="1"/>
  <c r="I60" i="17" s="1"/>
  <c r="C60" i="17"/>
  <c r="C61" i="17" s="1"/>
  <c r="C62" i="17" s="1"/>
  <c r="C63" i="17"/>
  <c r="C64" i="17" s="1"/>
  <c r="C65" i="17" s="1"/>
  <c r="I65" i="17" s="1"/>
  <c r="G64" i="17"/>
  <c r="E66" i="17"/>
  <c r="E67" i="17" s="1"/>
  <c r="I67" i="17" s="1"/>
  <c r="C67" i="17"/>
  <c r="D68" i="17"/>
  <c r="H68" i="17"/>
  <c r="H69" i="17" s="1"/>
  <c r="C70" i="17"/>
  <c r="C71" i="17" s="1"/>
  <c r="C72" i="17" s="1"/>
  <c r="I72" i="17" s="1"/>
  <c r="C73" i="17"/>
  <c r="C74" i="17" s="1"/>
  <c r="C75" i="17" s="1"/>
  <c r="G74" i="17"/>
  <c r="G75" i="17" s="1"/>
  <c r="G76" i="17" s="1"/>
  <c r="C76" i="17"/>
  <c r="C77" i="17" s="1"/>
  <c r="C78" i="17" s="1"/>
  <c r="C79" i="17"/>
  <c r="C80" i="17" s="1"/>
  <c r="C81" i="17" s="1"/>
  <c r="I81" i="17" s="1"/>
  <c r="D81" i="17"/>
  <c r="D82" i="17" s="1"/>
  <c r="D83" i="17" s="1"/>
  <c r="H82" i="17"/>
  <c r="H83" i="17" s="1"/>
  <c r="H84" i="17" s="1"/>
  <c r="F84" i="17"/>
  <c r="F85" i="17" s="1"/>
  <c r="F86" i="17" s="1"/>
  <c r="D87" i="17"/>
  <c r="D88" i="17" s="1"/>
  <c r="H88" i="17"/>
  <c r="F89" i="17"/>
  <c r="E90" i="17"/>
  <c r="E91" i="17" s="1"/>
  <c r="E92" i="17" s="1"/>
  <c r="I39" i="17"/>
  <c r="I17" i="17"/>
  <c r="I38" i="17"/>
  <c r="I10" i="17"/>
  <c r="I45" i="17"/>
  <c r="I34" i="17"/>
  <c r="I25" i="17"/>
  <c r="I18" i="17"/>
  <c r="I12" i="17"/>
  <c r="I9" i="17"/>
  <c r="I70" i="17"/>
  <c r="I73" i="17"/>
  <c r="I19" i="17"/>
  <c r="I11" i="17"/>
  <c r="I75" i="17"/>
  <c r="I41" i="17"/>
  <c r="I33" i="17"/>
  <c r="I24" i="17"/>
  <c r="I6" i="17"/>
  <c r="C8" i="1"/>
  <c r="I44" i="17" l="1"/>
  <c r="I32" i="17"/>
  <c r="I16" i="17"/>
  <c r="I59" i="17"/>
  <c r="I49" i="17"/>
  <c r="I27" i="17"/>
  <c r="I21" i="17"/>
  <c r="I8" i="17"/>
  <c r="I35" i="17"/>
  <c r="I86" i="17"/>
  <c r="I78" i="17"/>
  <c r="I69" i="17"/>
  <c r="I13" i="17"/>
  <c r="I80" i="17"/>
  <c r="I28" i="17"/>
  <c r="I71" i="17"/>
  <c r="I14" i="17"/>
  <c r="I30" i="17"/>
  <c r="I50" i="17"/>
  <c r="I15" i="17"/>
  <c r="I23" i="17"/>
  <c r="I40" i="17"/>
  <c r="I89" i="17"/>
  <c r="I76" i="17"/>
  <c r="I68" i="17"/>
  <c r="I57" i="17"/>
  <c r="I43" i="17"/>
  <c r="I92" i="17"/>
  <c r="I58" i="17"/>
  <c r="I52" i="17"/>
  <c r="I22" i="17"/>
  <c r="I66" i="17"/>
  <c r="I20" i="17"/>
  <c r="I84" i="17"/>
  <c r="I48" i="17"/>
  <c r="I7" i="17"/>
  <c r="I29" i="17"/>
  <c r="I51" i="17"/>
  <c r="I54" i="17"/>
  <c r="I37" i="17"/>
  <c r="I62" i="17"/>
  <c r="I31" i="17"/>
  <c r="I26" i="17"/>
  <c r="I79" i="17"/>
  <c r="I61" i="17"/>
  <c r="I46" i="17"/>
  <c r="I64" i="17"/>
  <c r="I55" i="17"/>
  <c r="I77" i="17"/>
  <c r="I88" i="17"/>
  <c r="I91" i="17"/>
  <c r="I87" i="17"/>
  <c r="I42" i="17"/>
  <c r="I56" i="17"/>
  <c r="I85" i="17"/>
  <c r="I63" i="17"/>
  <c r="I82" i="17"/>
  <c r="I74" i="17"/>
  <c r="I90" i="17"/>
  <c r="I47" i="17"/>
  <c r="I83" i="17"/>
  <c r="F19" i="1"/>
  <c r="E19" i="1"/>
  <c r="D19" i="1"/>
  <c r="C19" i="1"/>
  <c r="F18" i="1"/>
  <c r="E18" i="1"/>
  <c r="D18" i="1"/>
  <c r="C18" i="1"/>
  <c r="F15" i="1"/>
  <c r="E15" i="1"/>
  <c r="D15" i="1"/>
  <c r="C15" i="1"/>
  <c r="D20" i="1" l="1"/>
  <c r="C20" i="1"/>
  <c r="E20" i="1"/>
  <c r="F20" i="1"/>
  <c r="H19" i="1"/>
  <c r="H15" i="1"/>
  <c r="G15" i="1"/>
  <c r="G19" i="1"/>
  <c r="G18" i="1"/>
  <c r="H18" i="1"/>
  <c r="F11" i="1"/>
  <c r="E11" i="1"/>
  <c r="D11" i="1"/>
  <c r="C11" i="1"/>
  <c r="F10" i="1"/>
  <c r="E10" i="1"/>
  <c r="G20" i="1" l="1"/>
  <c r="H20" i="1"/>
  <c r="D10" i="1"/>
  <c r="H10" i="1" s="1"/>
  <c r="C10" i="1"/>
  <c r="G10" i="1" s="1"/>
  <c r="F9" i="1"/>
  <c r="E9" i="1"/>
  <c r="D9" i="1"/>
  <c r="C9" i="1"/>
  <c r="H11" i="1"/>
  <c r="G11" i="1"/>
  <c r="H9" i="1" l="1"/>
  <c r="G9" i="1"/>
  <c r="F8" i="1"/>
  <c r="F12" i="1" s="1"/>
  <c r="E8" i="1"/>
  <c r="E12" i="1" s="1"/>
  <c r="AD13" i="2"/>
  <c r="AE13" i="2" s="1"/>
  <c r="D8" i="1" l="1"/>
  <c r="G8" i="1" l="1"/>
  <c r="G12" i="1" s="1"/>
  <c r="C12" i="1"/>
  <c r="H8" i="1"/>
  <c r="H12" i="1" s="1"/>
  <c r="D12" i="1"/>
  <c r="AC13" i="2"/>
  <c r="X13" i="2" l="1"/>
  <c r="Y13" i="2" s="1"/>
  <c r="Z13" i="2" s="1"/>
  <c r="AA13" i="2" s="1"/>
  <c r="AB13" i="2" s="1"/>
  <c r="D13" i="2" l="1"/>
  <c r="E13" i="2" s="1"/>
  <c r="F13" i="2" s="1"/>
  <c r="G13" i="2" s="1"/>
  <c r="H13" i="2" s="1"/>
  <c r="I13" i="2" s="1"/>
  <c r="J13" i="2" s="1"/>
  <c r="K13" i="2" s="1"/>
  <c r="L13" i="2" s="1"/>
  <c r="M13" i="2" s="1"/>
  <c r="N13" i="2" s="1"/>
  <c r="O13" i="2" s="1"/>
  <c r="P13" i="2" s="1"/>
  <c r="Q13" i="2" s="1"/>
  <c r="R13" i="2" s="1"/>
  <c r="S13" i="2" s="1"/>
  <c r="T13" i="2" s="1"/>
  <c r="U13" i="2" s="1"/>
  <c r="V13" i="2" s="1"/>
  <c r="W13" i="2" s="1"/>
  <c r="C13" i="2"/>
  <c r="E12" i="2" l="1"/>
  <c r="E11" i="2"/>
  <c r="E10" i="2"/>
  <c r="E9" i="2"/>
  <c r="E8" i="2"/>
  <c r="E7" i="2"/>
  <c r="E6" i="2"/>
</calcChain>
</file>

<file path=xl/sharedStrings.xml><?xml version="1.0" encoding="utf-8"?>
<sst xmlns="http://schemas.openxmlformats.org/spreadsheetml/2006/main" count="464" uniqueCount="104">
  <si>
    <t>Form Folder</t>
  </si>
  <si>
    <t>DAP</t>
  </si>
  <si>
    <t>ML</t>
  </si>
  <si>
    <t>USL</t>
  </si>
  <si>
    <t>VALIC-GMWB</t>
  </si>
  <si>
    <t>VALIC-VIX-DAP</t>
  </si>
  <si>
    <t>VIX</t>
  </si>
  <si>
    <t>GMAB</t>
  </si>
  <si>
    <t>Liability Rho</t>
  </si>
  <si>
    <t>Liability Convexity</t>
  </si>
  <si>
    <t>Swap Rho</t>
  </si>
  <si>
    <t>Folder Name</t>
  </si>
  <si>
    <t>Liability Rho Cell</t>
  </si>
  <si>
    <t>Liability Convexity Cell</t>
  </si>
  <si>
    <t>Swap Rho Cell</t>
  </si>
  <si>
    <t>GMWB-DAP</t>
  </si>
  <si>
    <t>GMWB-ML</t>
  </si>
  <si>
    <t>VALIC_GMWB</t>
  </si>
  <si>
    <t>VALIC_VIX_DAP</t>
  </si>
  <si>
    <t>GMWB-VIX</t>
  </si>
  <si>
    <t>All MTM and Greeks</t>
  </si>
  <si>
    <t>C27</t>
  </si>
  <si>
    <t>Liability Greek Sheet</t>
  </si>
  <si>
    <t>F36</t>
  </si>
  <si>
    <t>Key Rho</t>
  </si>
  <si>
    <t>File Name Prefix</t>
  </si>
  <si>
    <t>Last Trade Date</t>
  </si>
  <si>
    <t>\\whpnxx6070n1\mrm_dept\v02\FORMS\GMLB\</t>
  </si>
  <si>
    <t>Swaption Rho</t>
  </si>
  <si>
    <t>Hedged Convexity</t>
  </si>
  <si>
    <t>IR Vega</t>
  </si>
  <si>
    <t>Swaption Rho Cell</t>
  </si>
  <si>
    <t>H35</t>
  </si>
  <si>
    <t>F37</t>
  </si>
  <si>
    <t>Y40</t>
  </si>
  <si>
    <t>Liability Delta</t>
  </si>
  <si>
    <t>Liability Vega</t>
  </si>
  <si>
    <t>SPX Index</t>
  </si>
  <si>
    <t>Liability PV</t>
  </si>
  <si>
    <t>Swap PV</t>
  </si>
  <si>
    <t>Swaption PV</t>
  </si>
  <si>
    <t>N2:N8</t>
  </si>
  <si>
    <t>O22:O23</t>
  </si>
  <si>
    <t>From</t>
  </si>
  <si>
    <t>To</t>
  </si>
  <si>
    <t>Liability Greeks</t>
  </si>
  <si>
    <t>Swap/Swaption Greeks</t>
  </si>
  <si>
    <t>Dates</t>
  </si>
  <si>
    <t>Liability Vega PnL</t>
  </si>
  <si>
    <t>Liability Rho PnL</t>
  </si>
  <si>
    <t>Liability Attribution</t>
  </si>
  <si>
    <t>Liability PnL Sheet</t>
  </si>
  <si>
    <t>B6</t>
  </si>
  <si>
    <t>B5</t>
  </si>
  <si>
    <t>Liability PV Sheet</t>
  </si>
  <si>
    <t>Liability PV Cell</t>
  </si>
  <si>
    <t>LiabilitySQL</t>
  </si>
  <si>
    <t>AI13</t>
  </si>
  <si>
    <t>MktEnv Sheet</t>
  </si>
  <si>
    <t>MrkEnv.General</t>
  </si>
  <si>
    <t>B3</t>
  </si>
  <si>
    <t>Liability Delta Cell</t>
  </si>
  <si>
    <t>B27</t>
  </si>
  <si>
    <t>Liability Vega Cell</t>
  </si>
  <si>
    <t>D27</t>
  </si>
  <si>
    <t>Equity Delta Cell</t>
  </si>
  <si>
    <t>Equity Gamma Cell</t>
  </si>
  <si>
    <t>Equity Vega Cell</t>
  </si>
  <si>
    <t>B37</t>
  </si>
  <si>
    <t>E37</t>
  </si>
  <si>
    <t>Equity Rho Cell</t>
  </si>
  <si>
    <t>C37</t>
  </si>
  <si>
    <t>D37</t>
  </si>
  <si>
    <t>Hedged Delta</t>
  </si>
  <si>
    <t>Hedged Rho</t>
  </si>
  <si>
    <t>Hedged Gamma</t>
  </si>
  <si>
    <t>Hedged Vega</t>
  </si>
  <si>
    <t>Hedged Greeks</t>
  </si>
  <si>
    <t>Swap Hedge Positions</t>
  </si>
  <si>
    <t>N9:N13</t>
  </si>
  <si>
    <t>Swap Sheet</t>
  </si>
  <si>
    <t>Key Rho Sheet</t>
  </si>
  <si>
    <t>AA39</t>
  </si>
  <si>
    <t>AA40</t>
  </si>
  <si>
    <t>AGL</t>
  </si>
  <si>
    <t>VALIC</t>
  </si>
  <si>
    <t>FSA</t>
  </si>
  <si>
    <t>Vega</t>
  </si>
  <si>
    <t>Rho</t>
  </si>
  <si>
    <t>Total</t>
  </si>
  <si>
    <t>Liability PnL</t>
  </si>
  <si>
    <t>Hedges PnL</t>
  </si>
  <si>
    <t>Net PnL</t>
  </si>
  <si>
    <t>Hedged PnL</t>
  </si>
  <si>
    <t>Hedges Rho PnL</t>
  </si>
  <si>
    <t>Hedges Vega PnL</t>
  </si>
  <si>
    <t>J6:P6</t>
  </si>
  <si>
    <t>O2:O20</t>
  </si>
  <si>
    <t>Y39</t>
  </si>
  <si>
    <t>J5:N5</t>
  </si>
  <si>
    <t>Hedges Equity Vega PnL</t>
  </si>
  <si>
    <t>Greek Category</t>
  </si>
  <si>
    <t>ColumnIndex</t>
  </si>
  <si>
    <t>Note: Date  has to be in assending order for time series to work correctly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</si>
</sst>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4">
    <xf numFmtId="0" fontId="0" fillId="0" borderId="0" xfId="0"/>
    <xf numFmtId="0" fontId="1" fillId="0" borderId="0" xfId="0" applyFont="1" applyAlignment="1">
      <alignment horizontal="left"/>
    </xf>
    <xf numFmtId="0" fontId="3" fillId="0" borderId="0" xfId="0" applyFont="1"/>
    <xf numFmtId="0" fontId="2" fillId="0" borderId="0" xfId="0" applyFont="1" applyAlignment="1">
      <alignment horizontal="left"/>
    </xf>
    <xf numFmtId="3" fontId="2" fillId="0" borderId="0" xfId="0" applyNumberFormat="1" applyFont="1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Alignment="1">
      <alignment horizontal="left"/>
    </xf>
    <xf numFmtId="0" fontId="5" fillId="0" borderId="0" xfId="1"/>
    <xf numFmtId="0" fontId="0" fillId="2" borderId="0" xfId="0" applyFill="1"/>
    <xf numFmtId="0" fontId="5" fillId="2" borderId="0" xfId="1" applyFill="1"/>
    <xf numFmtId="0" fontId="0" fillId="0" borderId="0" xfId="0" applyAlignment="1">
      <alignment horizontal="right"/>
    </xf>
    <xf numFmtId="3" fontId="0" fillId="0" borderId="0" xfId="0" applyNumberFormat="1" applyAlignment="1">
      <alignment horizontal="right"/>
    </xf>
    <xf numFmtId="0" fontId="6" fillId="0" borderId="0" xfId="0" applyFont="1"/>
    <xf numFmtId="0" fontId="7" fillId="4" borderId="6" xfId="0" applyFont="1" applyFill="1" applyBorder="1"/>
    <xf numFmtId="0" fontId="7" fillId="4" borderId="7" xfId="0" applyFont="1" applyFill="1" applyBorder="1"/>
    <xf numFmtId="3" fontId="0" fillId="0" borderId="8" xfId="0" applyNumberFormat="1" applyFill="1" applyBorder="1" applyAlignment="1">
      <alignment horizontal="left"/>
    </xf>
    <xf numFmtId="3" fontId="0" fillId="0" borderId="9" xfId="0" applyNumberFormat="1" applyFill="1" applyBorder="1" applyAlignment="1">
      <alignment horizontal="left"/>
    </xf>
    <xf numFmtId="0" fontId="0" fillId="0" borderId="8" xfId="0" applyFill="1" applyBorder="1"/>
    <xf numFmtId="0" fontId="0" fillId="0" borderId="10" xfId="0" applyFill="1" applyBorder="1"/>
    <xf numFmtId="3" fontId="0" fillId="0" borderId="0" xfId="0" applyNumberFormat="1"/>
    <xf numFmtId="3" fontId="0" fillId="0" borderId="10" xfId="0" applyNumberFormat="1" applyFill="1" applyBorder="1" applyAlignment="1">
      <alignment horizontal="left"/>
    </xf>
    <xf numFmtId="3" fontId="0" fillId="0" borderId="11" xfId="0" applyNumberFormat="1" applyFill="1" applyBorder="1" applyAlignment="1">
      <alignment horizontal="left"/>
    </xf>
    <xf numFmtId="0" fontId="0" fillId="2" borderId="2" xfId="0" applyFill="1" applyBorder="1"/>
    <xf numFmtId="0" fontId="7" fillId="4" borderId="12" xfId="0" applyFont="1" applyFill="1" applyBorder="1"/>
    <xf numFmtId="0" fontId="0" fillId="2" borderId="8" xfId="0" applyFill="1" applyBorder="1"/>
    <xf numFmtId="0" fontId="0" fillId="2" borderId="10" xfId="0" applyFill="1" applyBorder="1"/>
    <xf numFmtId="0" fontId="7" fillId="4" borderId="4" xfId="0" applyFont="1" applyFill="1" applyBorder="1"/>
    <xf numFmtId="0" fontId="3" fillId="2" borderId="4" xfId="0" applyFont="1" applyFill="1" applyBorder="1"/>
    <xf numFmtId="0" fontId="1" fillId="2" borderId="0" xfId="0" applyFont="1" applyFill="1"/>
    <xf numFmtId="3" fontId="1" fillId="2" borderId="0" xfId="0" applyNumberFormat="1" applyFont="1" applyFill="1" applyAlignment="1">
      <alignment horizontal="left"/>
    </xf>
    <xf numFmtId="3" fontId="0" fillId="0" borderId="0" xfId="0" applyNumberFormat="1" applyFill="1" applyBorder="1" applyAlignment="1">
      <alignment horizontal="left"/>
    </xf>
    <xf numFmtId="3" fontId="0" fillId="0" borderId="5" xfId="0" applyNumberFormat="1" applyFill="1" applyBorder="1" applyAlignment="1">
      <alignment horizontal="left"/>
    </xf>
    <xf numFmtId="3" fontId="0" fillId="2" borderId="0" xfId="0" applyNumberFormat="1" applyFill="1" applyAlignment="1">
      <alignment horizontal="left"/>
    </xf>
    <xf numFmtId="0" fontId="0" fillId="5" borderId="0" xfId="0" applyFill="1" applyAlignment="1">
      <alignment horizontal="right"/>
    </xf>
    <xf numFmtId="0" fontId="0" fillId="6" borderId="0" xfId="0" applyFill="1" applyAlignment="1">
      <alignment horizontal="left"/>
    </xf>
    <xf numFmtId="3" fontId="0" fillId="6" borderId="0" xfId="0" applyNumberFormat="1" applyFill="1" applyAlignment="1">
      <alignment horizontal="right"/>
    </xf>
    <xf numFmtId="0" fontId="1" fillId="0" borderId="0" xfId="0" applyFont="1" applyAlignment="1">
      <alignment horizontal="right"/>
    </xf>
    <xf numFmtId="0" fontId="8" fillId="5" borderId="0" xfId="0" applyFont="1" applyFill="1"/>
    <xf numFmtId="0" fontId="7" fillId="3" borderId="2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21</xdr:row>
          <xdr:rowOff>57150</xdr:rowOff>
        </xdr:from>
        <xdr:to>
          <xdr:col>2</xdr:col>
          <xdr:colOff>266700</xdr:colOff>
          <xdr:row>23</xdr:row>
          <xdr:rowOff>85725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All 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219075</xdr:colOff>
          <xdr:row>0</xdr:row>
          <xdr:rowOff>47625</xdr:rowOff>
        </xdr:from>
        <xdr:to>
          <xdr:col>3</xdr:col>
          <xdr:colOff>104775</xdr:colOff>
          <xdr:row>1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219075</xdr:colOff>
          <xdr:row>0</xdr:row>
          <xdr:rowOff>47625</xdr:rowOff>
        </xdr:from>
        <xdr:to>
          <xdr:col>4</xdr:col>
          <xdr:colOff>19050</xdr:colOff>
          <xdr:row>1</xdr:row>
          <xdr:rowOff>152400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Greeks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1276350</xdr:colOff>
          <xdr:row>0</xdr:row>
          <xdr:rowOff>47625</xdr:rowOff>
        </xdr:from>
        <xdr:to>
          <xdr:col>3</xdr:col>
          <xdr:colOff>1000125</xdr:colOff>
          <xdr:row>1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Greeks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47625</xdr:rowOff>
        </xdr:from>
        <xdr:to>
          <xdr:col>2</xdr:col>
          <xdr:colOff>1162050</xdr:colOff>
          <xdr:row>1</xdr:row>
          <xdr:rowOff>152400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0</xdr:row>
          <xdr:rowOff>47625</xdr:rowOff>
        </xdr:from>
        <xdr:to>
          <xdr:col>3</xdr:col>
          <xdr:colOff>1200150</xdr:colOff>
          <xdr:row>1</xdr:row>
          <xdr:rowOff>152400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Greeks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0</xdr:row>
          <xdr:rowOff>47625</xdr:rowOff>
        </xdr:from>
        <xdr:to>
          <xdr:col>2</xdr:col>
          <xdr:colOff>1295400</xdr:colOff>
          <xdr:row>1</xdr:row>
          <xdr:rowOff>152400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0</xdr:row>
          <xdr:rowOff>47625</xdr:rowOff>
        </xdr:from>
        <xdr:to>
          <xdr:col>4</xdr:col>
          <xdr:colOff>0</xdr:colOff>
          <xdr:row>1</xdr:row>
          <xdr:rowOff>152400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Greeks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247650</xdr:colOff>
          <xdr:row>0</xdr:row>
          <xdr:rowOff>47625</xdr:rowOff>
        </xdr:from>
        <xdr:to>
          <xdr:col>3</xdr:col>
          <xdr:colOff>66675</xdr:colOff>
          <xdr:row>1</xdr:row>
          <xdr:rowOff>152400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Dates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0</xdr:row>
          <xdr:rowOff>47625</xdr:rowOff>
        </xdr:from>
        <xdr:to>
          <xdr:col>4</xdr:col>
          <xdr:colOff>304800</xdr:colOff>
          <xdr:row>1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Greeks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400050</xdr:colOff>
          <xdr:row>0</xdr:row>
          <xdr:rowOff>47625</xdr:rowOff>
        </xdr:from>
        <xdr:to>
          <xdr:col>3</xdr:col>
          <xdr:colOff>295275</xdr:colOff>
          <xdr:row>1</xdr:row>
          <xdr:rowOff>152400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Dates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0</xdr:row>
          <xdr:rowOff>47625</xdr:rowOff>
        </xdr:from>
        <xdr:to>
          <xdr:col>4</xdr:col>
          <xdr:colOff>0</xdr:colOff>
          <xdr:row>1</xdr:row>
          <xdr:rowOff>152400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Greeks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247650</xdr:colOff>
          <xdr:row>0</xdr:row>
          <xdr:rowOff>47625</xdr:rowOff>
        </xdr:from>
        <xdr:to>
          <xdr:col>3</xdr:col>
          <xdr:colOff>66675</xdr:colOff>
          <xdr:row>1</xdr:row>
          <xdr:rowOff>152400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Dates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1390650</xdr:colOff>
          <xdr:row>0</xdr:row>
          <xdr:rowOff>38100</xdr:rowOff>
        </xdr:from>
        <xdr:to>
          <xdr:col>3</xdr:col>
          <xdr:colOff>1076325</xdr:colOff>
          <xdr:row>1</xdr:row>
          <xdr:rowOff>142875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Greeks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0</xdr:row>
          <xdr:rowOff>38100</xdr:rowOff>
        </xdr:from>
        <xdr:to>
          <xdr:col>2</xdr:col>
          <xdr:colOff>1276350</xdr:colOff>
          <xdr:row>1</xdr:row>
          <xdr:rowOff>142875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../..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L22"/>
  <sheetViews>
    <sheetView workbookViewId="0">
      <selection activeCell="C5" sqref="C5"/>
    </sheetView>
  </sheetViews>
  <sheetFormatPr defaultRowHeight="15" x14ac:dyDescent="0.25"/>
  <cols>
    <col min="1" max="1" width="9.140625" style="8"/>
    <col min="2" max="2" width="17" style="8" customWidth="1"/>
    <col min="3" max="8" width="20.28515625" style="8" customWidth="1"/>
    <col min="9" max="9" width="24.140625" style="8" customWidth="1"/>
    <col min="10" max="10" width="20.28515625" style="8" customWidth="1"/>
    <col min="11" max="16384" width="9.140625" style="8"/>
  </cols>
  <sheetData>
    <row r="3" spans="2:12" x14ac:dyDescent="0.25">
      <c r="B3" s="8" t="s">
        <v>43</v>
      </c>
      <c r="C3" s="27">
        <v>20141231</v>
      </c>
    </row>
    <row r="4" spans="2:12" x14ac:dyDescent="0.25">
      <c r="B4" s="8" t="s">
        <v>44</v>
      </c>
      <c r="C4" s="27">
        <v>20150505</v>
      </c>
    </row>
    <row r="6" spans="2:12" x14ac:dyDescent="0.25">
      <c r="C6" s="38" t="s">
        <v>90</v>
      </c>
      <c r="D6" s="39"/>
      <c r="E6" s="39" t="s">
        <v>91</v>
      </c>
      <c r="F6" s="39"/>
      <c r="G6" s="39" t="s">
        <v>92</v>
      </c>
      <c r="H6" s="40"/>
    </row>
    <row r="7" spans="2:12" x14ac:dyDescent="0.25">
      <c r="B7" s="13" t="s">
        <v>84</v>
      </c>
      <c r="C7" s="13" t="s">
        <v>88</v>
      </c>
      <c r="D7" s="14" t="s">
        <v>87</v>
      </c>
      <c r="E7" s="13" t="s">
        <v>88</v>
      </c>
      <c r="F7" s="14" t="s">
        <v>87</v>
      </c>
      <c r="G7" s="13" t="s">
        <v>88</v>
      </c>
      <c r="H7" s="14" t="s">
        <v>87</v>
      </c>
    </row>
    <row r="8" spans="2:12" x14ac:dyDescent="0.25">
      <c r="B8" s="17" t="s">
        <v>1</v>
      </c>
      <c r="C8" s="15">
        <f>SUMIFS(DAP!H6:H199,DAP!$A$6:$A$199,"&gt;="&amp;Summary!$C$3,DAP!$A$6:$A$199,"&lt;="&amp;Summary!$C$4)</f>
        <v>55360403.384191722</v>
      </c>
      <c r="D8" s="16">
        <f>SUMIFS(DAP!I6:I199,DAP!$A$6:$A$199,"&gt;="&amp;Summary!$C$3,DAP!$A$6:$A$199,"&lt;="&amp;Summary!$C$4)</f>
        <v>-1140582.7255591</v>
      </c>
      <c r="E8" s="15">
        <f>SUMIFS(DAP!T6:T199,DAP!$A$6:$A$199,"&gt;="&amp;Summary!$C$3,DAP!$A$6:$A$199,"&lt;="&amp;Summary!$C$4)</f>
        <v>-563573320.18252552</v>
      </c>
      <c r="F8" s="16">
        <f>SUMIFS(DAP!U6:U199,DAP!$A$6:$A$199,"&gt;="&amp;Summary!$C$3,DAP!$A$6:$A$199,"&lt;="&amp;Summary!$C$4)</f>
        <v>156097.98452146229</v>
      </c>
      <c r="G8" s="15">
        <f>C8+E8</f>
        <v>-508212916.79833376</v>
      </c>
      <c r="H8" s="16">
        <f>D8+F8</f>
        <v>-984484.74103763769</v>
      </c>
    </row>
    <row r="9" spans="2:12" x14ac:dyDescent="0.25">
      <c r="B9" s="17" t="s">
        <v>6</v>
      </c>
      <c r="C9" s="15">
        <f>SUMIFS(VIX!H6:H200,VIX!$A$6:$A$200,"&gt;="&amp;Summary!$C$3,VIX!$A$6:$A$200,"&lt;="&amp;Summary!$C$4)</f>
        <v>-10849822.926609591</v>
      </c>
      <c r="D9" s="16">
        <f>SUMIFS(VIX!I6:I200,VIX!$A$6:$A$200,"&gt;="&amp;Summary!$C$3,VIX!$A$6:$A$200,"&lt;="&amp;Summary!$C$4)</f>
        <v>-877109.82347319555</v>
      </c>
      <c r="E9" s="15">
        <f>SUMIFS(VIX!T6:T200,VIX!$A$6:$A$200,"&gt;="&amp;Summary!$C$3,VIX!$A$6:$A$200,"&lt;="&amp;Summary!$C$4)</f>
        <v>16207093.685997162</v>
      </c>
      <c r="F9" s="16">
        <f>SUMIFS(VIX!U6:U200,VIX!$A$6:$A$200,"&gt;="&amp;Summary!$C$3,VIX!$A$6:$A$200,"&lt;="&amp;Summary!$C$4)</f>
        <v>1253449.916592353</v>
      </c>
      <c r="G9" s="15">
        <f t="shared" ref="G9:G11" si="0">C9+E9</f>
        <v>5357270.7593875714</v>
      </c>
      <c r="H9" s="16">
        <f t="shared" ref="H9:H11" si="1">D9+F9</f>
        <v>376340.09311915748</v>
      </c>
      <c r="L9" s="9"/>
    </row>
    <row r="10" spans="2:12" x14ac:dyDescent="0.25">
      <c r="B10" s="17" t="s">
        <v>2</v>
      </c>
      <c r="C10" s="15">
        <f>SUMIFS(ML!H6:H200,ML!$A$6:$A$200,"&gt;="&amp;Summary!$C$3,ML!$A$6:$A$200,"&lt;="&amp;Summary!$C$4)</f>
        <v>-32033768.963726517</v>
      </c>
      <c r="D10" s="16">
        <f>SUMIFS(ML!I6:I200,ML!$A$6:$A$200,"&gt;="&amp;Summary!$C$3,ML!$A$6:$A$200,"&lt;="&amp;Summary!$C$4)</f>
        <v>1716068.4344085683</v>
      </c>
      <c r="E10" s="15">
        <f>SUMIFS(ML!T6:T200,ML!$A$6:$A$200,"&gt;="&amp;Summary!$C$3,ML!$A$6:$A$200,"&lt;="&amp;Summary!$C$4)</f>
        <v>20428773.610087018</v>
      </c>
      <c r="F10" s="16">
        <f>SUMIFS(ML!U6:U200,ML!$A$6:$A$200,"&gt;="&amp;Summary!$C$3,ML!$A$6:$A$200,"&lt;="&amp;Summary!$C$4)</f>
        <v>3459217.9914689423</v>
      </c>
      <c r="G10" s="15">
        <f t="shared" si="0"/>
        <v>-11604995.353639498</v>
      </c>
      <c r="H10" s="16">
        <f t="shared" si="1"/>
        <v>5175286.4258775106</v>
      </c>
    </row>
    <row r="11" spans="2:12" x14ac:dyDescent="0.25">
      <c r="B11" s="18" t="s">
        <v>7</v>
      </c>
      <c r="C11" s="20">
        <f>SUMIFS(GMAB!H6:H200,GMAB!$A$6:$A$200,"&gt;="&amp;Summary!$C$3,GMAB!$A$6:$A$200,"&lt;="&amp;Summary!$C$4)</f>
        <v>-169939.72084742991</v>
      </c>
      <c r="D11" s="21">
        <f>SUMIFS(GMAB!I6:I200,GMAB!$A$6:$A$200,"&gt;="&amp;Summary!$C$3,GMAB!$A$6:$A$200,"&lt;="&amp;Summary!$C$4)</f>
        <v>153270.61781031155</v>
      </c>
      <c r="E11" s="20">
        <f>SUMIFS(GMAB!T6:T200,GMAB!$A$6:$A$200,"&gt;="&amp;Summary!$C$3,GMAB!$A$6:$A$200,"&lt;="&amp;Summary!$C$4)</f>
        <v>4.0645729314107264</v>
      </c>
      <c r="F11" s="21">
        <f>SUMIFS(GMAB!U6:U200,GMAB!$A$6:$A$200,"&gt;="&amp;Summary!$C$3,GMAB!$A$6:$A$200,"&lt;="&amp;Summary!$C$4)</f>
        <v>160.72605469565858</v>
      </c>
      <c r="G11" s="20">
        <f t="shared" si="0"/>
        <v>-169935.6562744985</v>
      </c>
      <c r="H11" s="21">
        <f t="shared" si="1"/>
        <v>153431.34386500722</v>
      </c>
    </row>
    <row r="12" spans="2:12" x14ac:dyDescent="0.25">
      <c r="B12" s="28" t="s">
        <v>89</v>
      </c>
      <c r="C12" s="29">
        <f>SUM(C8:C11)</f>
        <v>12306871.773008185</v>
      </c>
      <c r="D12" s="29">
        <f t="shared" ref="D12:H12" si="2">SUM(D8:D11)</f>
        <v>-148353.49681341572</v>
      </c>
      <c r="E12" s="29">
        <f t="shared" si="2"/>
        <v>-526937448.82186842</v>
      </c>
      <c r="F12" s="29">
        <f t="shared" si="2"/>
        <v>4868926.6186374528</v>
      </c>
      <c r="G12" s="29">
        <f t="shared" si="2"/>
        <v>-514630577.04886019</v>
      </c>
      <c r="H12" s="29">
        <f t="shared" si="2"/>
        <v>4720573.1218240373</v>
      </c>
    </row>
    <row r="14" spans="2:12" x14ac:dyDescent="0.25">
      <c r="B14" s="13" t="s">
        <v>86</v>
      </c>
      <c r="C14" s="13" t="s">
        <v>88</v>
      </c>
      <c r="D14" s="14" t="s">
        <v>87</v>
      </c>
      <c r="E14" s="23" t="s">
        <v>88</v>
      </c>
      <c r="F14" s="23" t="s">
        <v>87</v>
      </c>
      <c r="G14" s="13" t="s">
        <v>88</v>
      </c>
      <c r="H14" s="14" t="s">
        <v>87</v>
      </c>
    </row>
    <row r="15" spans="2:12" x14ac:dyDescent="0.25">
      <c r="B15" s="22" t="s">
        <v>3</v>
      </c>
      <c r="C15" s="20">
        <f>SUMIFS(USL!H6:H200,USL!$A$6:$A$200,"&gt;="&amp;Summary!$C$3,USL!$A$6:$A$200,"&lt;="&amp;Summary!$C$4)</f>
        <v>-5915613.8234203449</v>
      </c>
      <c r="D15" s="21">
        <f>SUMIFS(USL!I6:I200,USL!$A$6:$A$200,"&gt;="&amp;Summary!$C$3,USL!$A$6:$A$200,"&lt;="&amp;Summary!$C$4)</f>
        <v>-6779.6576280181616</v>
      </c>
      <c r="E15" s="20">
        <f>SUMIFS(USL!T6:T200,USL!$A$6:$A$200,"&gt;="&amp;Summary!$C$3,USL!$A$6:$A$200,"&lt;="&amp;Summary!$C$4)</f>
        <v>10132352.634920424</v>
      </c>
      <c r="F15" s="21">
        <f>SUMIFS(USL!U6:U200,USL!$A$6:$A$200,"&gt;="&amp;Summary!$C$3,USL!$A$6:$A$200,"&lt;="&amp;Summary!$C$4)</f>
        <v>607667.72913711623</v>
      </c>
      <c r="G15" s="20">
        <f t="shared" ref="G15" si="3">C15+E15</f>
        <v>4216738.811500079</v>
      </c>
      <c r="H15" s="21">
        <f t="shared" ref="H15" si="4">D15+F15</f>
        <v>600888.07150909805</v>
      </c>
    </row>
    <row r="17" spans="2:8" x14ac:dyDescent="0.25">
      <c r="B17" s="26" t="s">
        <v>85</v>
      </c>
      <c r="C17" s="13" t="s">
        <v>88</v>
      </c>
      <c r="D17" s="14" t="s">
        <v>87</v>
      </c>
      <c r="E17" s="23" t="s">
        <v>88</v>
      </c>
      <c r="F17" s="23" t="s">
        <v>87</v>
      </c>
      <c r="G17" s="13" t="s">
        <v>88</v>
      </c>
      <c r="H17" s="14" t="s">
        <v>87</v>
      </c>
    </row>
    <row r="18" spans="2:8" x14ac:dyDescent="0.25">
      <c r="B18" s="24" t="s">
        <v>4</v>
      </c>
      <c r="C18" s="15">
        <f>SUMIFS('VALIC-GMWB'!H6:H200,'VALIC-GMWB'!$A$6:$A$200,"&gt;="&amp;Summary!$C$3,'VALIC-GMWB'!$A$6:$A$200,"&lt;="&amp;Summary!$C$4)</f>
        <v>-8034822.9104494443</v>
      </c>
      <c r="D18" s="16">
        <f>SUMIFS('VALIC-GMWB'!I6:I200,'VALIC-GMWB'!$A$6:$A$200,"&gt;="&amp;Summary!$C$3,'VALIC-GMWB'!$A$6:$A$200,"&lt;="&amp;Summary!$C$4)</f>
        <v>1286877.1868908522</v>
      </c>
      <c r="E18" s="30">
        <f>SUMIFS('VALIC-GMWB'!T6:T200,'VALIC-GMWB'!$A$6:$A$200,"&gt;="&amp;Summary!$C$3,'VALIC-GMWB'!$A$6:$A$200,"&lt;="&amp;Summary!$C$4)</f>
        <v>15347282.432084899</v>
      </c>
      <c r="F18" s="30">
        <f>SUMIFS('VALIC-GMWB'!U6:U200,'VALIC-GMWB'!$A$6:$A$200,"&gt;="&amp;Summary!$C$3,'VALIC-GMWB'!$A$6:$A$200,"&lt;="&amp;Summary!$C$4)</f>
        <v>2669431.9003903712</v>
      </c>
      <c r="G18" s="15">
        <f>C18+E18</f>
        <v>7312459.5216354551</v>
      </c>
      <c r="H18" s="16">
        <f>D18+F18</f>
        <v>3956309.0872812234</v>
      </c>
    </row>
    <row r="19" spans="2:8" x14ac:dyDescent="0.25">
      <c r="B19" s="25" t="s">
        <v>5</v>
      </c>
      <c r="C19" s="20">
        <f>SUMIFS('VALIC-VIX-DAP'!H6:H200,'VALIC-VIX-DAP'!$A$6:$A$200,"&gt;="&amp;Summary!$C$3,'VALIC-VIX-DAP'!$A$6:$A$200,"&lt;="&amp;Summary!$C$4)</f>
        <v>-8027255.6848448301</v>
      </c>
      <c r="D19" s="21">
        <f>SUMIFS('VALIC-VIX-DAP'!I6:I200,'VALIC-VIX-DAP'!$A$6:$A$200,"&gt;="&amp;Summary!$C$3,'VALIC-VIX-DAP'!$A$6:$A$200,"&lt;="&amp;Summary!$C$4)</f>
        <v>214357.38570404501</v>
      </c>
      <c r="E19" s="31">
        <f>SUMIFS('VALIC-VIX-DAP'!T6:T200,'VALIC-VIX-DAP'!$A$6:$A$200,"&gt;="&amp;Summary!$C$3,'VALIC-VIX-DAP'!$A$6:$A$200,"&lt;="&amp;Summary!$C$4)</f>
        <v>8455593.6381686907</v>
      </c>
      <c r="F19" s="31">
        <f>SUMIFS('VALIC-VIX-DAP'!U6:U200,'VALIC-VIX-DAP'!$A$6:$A$200,"&gt;="&amp;Summary!$C$3,'VALIC-VIX-DAP'!$A$6:$A$200,"&lt;="&amp;Summary!$C$4)</f>
        <v>913681.64737682685</v>
      </c>
      <c r="G19" s="20">
        <f>C19+E19</f>
        <v>428337.95332386065</v>
      </c>
      <c r="H19" s="21">
        <f>D19+F19</f>
        <v>1128039.0330808719</v>
      </c>
    </row>
    <row r="20" spans="2:8" x14ac:dyDescent="0.25">
      <c r="B20" s="28" t="s">
        <v>89</v>
      </c>
      <c r="C20" s="29">
        <f>SUM(C18:C19)</f>
        <v>-16062078.595294274</v>
      </c>
      <c r="D20" s="29">
        <f t="shared" ref="D20:H20" si="5">SUM(D18:D19)</f>
        <v>1501234.5725948971</v>
      </c>
      <c r="E20" s="29">
        <f t="shared" si="5"/>
        <v>23802876.070253588</v>
      </c>
      <c r="F20" s="29">
        <f t="shared" si="5"/>
        <v>3583113.5477671982</v>
      </c>
      <c r="G20" s="29">
        <f t="shared" si="5"/>
        <v>7740797.4749593157</v>
      </c>
      <c r="H20" s="29">
        <f t="shared" si="5"/>
        <v>5084348.1203620955</v>
      </c>
    </row>
    <row r="22" spans="2:8" x14ac:dyDescent="0.25">
      <c r="F22" s="32"/>
    </row>
  </sheetData>
  <mergeCells count="3">
    <mergeCell ref="C6:D6"/>
    <mergeCell ref="E6:F6"/>
    <mergeCell ref="G6:H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RefreshAll_Click">
                <anchor moveWithCells="1" sizeWithCells="1">
                  <from>
                    <xdr:col>1</xdr:col>
                    <xdr:colOff>0</xdr:colOff>
                    <xdr:row>21</xdr:row>
                    <xdr:rowOff>57150</xdr:rowOff>
                  </from>
                  <to>
                    <xdr:col>2</xdr:col>
                    <xdr:colOff>266700</xdr:colOff>
                    <xdr:row>23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U244"/>
  <sheetViews>
    <sheetView workbookViewId="0">
      <selection activeCell="I6" sqref="I6"/>
    </sheetView>
  </sheetViews>
  <sheetFormatPr defaultRowHeight="15" x14ac:dyDescent="0.25"/>
  <cols>
    <col min="1" max="1" width="19.5703125" style="6" customWidth="1"/>
    <col min="2" max="2" width="14.42578125" style="10" customWidth="1"/>
    <col min="3" max="3" width="18.28515625" style="10" customWidth="1"/>
    <col min="4" max="17" width="19.5703125" style="10" customWidth="1"/>
    <col min="18" max="18" width="18.140625" style="10" customWidth="1"/>
    <col min="19" max="19" width="21" style="10" bestFit="1" customWidth="1"/>
    <col min="20" max="20" width="20.5703125" customWidth="1"/>
    <col min="21" max="21" width="22.28515625" customWidth="1"/>
  </cols>
  <sheetData>
    <row r="1" spans="1:21" x14ac:dyDescent="0.25">
      <c r="A1" s="6" t="s">
        <v>43</v>
      </c>
      <c r="B1" s="10">
        <v>20141231</v>
      </c>
    </row>
    <row r="2" spans="1:21" x14ac:dyDescent="0.25">
      <c r="A2" s="6" t="s">
        <v>44</v>
      </c>
      <c r="B2" s="10">
        <v>20150505</v>
      </c>
    </row>
    <row r="4" spans="1:21" x14ac:dyDescent="0.25">
      <c r="C4" s="41" t="s">
        <v>45</v>
      </c>
      <c r="D4" s="42"/>
      <c r="E4" s="42"/>
      <c r="F4" s="42"/>
      <c r="G4" s="42"/>
      <c r="H4" s="42"/>
      <c r="I4" s="43"/>
      <c r="J4" s="41" t="s">
        <v>77</v>
      </c>
      <c r="K4" s="42"/>
      <c r="L4" s="42"/>
      <c r="M4" s="42"/>
      <c r="N4" s="43"/>
      <c r="O4" s="41" t="s">
        <v>46</v>
      </c>
      <c r="P4" s="42"/>
      <c r="Q4" s="42"/>
      <c r="R4" s="42"/>
      <c r="S4" s="43"/>
      <c r="T4" s="41" t="s">
        <v>93</v>
      </c>
      <c r="U4" s="43"/>
    </row>
    <row r="5" spans="1:21" x14ac:dyDescent="0.25">
      <c r="A5" s="6" t="s">
        <v>47</v>
      </c>
      <c r="B5" s="10" t="s">
        <v>37</v>
      </c>
      <c r="C5" s="10" t="s">
        <v>38</v>
      </c>
      <c r="D5" s="10" t="s">
        <v>35</v>
      </c>
      <c r="E5" s="10" t="s">
        <v>8</v>
      </c>
      <c r="F5" s="10" t="s">
        <v>36</v>
      </c>
      <c r="G5" s="10" t="s">
        <v>9</v>
      </c>
      <c r="H5" s="10" t="s">
        <v>49</v>
      </c>
      <c r="I5" s="10" t="s">
        <v>48</v>
      </c>
      <c r="J5" s="10" t="s">
        <v>73</v>
      </c>
      <c r="K5" s="10" t="s">
        <v>74</v>
      </c>
      <c r="L5" s="10" t="s">
        <v>75</v>
      </c>
      <c r="M5" s="10" t="s">
        <v>76</v>
      </c>
      <c r="N5" s="10" t="s">
        <v>29</v>
      </c>
      <c r="O5" s="10" t="s">
        <v>39</v>
      </c>
      <c r="P5" s="10" t="s">
        <v>40</v>
      </c>
      <c r="Q5" s="10" t="s">
        <v>10</v>
      </c>
      <c r="R5" s="10" t="s">
        <v>28</v>
      </c>
      <c r="S5" s="10" t="s">
        <v>30</v>
      </c>
      <c r="T5" s="10" t="s">
        <v>94</v>
      </c>
      <c r="U5" s="10" t="s">
        <v>95</v>
      </c>
    </row>
    <row r="6" spans="1:21" x14ac:dyDescent="0.25">
      <c r="A6" s="6">
        <v>20141231</v>
      </c>
      <c r="B6" s="10">
        <v>2058.9</v>
      </c>
      <c r="C6" s="11">
        <v>-161141110.38080001</v>
      </c>
      <c r="D6" s="11">
        <v>975880.12690997124</v>
      </c>
      <c r="E6" s="11">
        <v>667603485.65405416</v>
      </c>
      <c r="F6" s="11">
        <v>3369594.705845356</v>
      </c>
      <c r="G6" s="11">
        <v>-277673970.82479858</v>
      </c>
      <c r="H6" s="11">
        <v>-4122755.6913715731</v>
      </c>
      <c r="I6" s="11">
        <v>1293500.4158284618</v>
      </c>
      <c r="J6" s="11">
        <v>-992893.40839415113</v>
      </c>
      <c r="K6" s="11">
        <v>-665515901.58134735</v>
      </c>
      <c r="L6" s="11">
        <v>482.64972797534426</v>
      </c>
      <c r="M6" s="11">
        <v>2562978.1818622407</v>
      </c>
      <c r="N6" s="11">
        <v>413659396.34918451</v>
      </c>
      <c r="O6" s="11">
        <v>278106571.3092556</v>
      </c>
      <c r="P6" s="11">
        <v>54585207.960622676</v>
      </c>
      <c r="Q6" s="11">
        <v>-404815310.70658928</v>
      </c>
      <c r="R6" s="11">
        <v>-102356549.83250438</v>
      </c>
      <c r="S6" s="11">
        <v>3992369.8280055658</v>
      </c>
      <c r="T6">
        <v>8751825.6658805609</v>
      </c>
      <c r="U6" s="19">
        <v>1895655.9477667897</v>
      </c>
    </row>
    <row r="7" spans="1:21" x14ac:dyDescent="0.25">
      <c r="A7" s="6">
        <v>20150106</v>
      </c>
      <c r="B7" s="10">
        <v>2002.61</v>
      </c>
      <c r="C7" s="11">
        <v>-374497796.3611002</v>
      </c>
      <c r="D7" s="11">
        <v>963985.7260427475</v>
      </c>
      <c r="E7" s="11">
        <v>734478460.59892559</v>
      </c>
      <c r="F7" s="11">
        <v>3518008.3033518791</v>
      </c>
      <c r="G7" s="11">
        <v>-277673970.82479858</v>
      </c>
      <c r="H7" s="11">
        <v>-77233538.766326413</v>
      </c>
      <c r="I7" s="11">
        <v>1216931.265892528</v>
      </c>
      <c r="J7" s="11">
        <v>-978622.16271276388</v>
      </c>
      <c r="K7" s="11">
        <v>-757728804.57008004</v>
      </c>
      <c r="L7" s="11">
        <v>612.3595960675284</v>
      </c>
      <c r="M7" s="11">
        <v>2868990.206959201</v>
      </c>
      <c r="N7" s="11">
        <v>505740981.41014576</v>
      </c>
      <c r="O7" s="11">
        <v>387930633.41317219</v>
      </c>
      <c r="P7" s="11">
        <v>95839801.344755352</v>
      </c>
      <c r="Q7" s="11">
        <v>-418014670.50805199</v>
      </c>
      <c r="R7" s="11">
        <v>-137479898.84107035</v>
      </c>
      <c r="S7" s="11">
        <v>4638948.2861569356</v>
      </c>
      <c r="T7">
        <v>74557604.643595815</v>
      </c>
      <c r="U7" s="19">
        <v>61603.641399191336</v>
      </c>
    </row>
    <row r="8" spans="1:21" x14ac:dyDescent="0.25">
      <c r="A8" s="6">
        <v>20150109</v>
      </c>
      <c r="B8" s="10">
        <v>2044.81</v>
      </c>
      <c r="C8" s="11">
        <v>-312555106.33270001</v>
      </c>
      <c r="D8" s="11">
        <v>1017210.9298801422</v>
      </c>
      <c r="E8" s="11">
        <v>722768890.63190198</v>
      </c>
      <c r="F8" s="11">
        <v>3437592.0761306286</v>
      </c>
      <c r="G8" s="11">
        <v>-277673970.82479858</v>
      </c>
      <c r="H8" s="11">
        <v>-55031837.316498898</v>
      </c>
      <c r="I8" s="11">
        <v>359331.9368156069</v>
      </c>
      <c r="J8" s="11">
        <v>-988115.29687010008</v>
      </c>
      <c r="K8" s="11">
        <v>-731377707.49113441</v>
      </c>
      <c r="L8" s="11">
        <v>490.12187640009932</v>
      </c>
      <c r="M8" s="11">
        <v>2413391.1777525847</v>
      </c>
      <c r="N8" s="11">
        <v>453942428.63887084</v>
      </c>
      <c r="O8" s="11">
        <v>404487177.8120622</v>
      </c>
      <c r="P8" s="11">
        <v>69318353.166125983</v>
      </c>
      <c r="Q8" s="11">
        <v>-451315093.96114981</v>
      </c>
      <c r="R8" s="11">
        <v>-95395313.675389662</v>
      </c>
      <c r="S8" s="11">
        <v>3967527.7027730299</v>
      </c>
      <c r="T8">
        <v>49388149.062973127</v>
      </c>
      <c r="U8" s="19">
        <v>424830.8794114159</v>
      </c>
    </row>
    <row r="9" spans="1:21" x14ac:dyDescent="0.25">
      <c r="A9" s="6">
        <v>20150102</v>
      </c>
      <c r="B9" s="10">
        <v>2058.1999999999998</v>
      </c>
      <c r="C9" s="11">
        <v>-199808411.05920005</v>
      </c>
      <c r="D9" s="11">
        <v>917358.34846425056</v>
      </c>
      <c r="E9" s="11">
        <v>679216001.95260048</v>
      </c>
      <c r="F9" s="11">
        <v>3475353.9713072777</v>
      </c>
      <c r="G9" s="11">
        <v>-277673970.82479858</v>
      </c>
      <c r="H9" s="11">
        <v>-37819690.530258417</v>
      </c>
      <c r="I9" s="11">
        <v>-622686.04013759235</v>
      </c>
      <c r="J9" s="11">
        <v>-971882.19259447907</v>
      </c>
      <c r="K9" s="11">
        <v>-694345391.16921353</v>
      </c>
      <c r="L9" s="11">
        <v>477.68351859555702</v>
      </c>
      <c r="M9" s="11">
        <v>2482107.8768182844</v>
      </c>
      <c r="N9" s="11">
        <v>420179035.01575851</v>
      </c>
      <c r="O9" s="11">
        <v>304824390.60812992</v>
      </c>
      <c r="P9" s="11">
        <v>58535871.851823814</v>
      </c>
      <c r="Q9" s="11">
        <v>-409008574.78763205</v>
      </c>
      <c r="R9" s="11">
        <v>-104993144.95961694</v>
      </c>
      <c r="S9" s="11">
        <v>3984314.5695927516</v>
      </c>
      <c r="T9">
        <v>42124037.406966321</v>
      </c>
      <c r="U9" s="19">
        <v>-910764.88827992184</v>
      </c>
    </row>
    <row r="10" spans="1:21" x14ac:dyDescent="0.25">
      <c r="A10" s="6">
        <v>20150105</v>
      </c>
      <c r="B10" s="10">
        <v>2020.58</v>
      </c>
      <c r="C10" s="11">
        <v>-287003020.59440017</v>
      </c>
      <c r="D10" s="11">
        <v>969366.00991296768</v>
      </c>
      <c r="E10" s="11">
        <v>706475180.22331548</v>
      </c>
      <c r="F10" s="11">
        <v>3428113.3799002171</v>
      </c>
      <c r="G10" s="11">
        <v>-277673970.82479858</v>
      </c>
      <c r="H10" s="11">
        <v>-64801724.376764655</v>
      </c>
      <c r="I10" s="11">
        <v>1800563.4966914456</v>
      </c>
      <c r="J10" s="11">
        <v>-935999.43576098117</v>
      </c>
      <c r="K10" s="11">
        <v>-712679802.6397779</v>
      </c>
      <c r="L10" s="11">
        <v>565.28316268907849</v>
      </c>
      <c r="M10" s="11">
        <v>2740226.400887466</v>
      </c>
      <c r="N10" s="11">
        <v>448181247.67716342</v>
      </c>
      <c r="O10" s="11">
        <v>342639269.90369177</v>
      </c>
      <c r="P10" s="11">
        <v>75032792.44532679</v>
      </c>
      <c r="Q10" s="11">
        <v>-410557220.35463452</v>
      </c>
      <c r="R10" s="11">
        <v>-127652344.97477736</v>
      </c>
      <c r="S10" s="11">
        <v>4317361.8786786031</v>
      </c>
      <c r="T10">
        <v>65052753.937776566</v>
      </c>
      <c r="U10" s="19">
        <v>860270.90171917796</v>
      </c>
    </row>
    <row r="11" spans="1:21" x14ac:dyDescent="0.25">
      <c r="A11" s="6">
        <v>20150107</v>
      </c>
      <c r="B11" s="10">
        <v>2025.9</v>
      </c>
      <c r="C11" s="11">
        <v>-325292281.81020021</v>
      </c>
      <c r="D11" s="11">
        <v>966385.26237297058</v>
      </c>
      <c r="E11" s="11">
        <v>720876054.23984075</v>
      </c>
      <c r="F11" s="11">
        <v>3453389.6601076126</v>
      </c>
      <c r="G11" s="11">
        <v>-277673970.82479858</v>
      </c>
      <c r="H11" s="11">
        <v>30163144.084201515</v>
      </c>
      <c r="I11" s="11">
        <v>-813556.19706581021</v>
      </c>
      <c r="J11" s="11">
        <v>-945747.14383548358</v>
      </c>
      <c r="K11" s="11">
        <v>-727514214.16255236</v>
      </c>
      <c r="L11" s="11">
        <v>541.30496731764003</v>
      </c>
      <c r="M11" s="11">
        <v>2592047.9706658204</v>
      </c>
      <c r="N11" s="11">
        <v>453561532.44229233</v>
      </c>
      <c r="O11" s="11">
        <v>390711270.68703562</v>
      </c>
      <c r="P11" s="11">
        <v>72021035.967217162</v>
      </c>
      <c r="Q11" s="11">
        <v>-441820657.88857746</v>
      </c>
      <c r="R11" s="11">
        <v>-108469076.10876182</v>
      </c>
      <c r="S11" s="11">
        <v>3952057.8347144984</v>
      </c>
      <c r="T11">
        <v>-22706801.347178534</v>
      </c>
      <c r="U11" s="19">
        <v>-1272769.237424111</v>
      </c>
    </row>
    <row r="12" spans="1:21" x14ac:dyDescent="0.25">
      <c r="A12" s="6">
        <v>20150108</v>
      </c>
      <c r="B12" s="10">
        <v>2062.14</v>
      </c>
      <c r="C12" s="11">
        <v>-242950904.55539989</v>
      </c>
      <c r="D12" s="11">
        <v>978692.01969909668</v>
      </c>
      <c r="E12" s="11">
        <v>702407202.17804074</v>
      </c>
      <c r="F12" s="11">
        <v>3484631.3832547665</v>
      </c>
      <c r="G12" s="11">
        <v>-277673970.82479858</v>
      </c>
      <c r="H12" s="11">
        <v>52306084.26743345</v>
      </c>
      <c r="I12" s="11">
        <v>-1674949.1920658834</v>
      </c>
      <c r="J12" s="11">
        <v>-951370.48138123797</v>
      </c>
      <c r="K12" s="11">
        <v>-697649941.66065991</v>
      </c>
      <c r="L12" s="11">
        <v>446.726570044418</v>
      </c>
      <c r="M12" s="11">
        <v>2269124.086142106</v>
      </c>
      <c r="N12" s="11">
        <v>440135398.38923198</v>
      </c>
      <c r="O12" s="11">
        <v>369130889.7223255</v>
      </c>
      <c r="P12" s="11">
        <v>57612184.591848701</v>
      </c>
      <c r="Q12" s="11">
        <v>-445489579.94705629</v>
      </c>
      <c r="R12" s="11">
        <v>-82387573.91516684</v>
      </c>
      <c r="S12" s="11">
        <v>3717280.9090629639</v>
      </c>
      <c r="T12">
        <v>-52435368.654853806</v>
      </c>
      <c r="U12" s="19">
        <v>-430801.69365131948</v>
      </c>
    </row>
    <row r="13" spans="1:21" x14ac:dyDescent="0.25">
      <c r="A13" s="6">
        <v>20150406</v>
      </c>
      <c r="B13" s="10">
        <v>2080.62</v>
      </c>
      <c r="C13" s="11">
        <v>-353029246.62610006</v>
      </c>
      <c r="D13" s="11">
        <v>1187771.5730133057</v>
      </c>
      <c r="E13" s="11">
        <v>777845138.62075233</v>
      </c>
      <c r="F13" s="11">
        <v>3606007.3165175915</v>
      </c>
      <c r="G13" s="11">
        <v>-320372480.54320335</v>
      </c>
      <c r="H13" s="11">
        <v>11511997.683802251</v>
      </c>
      <c r="I13" s="11">
        <v>-293192.57649266312</v>
      </c>
      <c r="J13" s="11">
        <v>-1142785.2089438415</v>
      </c>
      <c r="K13" s="11">
        <v>-710688484.94427824</v>
      </c>
      <c r="L13" s="11">
        <v>1415.5653799572062</v>
      </c>
      <c r="M13" s="11">
        <v>3137664.7670273636</v>
      </c>
      <c r="N13" s="11">
        <v>447017518.93667495</v>
      </c>
      <c r="O13" s="11">
        <v>648174783.46684325</v>
      </c>
      <c r="P13" s="11">
        <v>58222530.090344094</v>
      </c>
      <c r="Q13" s="11">
        <v>-661638828.75955009</v>
      </c>
      <c r="R13" s="11">
        <v>-58539947.122604243</v>
      </c>
      <c r="S13" s="11">
        <v>4559898.8024079083</v>
      </c>
      <c r="T13">
        <v>-9493279.2009388227</v>
      </c>
      <c r="U13" s="19">
        <v>140985.51811738539</v>
      </c>
    </row>
    <row r="14" spans="1:21" x14ac:dyDescent="0.25">
      <c r="A14" s="6">
        <v>20150326</v>
      </c>
      <c r="B14" s="10">
        <v>2056.15</v>
      </c>
      <c r="C14" s="11">
        <v>-364844063.17520022</v>
      </c>
      <c r="D14" s="11">
        <v>1176126.3221788406</v>
      </c>
      <c r="E14" s="11">
        <v>779875633.17281723</v>
      </c>
      <c r="F14" s="11">
        <v>3975885.4546096325</v>
      </c>
      <c r="G14" s="11">
        <v>-303852421.70519924</v>
      </c>
      <c r="H14" s="11">
        <v>61427532.526003927</v>
      </c>
      <c r="I14" s="11">
        <v>31249.858873552992</v>
      </c>
      <c r="J14" s="11">
        <v>-1194861.515286285</v>
      </c>
      <c r="K14" s="11">
        <v>-698072358.44158125</v>
      </c>
      <c r="L14" s="11">
        <v>1253.4682512489846</v>
      </c>
      <c r="M14" s="11">
        <v>3183417.6859390377</v>
      </c>
      <c r="N14" s="11">
        <v>444249833.56355304</v>
      </c>
      <c r="O14" s="11">
        <v>636888097.7425189</v>
      </c>
      <c r="P14" s="11">
        <v>57807258.319651879</v>
      </c>
      <c r="Q14" s="11">
        <v>-675360552.33739531</v>
      </c>
      <c r="R14" s="11">
        <v>-47346515.973412856</v>
      </c>
      <c r="S14" s="11">
        <v>4622362.3311359137</v>
      </c>
      <c r="T14">
        <v>-56797739.133973256</v>
      </c>
      <c r="U14" s="19">
        <v>-468817.34337403573</v>
      </c>
    </row>
    <row r="15" spans="1:21" x14ac:dyDescent="0.25">
      <c r="A15" s="6">
        <v>20150112</v>
      </c>
      <c r="B15" s="10">
        <v>2028.26</v>
      </c>
      <c r="C15" s="11">
        <v>-348183772.81910014</v>
      </c>
      <c r="D15" s="11">
        <v>996835.27223348618</v>
      </c>
      <c r="E15" s="11">
        <v>736090849.57519531</v>
      </c>
      <c r="F15" s="11">
        <v>3466139.1868243217</v>
      </c>
      <c r="G15" s="11">
        <v>-277673970.82479858</v>
      </c>
      <c r="H15" s="11">
        <v>-29199442.304157417</v>
      </c>
      <c r="I15" s="11">
        <v>636039.57789622201</v>
      </c>
      <c r="J15" s="11">
        <v>-1029734.914766069</v>
      </c>
      <c r="K15" s="11">
        <v>-745789194.15415394</v>
      </c>
      <c r="L15" s="11">
        <v>532.80994042238422</v>
      </c>
      <c r="M15" s="11">
        <v>2521640.4399901857</v>
      </c>
      <c r="N15" s="11">
        <v>450842876.45870525</v>
      </c>
      <c r="O15" s="11">
        <v>422260004.32082516</v>
      </c>
      <c r="P15" s="11">
        <v>76007551.402898774</v>
      </c>
      <c r="Q15" s="11">
        <v>-452399211.88915157</v>
      </c>
      <c r="R15" s="11">
        <v>-97858933.451245889</v>
      </c>
      <c r="S15" s="11">
        <v>4044481.0828735251</v>
      </c>
      <c r="T15">
        <v>33725544.583508044</v>
      </c>
      <c r="U15" s="19">
        <v>879136.47984557401</v>
      </c>
    </row>
    <row r="16" spans="1:21" x14ac:dyDescent="0.25">
      <c r="A16" s="6">
        <v>20150317</v>
      </c>
      <c r="B16" s="10">
        <v>2074.2800000000002</v>
      </c>
      <c r="C16" s="11">
        <v>-319593091.10399985</v>
      </c>
      <c r="D16" s="11">
        <v>1122191.4618444443</v>
      </c>
      <c r="E16" s="11">
        <v>756617935.6561389</v>
      </c>
      <c r="F16" s="11">
        <v>3503027.1713473797</v>
      </c>
      <c r="G16" s="11">
        <v>-303852421.70519924</v>
      </c>
      <c r="H16" s="11">
        <v>-31549626.501081184</v>
      </c>
      <c r="I16" s="11">
        <v>794958.11730982689</v>
      </c>
      <c r="J16" s="11">
        <v>-1120069.9193610037</v>
      </c>
      <c r="K16" s="11">
        <v>-713814163.9720633</v>
      </c>
      <c r="L16" s="11">
        <v>1400.3584229125358</v>
      </c>
      <c r="M16" s="11">
        <v>3682707.0439942474</v>
      </c>
      <c r="N16" s="11">
        <v>453572389.85228735</v>
      </c>
      <c r="O16" s="11">
        <v>618972564.14531982</v>
      </c>
      <c r="P16" s="11">
        <v>57754447.267155647</v>
      </c>
      <c r="Q16" s="11">
        <v>-692927665.72828066</v>
      </c>
      <c r="R16" s="11">
        <v>-35113488.049673215</v>
      </c>
      <c r="S16" s="11">
        <v>4548655.905830347</v>
      </c>
      <c r="T16">
        <v>28287950.146645114</v>
      </c>
      <c r="U16" s="19">
        <v>668443.456338063</v>
      </c>
    </row>
    <row r="17" spans="1:21" x14ac:dyDescent="0.25">
      <c r="A17" s="6">
        <v>20150116</v>
      </c>
      <c r="B17" s="10">
        <v>2019.42</v>
      </c>
      <c r="C17" s="11">
        <v>-382884844.74309993</v>
      </c>
      <c r="D17" s="11">
        <v>959887.07384586334</v>
      </c>
      <c r="E17" s="11">
        <v>750005646.77316499</v>
      </c>
      <c r="F17" s="11">
        <v>3487969.826239109</v>
      </c>
      <c r="G17" s="11">
        <v>-277673970.82479858</v>
      </c>
      <c r="H17" s="11">
        <v>79247082.377324581</v>
      </c>
      <c r="I17" s="11">
        <v>-794352.56425002031</v>
      </c>
      <c r="J17" s="11">
        <v>-933333.05059591285</v>
      </c>
      <c r="K17" s="11">
        <v>-747043785.61382842</v>
      </c>
      <c r="L17" s="11">
        <v>557.97525974868552</v>
      </c>
      <c r="M17" s="11">
        <v>2581222.7502806387</v>
      </c>
      <c r="N17" s="11">
        <v>454963867.35824245</v>
      </c>
      <c r="O17" s="11">
        <v>468604903.53703773</v>
      </c>
      <c r="P17" s="11">
        <v>80198512.359696984</v>
      </c>
      <c r="Q17" s="11">
        <v>-475172902.39441627</v>
      </c>
      <c r="R17" s="11">
        <v>-82382722.041727677</v>
      </c>
      <c r="S17" s="11">
        <v>3784720.219615994</v>
      </c>
      <c r="T17" s="11">
        <v>-71121774.379509479</v>
      </c>
      <c r="U17" s="11">
        <v>527838.38726452459</v>
      </c>
    </row>
    <row r="18" spans="1:21" x14ac:dyDescent="0.25">
      <c r="A18" s="6">
        <v>20150113</v>
      </c>
      <c r="B18" s="10">
        <v>2023.03</v>
      </c>
      <c r="C18" s="11">
        <v>-345454095.98259997</v>
      </c>
      <c r="D18" s="11">
        <v>971041.854804039</v>
      </c>
      <c r="E18" s="11">
        <v>734647638.74983788</v>
      </c>
      <c r="F18" s="11">
        <v>3316636.111833334</v>
      </c>
      <c r="G18" s="11">
        <v>-277673970.82479858</v>
      </c>
      <c r="H18" s="11">
        <v>-5233192.2962905224</v>
      </c>
      <c r="I18" s="11">
        <v>35970.870328397556</v>
      </c>
      <c r="J18" s="11">
        <v>-1003470.000256127</v>
      </c>
      <c r="K18" s="11">
        <v>-742134225.25539923</v>
      </c>
      <c r="L18" s="11">
        <v>552.08862582111965</v>
      </c>
      <c r="M18" s="11">
        <v>2601524.8054611958</v>
      </c>
      <c r="N18" s="11">
        <v>457340045.75344133</v>
      </c>
      <c r="O18" s="11">
        <v>425992998.83816808</v>
      </c>
      <c r="P18" s="11">
        <v>76632905.282823607</v>
      </c>
      <c r="Q18" s="11">
        <v>-452947019.90417743</v>
      </c>
      <c r="R18" s="11">
        <v>-95631594.512849525</v>
      </c>
      <c r="S18" s="11">
        <v>4081794.0027041733</v>
      </c>
      <c r="T18">
        <v>6180864.5136166913</v>
      </c>
      <c r="U18">
        <v>1028695.387142423</v>
      </c>
    </row>
    <row r="19" spans="1:21" x14ac:dyDescent="0.25">
      <c r="A19" s="6">
        <v>20150114</v>
      </c>
      <c r="B19" s="10">
        <v>2011.27</v>
      </c>
      <c r="C19" s="11">
        <v>-387461358.95389986</v>
      </c>
      <c r="D19" s="11">
        <v>939161.72692871094</v>
      </c>
      <c r="E19" s="11">
        <v>750374852.06596327</v>
      </c>
      <c r="F19" s="11">
        <v>3647556.3133225441</v>
      </c>
      <c r="G19" s="11">
        <v>-277673970.82479858</v>
      </c>
      <c r="H19" s="11">
        <v>-29025299.554930978</v>
      </c>
      <c r="I19" s="11">
        <v>982272.14761687256</v>
      </c>
      <c r="J19" s="11">
        <v>-948513.69207891985</v>
      </c>
      <c r="K19" s="11">
        <v>-754076326.27534127</v>
      </c>
      <c r="L19" s="11">
        <v>582.42786251604161</v>
      </c>
      <c r="M19" s="11">
        <v>2687281.7675002511</v>
      </c>
      <c r="N19" s="11">
        <v>485334934.33050054</v>
      </c>
      <c r="O19" s="11">
        <v>446386949.28702402</v>
      </c>
      <c r="P19" s="11">
        <v>85853856.203093767</v>
      </c>
      <c r="Q19" s="11">
        <v>-459066936.43703002</v>
      </c>
      <c r="R19" s="11">
        <v>-100031691.53875116</v>
      </c>
      <c r="S19" s="11">
        <v>4245954.770907931</v>
      </c>
      <c r="T19">
        <v>28901124.551313996</v>
      </c>
      <c r="U19">
        <v>452665.53149753227</v>
      </c>
    </row>
    <row r="20" spans="1:21" x14ac:dyDescent="0.25">
      <c r="A20" s="6">
        <v>20150115</v>
      </c>
      <c r="B20" s="10">
        <v>1992.67</v>
      </c>
      <c r="C20" s="11">
        <v>-482647812.6652</v>
      </c>
      <c r="D20" s="11">
        <v>1011531.3220715523</v>
      </c>
      <c r="E20" s="11">
        <v>780062731.88387632</v>
      </c>
      <c r="F20" s="11">
        <v>3337318.0628113747</v>
      </c>
      <c r="G20" s="11">
        <v>-277673970.82479858</v>
      </c>
      <c r="H20" s="11">
        <v>-88641697.630387217</v>
      </c>
      <c r="I20" s="11">
        <v>528265.45306010277</v>
      </c>
      <c r="J20" s="11">
        <v>-948203.75850723998</v>
      </c>
      <c r="K20" s="11">
        <v>-801355383.82764614</v>
      </c>
      <c r="L20" s="11">
        <v>632.74205597606715</v>
      </c>
      <c r="M20" s="11">
        <v>2784737.4819981707</v>
      </c>
      <c r="N20" s="11">
        <v>485790845.14491916</v>
      </c>
      <c r="O20" s="11">
        <v>503596851.15731114</v>
      </c>
      <c r="P20" s="11">
        <v>108386341.10243517</v>
      </c>
      <c r="Q20" s="11">
        <v>-468087947.4027338</v>
      </c>
      <c r="R20" s="11">
        <v>-110853769.16975486</v>
      </c>
      <c r="S20" s="11">
        <v>4272857.9797777859</v>
      </c>
      <c r="T20">
        <v>81644956.570895761</v>
      </c>
      <c r="U20">
        <v>-632999.76438721863</v>
      </c>
    </row>
    <row r="21" spans="1:21" x14ac:dyDescent="0.25">
      <c r="A21" s="6">
        <v>20150120</v>
      </c>
      <c r="B21" s="10">
        <v>2022.55</v>
      </c>
      <c r="C21" s="11">
        <v>-435164666.17670012</v>
      </c>
      <c r="D21" s="11">
        <v>1011817.8186359406</v>
      </c>
      <c r="E21" s="11">
        <v>766688497.38156605</v>
      </c>
      <c r="F21" s="11">
        <v>3257126.5498371124</v>
      </c>
      <c r="G21" s="11">
        <v>-277673970.82479858</v>
      </c>
      <c r="H21" s="11">
        <v>-45453825.553699568</v>
      </c>
      <c r="I21" s="11">
        <v>-1250694.7622024873</v>
      </c>
      <c r="J21" s="11">
        <v>-953006.34193605022</v>
      </c>
      <c r="K21" s="11">
        <v>-772551480.0390985</v>
      </c>
      <c r="L21" s="11">
        <v>540.50296496038152</v>
      </c>
      <c r="M21" s="11">
        <v>2448431.6925644572</v>
      </c>
      <c r="N21" s="11">
        <v>442875787.67736578</v>
      </c>
      <c r="O21" s="11">
        <v>558463039.89113283</v>
      </c>
      <c r="P21" s="11">
        <v>77441151.175472885</v>
      </c>
      <c r="Q21" s="11">
        <v>-540118627.12259686</v>
      </c>
      <c r="R21" s="11">
        <v>-69710457.760352492</v>
      </c>
      <c r="S21" s="11">
        <v>3419315.491107387</v>
      </c>
      <c r="T21">
        <v>42293115.334932514</v>
      </c>
      <c r="U21">
        <v>-347529.09685712273</v>
      </c>
    </row>
    <row r="22" spans="1:21" x14ac:dyDescent="0.25">
      <c r="A22" s="6">
        <v>20150318</v>
      </c>
      <c r="B22" s="10">
        <v>2099.5</v>
      </c>
      <c r="C22" s="11">
        <v>-382942708.74640012</v>
      </c>
      <c r="D22" s="11">
        <v>1128086.9887385368</v>
      </c>
      <c r="E22" s="11">
        <v>776262389.29423952</v>
      </c>
      <c r="F22" s="11">
        <v>2907821.1045343876</v>
      </c>
      <c r="G22" s="11">
        <v>-303852421.70519924</v>
      </c>
      <c r="H22" s="11">
        <v>-102381355.17676297</v>
      </c>
      <c r="I22" s="11">
        <v>-1755202.110733764</v>
      </c>
      <c r="J22" s="11">
        <v>-1090826.1026462039</v>
      </c>
      <c r="K22" s="11">
        <v>-742142376.22877955</v>
      </c>
      <c r="L22" s="11">
        <v>1547.6313823026373</v>
      </c>
      <c r="M22" s="11">
        <v>3831032.8791849557</v>
      </c>
      <c r="N22" s="11">
        <v>455663631.85715485</v>
      </c>
      <c r="O22" s="11">
        <v>690815524.89218974</v>
      </c>
      <c r="P22" s="11">
        <v>63605336.222554862</v>
      </c>
      <c r="Q22" s="11">
        <v>-685738804.98938918</v>
      </c>
      <c r="R22" s="11">
        <v>-62773045.897937842</v>
      </c>
      <c r="S22" s="11">
        <v>4666744.4603172773</v>
      </c>
      <c r="T22">
        <v>98070496.482086703</v>
      </c>
      <c r="U22">
        <v>-827784.04995855119</v>
      </c>
    </row>
    <row r="23" spans="1:21" x14ac:dyDescent="0.25">
      <c r="A23" s="6">
        <v>20150121</v>
      </c>
      <c r="B23" s="10">
        <v>2032.12</v>
      </c>
      <c r="C23" s="11">
        <v>-362060034.28180003</v>
      </c>
      <c r="D23" s="11">
        <v>1009881.6874709129</v>
      </c>
      <c r="E23" s="11">
        <v>744454339.62816072</v>
      </c>
      <c r="F23" s="11">
        <v>3352218.4563317299</v>
      </c>
      <c r="G23" s="11">
        <v>-277673970.82479858</v>
      </c>
      <c r="H23" s="11">
        <v>68046222.973731369</v>
      </c>
      <c r="I23" s="11">
        <v>-356526.43579444283</v>
      </c>
      <c r="J23" s="11">
        <v>-1003267.8336340329</v>
      </c>
      <c r="K23" s="11">
        <v>-733508485.31367481</v>
      </c>
      <c r="L23" s="11">
        <v>505.72943178578635</v>
      </c>
      <c r="M23" s="11">
        <v>2310911.5190088348</v>
      </c>
      <c r="N23" s="11">
        <v>424689746.50190842</v>
      </c>
      <c r="O23" s="11">
        <v>561793598.49988091</v>
      </c>
      <c r="P23" s="11">
        <v>58932933.171753705</v>
      </c>
      <c r="Q23" s="11">
        <v>-586954573.45278668</v>
      </c>
      <c r="R23" s="11">
        <v>-58129700.629249781</v>
      </c>
      <c r="S23" s="11">
        <v>3180945.8640961442</v>
      </c>
      <c r="T23">
        <v>-64015487.087817758</v>
      </c>
      <c r="U23">
        <v>-657320.55882399844</v>
      </c>
    </row>
    <row r="24" spans="1:21" x14ac:dyDescent="0.25">
      <c r="A24" s="6">
        <v>20150122</v>
      </c>
      <c r="B24" s="10">
        <v>2063.15</v>
      </c>
      <c r="C24" s="11">
        <v>-351748534.26009989</v>
      </c>
      <c r="D24" s="11">
        <v>1029717.6248073578</v>
      </c>
      <c r="E24" s="11">
        <v>740531222.0243988</v>
      </c>
      <c r="F24" s="11">
        <v>3142011.3652815819</v>
      </c>
      <c r="G24" s="11">
        <v>-277673970.82479858</v>
      </c>
      <c r="H24" s="11">
        <v>-16021770.325727846</v>
      </c>
      <c r="I24" s="11">
        <v>-1800686.694678155</v>
      </c>
      <c r="J24" s="11">
        <v>-991911.1223639003</v>
      </c>
      <c r="K24" s="11">
        <v>-748105809.62014675</v>
      </c>
      <c r="L24" s="11">
        <v>417.46238048329855</v>
      </c>
      <c r="M24" s="11">
        <v>2020232.821913053</v>
      </c>
      <c r="N24" s="11">
        <v>434575137.57504469</v>
      </c>
      <c r="O24" s="11">
        <v>574082052.36821008</v>
      </c>
      <c r="P24" s="11">
        <v>58563529.94846262</v>
      </c>
      <c r="Q24" s="11">
        <v>-589228733.08388698</v>
      </c>
      <c r="R24" s="11">
        <v>-59018842.684501775</v>
      </c>
      <c r="S24" s="11">
        <v>3181191.9540307536</v>
      </c>
      <c r="T24">
        <v>12978972.790200792</v>
      </c>
      <c r="U24">
        <v>-811758.0322763992</v>
      </c>
    </row>
    <row r="25" spans="1:21" x14ac:dyDescent="0.25">
      <c r="A25" s="6">
        <v>20150123</v>
      </c>
      <c r="B25" s="10">
        <v>2051.8200000000002</v>
      </c>
      <c r="C25" s="11">
        <v>-402959197.21729994</v>
      </c>
      <c r="D25" s="11">
        <v>1098994.8103928566</v>
      </c>
      <c r="E25" s="11">
        <v>755894368.56546068</v>
      </c>
      <c r="F25" s="11">
        <v>2971658.2080936432</v>
      </c>
      <c r="G25" s="11">
        <v>-277673970.82479858</v>
      </c>
      <c r="H25" s="11">
        <v>-48345719.586851761</v>
      </c>
      <c r="I25" s="11">
        <v>170036.9252401483</v>
      </c>
      <c r="J25" s="11">
        <v>-1034517.3226487443</v>
      </c>
      <c r="K25" s="11">
        <v>-763974918.08864498</v>
      </c>
      <c r="L25" s="11">
        <v>443.16881009468057</v>
      </c>
      <c r="M25" s="11">
        <v>2087708.2510551498</v>
      </c>
      <c r="N25" s="11">
        <v>430262581.53346658</v>
      </c>
      <c r="O25" s="11">
        <v>613255644.35589898</v>
      </c>
      <c r="P25" s="11">
        <v>70072133.765524715</v>
      </c>
      <c r="Q25" s="11">
        <v>-595882116.13799906</v>
      </c>
      <c r="R25" s="11">
        <v>-67226870.008548915</v>
      </c>
      <c r="S25" s="11">
        <v>3338561.6052363738</v>
      </c>
      <c r="T25">
        <v>49465079.085228562</v>
      </c>
      <c r="U25">
        <v>103149.81901065302</v>
      </c>
    </row>
    <row r="26" spans="1:21" x14ac:dyDescent="0.25">
      <c r="A26" s="6">
        <v>20150205</v>
      </c>
      <c r="B26" s="10">
        <v>2062.52</v>
      </c>
      <c r="C26" s="11">
        <v>-347202808.14059997</v>
      </c>
      <c r="D26" s="11">
        <v>1019153.1753139496</v>
      </c>
      <c r="E26" s="11">
        <v>750151870.25847936</v>
      </c>
      <c r="F26" s="11">
        <v>3007870.5337171555</v>
      </c>
      <c r="G26" s="11">
        <v>-320653812.62360001</v>
      </c>
      <c r="H26" s="11">
        <v>55381936.266083039</v>
      </c>
      <c r="I26" s="11">
        <v>-403415.81665594358</v>
      </c>
      <c r="J26" s="11">
        <v>-1015666.0663934468</v>
      </c>
      <c r="K26" s="11">
        <v>-730141546.05017519</v>
      </c>
      <c r="L26" s="11">
        <v>1375.9842544512944</v>
      </c>
      <c r="M26" s="11">
        <v>4571418.376673081</v>
      </c>
      <c r="N26" s="11">
        <v>476384616.68873948</v>
      </c>
      <c r="O26" s="11">
        <v>724396179.13515186</v>
      </c>
      <c r="P26" s="11">
        <v>81504948.756199002</v>
      </c>
      <c r="Q26" s="11">
        <v>-731314694.11710858</v>
      </c>
      <c r="R26" s="11">
        <v>33022754.906572409</v>
      </c>
      <c r="S26" s="11">
        <v>5051577.4522446766</v>
      </c>
      <c r="T26">
        <v>-56214058.786003023</v>
      </c>
      <c r="U26">
        <v>-34240.801432048815</v>
      </c>
    </row>
    <row r="27" spans="1:21" x14ac:dyDescent="0.25">
      <c r="A27" s="6">
        <v>20150126</v>
      </c>
      <c r="B27" s="10">
        <v>2057.09</v>
      </c>
      <c r="C27" s="11">
        <v>-378890203.40929985</v>
      </c>
      <c r="D27" s="11">
        <v>1070127.4058852196</v>
      </c>
      <c r="E27" s="11">
        <v>751379604.06311584</v>
      </c>
      <c r="F27" s="11">
        <v>2919161.4010131359</v>
      </c>
      <c r="G27" s="11">
        <v>-277673970.82479858</v>
      </c>
      <c r="H27" s="11">
        <v>21706955.2283221</v>
      </c>
      <c r="I27" s="11">
        <v>-160895.81126311235</v>
      </c>
      <c r="J27" s="11">
        <v>-1079532.705308035</v>
      </c>
      <c r="K27" s="11">
        <v>-748376726.13248408</v>
      </c>
      <c r="L27" s="11">
        <v>531.03633941647684</v>
      </c>
      <c r="M27" s="11">
        <v>2187952.4371265573</v>
      </c>
      <c r="N27" s="11">
        <v>424101098.43600023</v>
      </c>
      <c r="O27" s="11">
        <v>596671196.21995091</v>
      </c>
      <c r="P27" s="11">
        <v>62019741.680504143</v>
      </c>
      <c r="Q27" s="11">
        <v>-593038404.1796118</v>
      </c>
      <c r="R27" s="11">
        <v>-63070251.220690474</v>
      </c>
      <c r="S27" s="11">
        <v>3230905.1837999686</v>
      </c>
      <c r="T27">
        <v>-20755129.527270049</v>
      </c>
      <c r="U27">
        <v>-645168.03420920693</v>
      </c>
    </row>
    <row r="28" spans="1:21" x14ac:dyDescent="0.25">
      <c r="A28" s="6">
        <v>20150127</v>
      </c>
      <c r="B28" s="10">
        <v>2029.55</v>
      </c>
      <c r="C28" s="11">
        <v>-388349039.28629971</v>
      </c>
      <c r="D28" s="11">
        <v>1082191.5513677597</v>
      </c>
      <c r="E28" s="11">
        <v>754261039.09199405</v>
      </c>
      <c r="F28" s="11">
        <v>3155784.1478862762</v>
      </c>
      <c r="G28" s="11">
        <v>-277673970.82479858</v>
      </c>
      <c r="H28" s="11">
        <v>3807946.3754421342</v>
      </c>
      <c r="I28" s="11">
        <v>927292.25902371027</v>
      </c>
      <c r="J28" s="11">
        <v>-1077116.5907295439</v>
      </c>
      <c r="K28" s="11">
        <v>-748011310.78468573</v>
      </c>
      <c r="L28" s="11">
        <v>658.46432755090291</v>
      </c>
      <c r="M28" s="11">
        <v>2488065.4069180852</v>
      </c>
      <c r="N28" s="11">
        <v>403110922.35247707</v>
      </c>
      <c r="O28" s="11">
        <v>634673033.63458419</v>
      </c>
      <c r="P28" s="11">
        <v>61894424.569390669</v>
      </c>
      <c r="Q28" s="11">
        <v>-632283321.67002416</v>
      </c>
      <c r="R28" s="11">
        <v>-43484203.250775576</v>
      </c>
      <c r="S28" s="11">
        <v>3451680.5314483615</v>
      </c>
      <c r="T28">
        <v>-3223308.5665273988</v>
      </c>
      <c r="U28">
        <v>293429.99948055641</v>
      </c>
    </row>
    <row r="29" spans="1:21" x14ac:dyDescent="0.25">
      <c r="A29" s="6">
        <v>20150128</v>
      </c>
      <c r="B29" s="10">
        <v>2002.16</v>
      </c>
      <c r="C29" s="11">
        <v>-497320906.43019986</v>
      </c>
      <c r="D29" s="11">
        <v>1144570.2843003273</v>
      </c>
      <c r="E29" s="11">
        <v>786137653.77407408</v>
      </c>
      <c r="F29" s="11">
        <v>3187555.0411267281</v>
      </c>
      <c r="G29" s="11">
        <v>-277673970.82479858</v>
      </c>
      <c r="H29" s="11">
        <v>-88530277.521943122</v>
      </c>
      <c r="I29" s="11">
        <v>1714028.8080217326</v>
      </c>
      <c r="J29" s="11">
        <v>-1110999.8823424932</v>
      </c>
      <c r="K29" s="11">
        <v>-797507993.29349017</v>
      </c>
      <c r="L29" s="11">
        <v>741.55459988426662</v>
      </c>
      <c r="M29" s="11">
        <v>2779130.7080505807</v>
      </c>
      <c r="N29" s="11">
        <v>411216095.84546053</v>
      </c>
      <c r="O29" s="11">
        <v>748009038.33323336</v>
      </c>
      <c r="P29" s="11">
        <v>73118632.938450128</v>
      </c>
      <c r="Q29" s="11">
        <v>-680864396.92052913</v>
      </c>
      <c r="R29" s="11">
        <v>-34204698.731162034</v>
      </c>
      <c r="S29" s="11">
        <v>3727562.5250383746</v>
      </c>
      <c r="T29">
        <v>89441310.88569887</v>
      </c>
      <c r="U29">
        <v>2273868.2782426681</v>
      </c>
    </row>
    <row r="30" spans="1:21" x14ac:dyDescent="0.25">
      <c r="A30" s="6">
        <v>20150129</v>
      </c>
      <c r="B30" s="10">
        <v>2021.25</v>
      </c>
      <c r="C30" s="11">
        <v>-454978234.83200002</v>
      </c>
      <c r="D30" s="11">
        <v>1022004.9709472656</v>
      </c>
      <c r="E30" s="11">
        <v>777062110.48715353</v>
      </c>
      <c r="F30" s="11">
        <v>3070663.3067836761</v>
      </c>
      <c r="G30" s="11">
        <v>-277673970.82479858</v>
      </c>
      <c r="H30" s="11">
        <v>19532640.373001922</v>
      </c>
      <c r="I30" s="11">
        <v>-1097869.7318612738</v>
      </c>
      <c r="J30" s="11">
        <v>-1084346.2492897748</v>
      </c>
      <c r="K30" s="11">
        <v>-779114935.98023677</v>
      </c>
      <c r="L30" s="11">
        <v>738.43913189942077</v>
      </c>
      <c r="M30" s="11">
        <v>2672940.4685155987</v>
      </c>
      <c r="N30" s="11">
        <v>402302927.71964401</v>
      </c>
      <c r="O30" s="11">
        <v>731284763.17644274</v>
      </c>
      <c r="P30" s="11">
        <v>64722024.63853167</v>
      </c>
      <c r="Q30" s="11">
        <v>-677924958.34315395</v>
      </c>
      <c r="R30" s="11">
        <v>-19866676.301609926</v>
      </c>
      <c r="S30" s="11">
        <v>3670819.1517450158</v>
      </c>
      <c r="T30">
        <v>-19042380.625231862</v>
      </c>
      <c r="U30">
        <v>-1403665.8727847456</v>
      </c>
    </row>
    <row r="31" spans="1:21" x14ac:dyDescent="0.25">
      <c r="A31" s="6">
        <v>20150130</v>
      </c>
      <c r="B31" s="10">
        <v>1994.99</v>
      </c>
      <c r="C31" s="11">
        <v>-546600990.15879989</v>
      </c>
      <c r="D31" s="11">
        <v>1084558.4944500923</v>
      </c>
      <c r="E31" s="11">
        <v>804016446.38731694</v>
      </c>
      <c r="F31" s="11">
        <v>3112844.6080002785</v>
      </c>
      <c r="G31" s="11">
        <v>-277673970.82479858</v>
      </c>
      <c r="H31" s="11">
        <v>-75535450.156617448</v>
      </c>
      <c r="I31" s="11">
        <v>1619565.4181072949</v>
      </c>
      <c r="J31" s="11">
        <v>-1046787.9986212511</v>
      </c>
      <c r="K31" s="11">
        <v>-813140828.76871419</v>
      </c>
      <c r="L31" s="11">
        <v>802.16604751641523</v>
      </c>
      <c r="M31" s="11">
        <v>2890305.6733323163</v>
      </c>
      <c r="N31" s="11">
        <v>415940805.651465</v>
      </c>
      <c r="O31" s="11">
        <v>789377757.61069691</v>
      </c>
      <c r="P31" s="11">
        <v>81518552.503337368</v>
      </c>
      <c r="Q31" s="11">
        <v>-681523287.57002819</v>
      </c>
      <c r="R31" s="11">
        <v>-30936831.892153196</v>
      </c>
      <c r="S31" s="11">
        <v>3822678.2595675206</v>
      </c>
      <c r="T31">
        <v>76302046.239617944</v>
      </c>
      <c r="U31">
        <v>1724868.5344722711</v>
      </c>
    </row>
    <row r="32" spans="1:21" x14ac:dyDescent="0.25">
      <c r="A32" s="6">
        <v>20150204</v>
      </c>
      <c r="B32" s="10">
        <v>2041.51</v>
      </c>
      <c r="C32" s="11">
        <v>-423532917.07800031</v>
      </c>
      <c r="D32" s="11">
        <v>1066265.240114212</v>
      </c>
      <c r="E32" s="11">
        <v>772779231.67484093</v>
      </c>
      <c r="F32" s="11">
        <v>3001141.0004072189</v>
      </c>
      <c r="G32" s="11">
        <v>-320653812.62360001</v>
      </c>
      <c r="H32" s="11">
        <v>-27505661.376227979</v>
      </c>
      <c r="I32" s="11">
        <v>286275.29017093242</v>
      </c>
      <c r="J32" s="11">
        <v>-1012342.7050198786</v>
      </c>
      <c r="K32" s="11">
        <v>-771309778.79184937</v>
      </c>
      <c r="L32" s="11">
        <v>1148.0570369091201</v>
      </c>
      <c r="M32" s="11">
        <v>4020922.768095213</v>
      </c>
      <c r="N32" s="11">
        <v>455975748.94593877</v>
      </c>
      <c r="O32" s="11">
        <v>746527944.02804208</v>
      </c>
      <c r="P32" s="11">
        <v>79940361.253502548</v>
      </c>
      <c r="Q32" s="11">
        <v>-710557949.64017224</v>
      </c>
      <c r="R32" s="11">
        <v>10501050.777030578</v>
      </c>
      <c r="S32" s="11">
        <v>4916027.3241465474</v>
      </c>
      <c r="T32">
        <v>27292186.877086334</v>
      </c>
      <c r="U32">
        <v>1063343.8233683591</v>
      </c>
    </row>
    <row r="33" spans="1:21" x14ac:dyDescent="0.25">
      <c r="A33" s="6">
        <v>20150202</v>
      </c>
      <c r="B33" s="10">
        <v>2020.85</v>
      </c>
      <c r="C33" s="11">
        <v>-506421775.02550006</v>
      </c>
      <c r="D33" s="11">
        <v>984984.81584358215</v>
      </c>
      <c r="E33" s="11">
        <v>793348482.57890368</v>
      </c>
      <c r="F33" s="11">
        <v>2987960.3780622482</v>
      </c>
      <c r="G33" s="11">
        <v>-277673970.82479858</v>
      </c>
      <c r="H33" s="11">
        <v>-4914300.7065165676</v>
      </c>
      <c r="I33" s="11">
        <v>-1355363.1432548864</v>
      </c>
      <c r="J33" s="11">
        <v>-1042105.6441863892</v>
      </c>
      <c r="K33" s="11">
        <v>-797417847.3803637</v>
      </c>
      <c r="L33" s="11">
        <v>844.33597152164964</v>
      </c>
      <c r="M33" s="11">
        <v>3159829.880081939</v>
      </c>
      <c r="N33" s="11">
        <v>426131676.40209627</v>
      </c>
      <c r="O33" s="11">
        <v>779228905.31135035</v>
      </c>
      <c r="P33" s="11">
        <v>81068827.347570032</v>
      </c>
      <c r="Q33" s="11">
        <v>-679499642.76916504</v>
      </c>
      <c r="R33" s="11">
        <v>-23107576.10634416</v>
      </c>
      <c r="S33" s="11">
        <v>4006569.757476469</v>
      </c>
      <c r="T33">
        <v>-11528871.827191766</v>
      </c>
      <c r="U33">
        <v>-166549.09408022882</v>
      </c>
    </row>
    <row r="34" spans="1:21" x14ac:dyDescent="0.25">
      <c r="A34" s="6">
        <v>20150203</v>
      </c>
      <c r="B34" s="10">
        <v>2050.0300000000002</v>
      </c>
      <c r="C34" s="11">
        <v>-384060180.50500011</v>
      </c>
      <c r="D34" s="11">
        <v>1023275.6617593765</v>
      </c>
      <c r="E34" s="11">
        <v>755177629.64270091</v>
      </c>
      <c r="F34" s="11">
        <v>3316282.6989250183</v>
      </c>
      <c r="G34" s="11">
        <v>-320653812.62360001</v>
      </c>
      <c r="H34" s="11">
        <v>90395532.55466029</v>
      </c>
      <c r="I34" s="11">
        <v>-1736386.1333860743</v>
      </c>
      <c r="J34" s="11">
        <v>-997140.75888005388</v>
      </c>
      <c r="K34" s="11">
        <v>-736532597.42673206</v>
      </c>
      <c r="L34" s="11">
        <v>1008.9561649286757</v>
      </c>
      <c r="M34" s="11">
        <v>3539030.4839492724</v>
      </c>
      <c r="N34" s="11">
        <v>438237052.75371224</v>
      </c>
      <c r="O34" s="11">
        <v>716386466.54956591</v>
      </c>
      <c r="P34" s="11">
        <v>72224308.820163488</v>
      </c>
      <c r="Q34" s="11">
        <v>-700070426.89531434</v>
      </c>
      <c r="R34" s="11">
        <v>11904299.005391698</v>
      </c>
      <c r="S34" s="11">
        <v>4552422.9964388534</v>
      </c>
      <c r="T34">
        <v>-107103620.97805016</v>
      </c>
      <c r="U34">
        <v>-601934.28100700851</v>
      </c>
    </row>
    <row r="35" spans="1:21" x14ac:dyDescent="0.25">
      <c r="A35" s="6">
        <v>20150206</v>
      </c>
      <c r="B35" s="10">
        <v>2055.4699999999998</v>
      </c>
      <c r="C35" s="11">
        <v>-289499497.8822999</v>
      </c>
      <c r="D35" s="11">
        <v>1038958.3995699883</v>
      </c>
      <c r="E35" s="11">
        <v>729356811.123806</v>
      </c>
      <c r="F35" s="11">
        <v>3311903.359333992</v>
      </c>
      <c r="G35" s="11">
        <v>-320653812.62360001</v>
      </c>
      <c r="H35" s="11">
        <v>84574065.262483388</v>
      </c>
      <c r="I35" s="11">
        <v>863925.69549402024</v>
      </c>
      <c r="J35" s="11">
        <v>-1019805.6830527898</v>
      </c>
      <c r="K35" s="11">
        <v>-713598723.7880919</v>
      </c>
      <c r="L35" s="11">
        <v>1361.0290759510508</v>
      </c>
      <c r="M35" s="11">
        <v>4629966.0344052203</v>
      </c>
      <c r="N35" s="11">
        <v>454537894.55692065</v>
      </c>
      <c r="O35" s="11">
        <v>655365304.83982837</v>
      </c>
      <c r="P35" s="11">
        <v>61063078.342742875</v>
      </c>
      <c r="Q35" s="11">
        <v>-732494768.38078642</v>
      </c>
      <c r="R35" s="11">
        <v>41666233.422244608</v>
      </c>
      <c r="S35" s="11">
        <v>4518364.6212212713</v>
      </c>
      <c r="T35">
        <v>-89495894.828576505</v>
      </c>
      <c r="U35">
        <v>2247805.2225571983</v>
      </c>
    </row>
    <row r="36" spans="1:21" x14ac:dyDescent="0.25">
      <c r="A36" s="6">
        <v>20150209</v>
      </c>
      <c r="B36" s="10">
        <v>2046.74</v>
      </c>
      <c r="C36" s="11">
        <v>-287806873.1948998</v>
      </c>
      <c r="D36" s="11">
        <v>986136.84450149536</v>
      </c>
      <c r="E36" s="11">
        <v>728248096.59212375</v>
      </c>
      <c r="F36" s="11">
        <v>3427786.5743982792</v>
      </c>
      <c r="G36" s="11">
        <v>-320653812.62360001</v>
      </c>
      <c r="H36" s="11">
        <v>16132794.410200432</v>
      </c>
      <c r="I36" s="11">
        <v>823757.07987941313</v>
      </c>
      <c r="J36" s="11">
        <v>-1052349.2895575196</v>
      </c>
      <c r="K36" s="11">
        <v>-720722140.61540735</v>
      </c>
      <c r="L36" s="11">
        <v>1350.8956924339152</v>
      </c>
      <c r="M36" s="11">
        <v>4555005.4636447225</v>
      </c>
      <c r="N36" s="11">
        <v>451784180.70758474</v>
      </c>
      <c r="O36" s="11">
        <v>649741970.1931088</v>
      </c>
      <c r="P36" s="11">
        <v>61549706.854790494</v>
      </c>
      <c r="Q36" s="11">
        <v>-740668803.50706518</v>
      </c>
      <c r="R36" s="11">
        <v>45875314.338034898</v>
      </c>
      <c r="S36" s="11">
        <v>4484694.013526856</v>
      </c>
      <c r="T36">
        <v>-15111077.590108788</v>
      </c>
      <c r="U36">
        <v>1265965.8734286136</v>
      </c>
    </row>
    <row r="37" spans="1:21" x14ac:dyDescent="0.25">
      <c r="A37" s="6">
        <v>20150209</v>
      </c>
      <c r="B37" s="10">
        <v>2046.74</v>
      </c>
      <c r="C37" s="11">
        <v>-287806873.1948998</v>
      </c>
      <c r="D37" s="11">
        <v>986136.84450149536</v>
      </c>
      <c r="E37" s="11">
        <v>728248096.59212375</v>
      </c>
      <c r="F37" s="11">
        <v>3427786.5743982792</v>
      </c>
      <c r="G37" s="11">
        <v>-320653812.62360001</v>
      </c>
      <c r="H37" s="11">
        <v>16132794.410200432</v>
      </c>
      <c r="I37" s="11">
        <v>823757.07987941313</v>
      </c>
      <c r="J37" s="11">
        <v>-1052349.2895575196</v>
      </c>
      <c r="K37" s="11">
        <v>-720722140.61540735</v>
      </c>
      <c r="L37" s="11">
        <v>1350.8956924339152</v>
      </c>
      <c r="M37" s="11">
        <v>4555005.4636447225</v>
      </c>
      <c r="N37" s="11">
        <v>451784180.70758474</v>
      </c>
      <c r="O37" s="11">
        <v>649741970.1931088</v>
      </c>
      <c r="P37" s="11">
        <v>61549706.854790494</v>
      </c>
      <c r="Q37" s="11">
        <v>-740668803.50706518</v>
      </c>
      <c r="R37" s="11">
        <v>45875314.338034898</v>
      </c>
      <c r="S37" s="11">
        <v>4484694.013526856</v>
      </c>
      <c r="T37">
        <v>-15111077.590108788</v>
      </c>
      <c r="U37">
        <v>1265965.8734286136</v>
      </c>
    </row>
    <row r="38" spans="1:21" x14ac:dyDescent="0.25">
      <c r="A38" s="6">
        <v>20150210</v>
      </c>
      <c r="B38" s="10">
        <v>2068.59</v>
      </c>
      <c r="C38" s="11">
        <v>-258446158.20190001</v>
      </c>
      <c r="D38" s="11">
        <v>993474.70557069778</v>
      </c>
      <c r="E38" s="11">
        <v>723704743.9452107</v>
      </c>
      <c r="F38" s="11">
        <v>3241721.5362758636</v>
      </c>
      <c r="G38" s="11">
        <v>-320653812.62360001</v>
      </c>
      <c r="H38" s="11">
        <v>15168743.952772092</v>
      </c>
      <c r="I38" s="11">
        <v>-1263009.4444606157</v>
      </c>
      <c r="J38" s="11">
        <v>-962575.45004966494</v>
      </c>
      <c r="K38" s="11">
        <v>-723887357.75019503</v>
      </c>
      <c r="L38" s="11">
        <v>1378.0943690516119</v>
      </c>
      <c r="M38" s="11">
        <v>4567080.6889675632</v>
      </c>
      <c r="N38" s="11">
        <v>478078467.19545263</v>
      </c>
      <c r="O38" s="11">
        <v>634650527.60120487</v>
      </c>
      <c r="P38" s="11">
        <v>59531190.914495751</v>
      </c>
      <c r="Q38" s="11">
        <v>-737997637.81989098</v>
      </c>
      <c r="R38" s="11">
        <v>46183031.312891193</v>
      </c>
      <c r="S38" s="11">
        <v>4466894.7340868097</v>
      </c>
      <c r="T38">
        <v>-15343552.226216707</v>
      </c>
      <c r="U38">
        <v>-1287656.0909145067</v>
      </c>
    </row>
    <row r="39" spans="1:21" x14ac:dyDescent="0.25">
      <c r="A39" s="6">
        <v>20150211</v>
      </c>
      <c r="B39" s="10">
        <v>2068.5300000000002</v>
      </c>
      <c r="C39" s="11">
        <v>-265051474.22730017</v>
      </c>
      <c r="D39" s="11">
        <v>1005596.3584885597</v>
      </c>
      <c r="E39" s="11">
        <v>722833242.52783728</v>
      </c>
      <c r="F39" s="11">
        <v>3265357.0554189682</v>
      </c>
      <c r="G39" s="11">
        <v>-320653812.62360001</v>
      </c>
      <c r="H39" s="11">
        <v>3807557.0983459135</v>
      </c>
      <c r="I39" s="11">
        <v>-165344.057416586</v>
      </c>
      <c r="J39" s="11">
        <v>-990138.18180067861</v>
      </c>
      <c r="K39" s="11">
        <v>-720630562.84170842</v>
      </c>
      <c r="L39" s="11">
        <v>1374.2377172401063</v>
      </c>
      <c r="M39" s="11">
        <v>4541036.9615539787</v>
      </c>
      <c r="N39" s="11">
        <v>483778821.71704513</v>
      </c>
      <c r="O39" s="11">
        <v>631207096.41475415</v>
      </c>
      <c r="P39" s="11">
        <v>58822335.124636069</v>
      </c>
      <c r="Q39" s="11">
        <v>-737541902.14112282</v>
      </c>
      <c r="R39" s="11">
        <v>47888710.97729753</v>
      </c>
      <c r="S39" s="11">
        <v>4418228.6883751163</v>
      </c>
      <c r="T39">
        <v>-3684726.3565595839</v>
      </c>
      <c r="U39">
        <v>102822.47687013977</v>
      </c>
    </row>
    <row r="40" spans="1:21" x14ac:dyDescent="0.25">
      <c r="A40" s="6">
        <v>20150220</v>
      </c>
      <c r="B40" s="10">
        <v>2110.3000000000002</v>
      </c>
      <c r="C40" s="11">
        <v>-162761652.96230006</v>
      </c>
      <c r="D40" s="11">
        <v>1015499.5266199112</v>
      </c>
      <c r="E40" s="11">
        <v>696641150.98986983</v>
      </c>
      <c r="F40" s="11">
        <v>2946082.5743486881</v>
      </c>
      <c r="G40" s="11">
        <v>-320653812.62360001</v>
      </c>
      <c r="H40" s="11">
        <v>-11604286.462184129</v>
      </c>
      <c r="I40" s="11">
        <v>-735785.96717808535</v>
      </c>
      <c r="J40" s="11">
        <v>-990530.4023119458</v>
      </c>
      <c r="K40" s="11">
        <v>-674157531.55341649</v>
      </c>
      <c r="L40" s="11">
        <v>1534.3490556696897</v>
      </c>
      <c r="M40" s="11">
        <v>4655153.6612523422</v>
      </c>
      <c r="N40" s="11">
        <v>426244684.61006594</v>
      </c>
      <c r="O40" s="11">
        <v>552278526.59308052</v>
      </c>
      <c r="P40" s="11">
        <v>57009364.866776928</v>
      </c>
      <c r="Q40" s="11">
        <v>-732740986.1169728</v>
      </c>
      <c r="R40" s="11">
        <v>62191626.111009359</v>
      </c>
      <c r="S40" s="11">
        <v>4220851.9816328678</v>
      </c>
      <c r="T40">
        <v>11985704.371679317</v>
      </c>
      <c r="U40">
        <v>-1186316.8343785207</v>
      </c>
    </row>
    <row r="41" spans="1:21" x14ac:dyDescent="0.25">
      <c r="A41" s="6">
        <v>20150213</v>
      </c>
      <c r="B41" s="10">
        <v>2096.9899999999998</v>
      </c>
      <c r="C41" s="11">
        <v>-196489857.82249999</v>
      </c>
      <c r="D41" s="11">
        <v>995588.13940572739</v>
      </c>
      <c r="E41" s="11">
        <v>704551697.7459054</v>
      </c>
      <c r="F41" s="11">
        <v>3088575.634475708</v>
      </c>
      <c r="G41" s="11">
        <v>-320653812.62360001</v>
      </c>
      <c r="H41" s="11">
        <v>47725544.398978487</v>
      </c>
      <c r="I41" s="11">
        <v>-371150.84640854521</v>
      </c>
      <c r="J41" s="11">
        <v>-1008289.070867678</v>
      </c>
      <c r="K41" s="11">
        <v>-701274644.11421752</v>
      </c>
      <c r="L41" s="11">
        <v>1412.7902191720054</v>
      </c>
      <c r="M41" s="11">
        <v>4525185.0587993124</v>
      </c>
      <c r="N41" s="11">
        <v>496742559.15722519</v>
      </c>
      <c r="O41" s="11">
        <v>598321153.86493874</v>
      </c>
      <c r="P41" s="11">
        <v>55541931.768734366</v>
      </c>
      <c r="Q41" s="11">
        <v>-734249031.85606158</v>
      </c>
      <c r="R41" s="11">
        <v>53150174.432973385</v>
      </c>
      <c r="S41" s="11">
        <v>4303262.3667504443</v>
      </c>
      <c r="T41">
        <v>-49517942.028282247</v>
      </c>
      <c r="U41">
        <v>-206689.33385811647</v>
      </c>
    </row>
    <row r="42" spans="1:21" x14ac:dyDescent="0.25">
      <c r="A42" s="6">
        <v>20150212</v>
      </c>
      <c r="B42" s="10">
        <v>2088.48</v>
      </c>
      <c r="C42" s="11">
        <v>-247762868.6026001</v>
      </c>
      <c r="D42" s="11">
        <v>1017346.7197785378</v>
      </c>
      <c r="E42" s="11">
        <v>719496864.95002365</v>
      </c>
      <c r="F42" s="11">
        <v>3108672.6766366959</v>
      </c>
      <c r="G42" s="11">
        <v>-320653812.62360001</v>
      </c>
      <c r="H42" s="11">
        <v>-11756303.948709851</v>
      </c>
      <c r="I42" s="11">
        <v>-1168192.0774476584</v>
      </c>
      <c r="J42" s="11">
        <v>-980638.74514650239</v>
      </c>
      <c r="K42" s="11">
        <v>-728169885.32269764</v>
      </c>
      <c r="L42" s="11">
        <v>1403.5855857187871</v>
      </c>
      <c r="M42" s="11">
        <v>4522868.3257603655</v>
      </c>
      <c r="N42" s="11">
        <v>473374518.78378463</v>
      </c>
      <c r="O42" s="11">
        <v>643804173.51786411</v>
      </c>
      <c r="P42" s="11">
        <v>58029377.340221852</v>
      </c>
      <c r="Q42" s="11">
        <v>-739405330.93141818</v>
      </c>
      <c r="R42" s="11">
        <v>45318835.906325236</v>
      </c>
      <c r="S42" s="11">
        <v>4403576.9842223972</v>
      </c>
      <c r="T42">
        <v>13233866.067126846</v>
      </c>
      <c r="U42">
        <v>-1821694.7769595969</v>
      </c>
    </row>
    <row r="43" spans="1:21" x14ac:dyDescent="0.25">
      <c r="A43" s="6">
        <v>20150217</v>
      </c>
      <c r="B43" s="10">
        <v>2100.34</v>
      </c>
      <c r="C43" s="11">
        <v>-145781992.63639998</v>
      </c>
      <c r="D43" s="11">
        <v>1004276.6931242943</v>
      </c>
      <c r="E43" s="11">
        <v>687535284.34462428</v>
      </c>
      <c r="F43" s="11">
        <v>3337495.1033987999</v>
      </c>
      <c r="G43" s="11">
        <v>-320653812.62360001</v>
      </c>
      <c r="H43" s="11">
        <v>60028561.358764462</v>
      </c>
      <c r="I43" s="11">
        <v>-29294.930621801017</v>
      </c>
      <c r="J43" s="11">
        <v>-991311.35298938933</v>
      </c>
      <c r="K43" s="11">
        <v>-669463870.07980907</v>
      </c>
      <c r="L43" s="11">
        <v>1422.7127105768727</v>
      </c>
      <c r="M43" s="11">
        <v>4491550.2801415781</v>
      </c>
      <c r="N43" s="11">
        <v>354746583.53533781</v>
      </c>
      <c r="O43" s="11">
        <v>528898888.6453827</v>
      </c>
      <c r="P43" s="11">
        <v>58368381.657818332</v>
      </c>
      <c r="Q43" s="11">
        <v>-712000613.28963196</v>
      </c>
      <c r="R43" s="11">
        <v>63699107.704153329</v>
      </c>
      <c r="S43" s="11">
        <v>4309189.9322986007</v>
      </c>
      <c r="T43">
        <v>-58936980.764972158</v>
      </c>
      <c r="U43">
        <v>985015.1761692334</v>
      </c>
    </row>
    <row r="44" spans="1:21" x14ac:dyDescent="0.25">
      <c r="A44" s="6">
        <v>20150218</v>
      </c>
      <c r="B44" s="10">
        <v>2099.6799999999998</v>
      </c>
      <c r="C44" s="11">
        <v>-160733530.54510021</v>
      </c>
      <c r="D44" s="11">
        <v>985352.50656366348</v>
      </c>
      <c r="E44" s="11">
        <v>692359503.32005811</v>
      </c>
      <c r="F44" s="11">
        <v>3189647.3618910313</v>
      </c>
      <c r="G44" s="11">
        <v>-320653812.62360001</v>
      </c>
      <c r="H44" s="11">
        <v>-22747947.242096208</v>
      </c>
      <c r="I44" s="11">
        <v>-15774.965923769056</v>
      </c>
      <c r="J44" s="11">
        <v>-1006056.3316707166</v>
      </c>
      <c r="K44" s="11">
        <v>-682735351.8517282</v>
      </c>
      <c r="L44" s="11">
        <v>1415.8644463849594</v>
      </c>
      <c r="M44" s="11">
        <v>4450708.3747910531</v>
      </c>
      <c r="N44" s="11">
        <v>340526078.64394116</v>
      </c>
      <c r="O44" s="11">
        <v>553114451.10237837</v>
      </c>
      <c r="P44" s="11">
        <v>56325219.726811655</v>
      </c>
      <c r="Q44" s="11">
        <v>-715632866.02898169</v>
      </c>
      <c r="R44" s="11">
        <v>60649303.34607318</v>
      </c>
      <c r="S44" s="11">
        <v>4242059.8771573734</v>
      </c>
      <c r="T44">
        <v>23796610.968079016</v>
      </c>
      <c r="U44">
        <v>-62330.296157734316</v>
      </c>
    </row>
    <row r="45" spans="1:21" x14ac:dyDescent="0.25">
      <c r="A45" s="6">
        <v>20150219</v>
      </c>
      <c r="B45" s="10">
        <v>2097.4499999999998</v>
      </c>
      <c r="C45" s="11">
        <v>-140783946.14110017</v>
      </c>
      <c r="D45" s="11">
        <v>1007181.2018890381</v>
      </c>
      <c r="E45" s="11">
        <v>689002901.49051476</v>
      </c>
      <c r="F45" s="11">
        <v>3250088.6135444641</v>
      </c>
      <c r="G45" s="11">
        <v>-320653812.62360001</v>
      </c>
      <c r="H45" s="11">
        <v>22704653.679438267</v>
      </c>
      <c r="I45" s="11">
        <v>224213.00867866402</v>
      </c>
      <c r="J45" s="11">
        <v>-981414.06091187429</v>
      </c>
      <c r="K45" s="11">
        <v>-672629008.75783634</v>
      </c>
      <c r="L45" s="11">
        <v>1492.2473111876627</v>
      </c>
      <c r="M45" s="11">
        <v>4641097.795672182</v>
      </c>
      <c r="N45" s="11">
        <v>364556700.11813384</v>
      </c>
      <c r="O45" s="11">
        <v>529522219.14719015</v>
      </c>
      <c r="P45" s="11">
        <v>58011823.544402435</v>
      </c>
      <c r="Q45" s="11">
        <v>-711544175.31134164</v>
      </c>
      <c r="R45" s="11">
        <v>65103245.474223688</v>
      </c>
      <c r="S45" s="11">
        <v>4229754.4708223101</v>
      </c>
      <c r="T45">
        <v>-22360578.156485535</v>
      </c>
      <c r="U45">
        <v>-3018.9167128438639</v>
      </c>
    </row>
    <row r="46" spans="1:21" x14ac:dyDescent="0.25">
      <c r="A46" s="6">
        <v>20150223</v>
      </c>
      <c r="B46" s="10">
        <v>2109.66</v>
      </c>
      <c r="C46" s="11">
        <v>-204484615.2974999</v>
      </c>
      <c r="D46" s="11">
        <v>1032813.1790161133</v>
      </c>
      <c r="E46" s="11">
        <v>706790900.93388104</v>
      </c>
      <c r="F46" s="11">
        <v>2868107.2578244209</v>
      </c>
      <c r="G46" s="11">
        <v>-320653812.62360001</v>
      </c>
      <c r="H46" s="11">
        <v>-36302879.223046891</v>
      </c>
      <c r="I46" s="11">
        <v>-165329.99103464297</v>
      </c>
      <c r="J46" s="11">
        <v>-1018472.6693379595</v>
      </c>
      <c r="K46" s="11">
        <v>-700033105.74537158</v>
      </c>
      <c r="L46" s="11">
        <v>1537.8270471733429</v>
      </c>
      <c r="M46" s="11">
        <v>4546602.5652319491</v>
      </c>
      <c r="N46" s="11">
        <v>424959311.09675515</v>
      </c>
      <c r="O46" s="11">
        <v>590712957.74835038</v>
      </c>
      <c r="P46" s="11">
        <v>55641908.058797054</v>
      </c>
      <c r="Q46" s="11">
        <v>-739512619.75481236</v>
      </c>
      <c r="R46" s="11">
        <v>55442083.196124949</v>
      </c>
      <c r="S46" s="11">
        <v>4228431.0588495415</v>
      </c>
      <c r="T46">
        <v>34175506.175160505</v>
      </c>
      <c r="U46">
        <v>-386060.34883170517</v>
      </c>
    </row>
    <row r="47" spans="1:21" x14ac:dyDescent="0.25">
      <c r="A47" s="6">
        <v>20150224</v>
      </c>
      <c r="B47" s="10">
        <v>2115.48</v>
      </c>
      <c r="C47" s="11">
        <v>-248732823.4387002</v>
      </c>
      <c r="D47" s="11">
        <v>1079583.9624347687</v>
      </c>
      <c r="E47" s="11">
        <v>725572595.55351067</v>
      </c>
      <c r="F47" s="11">
        <v>2592686.8615415096</v>
      </c>
      <c r="G47" s="11">
        <v>-320653812.62360001</v>
      </c>
      <c r="H47" s="11">
        <v>-52428267.903146021</v>
      </c>
      <c r="I47" s="11">
        <v>-747983.81441339664</v>
      </c>
      <c r="J47" s="11">
        <v>-1029827.3957816055</v>
      </c>
      <c r="K47" s="11">
        <v>-728718673.8945334</v>
      </c>
      <c r="L47" s="11">
        <v>1573.0026300730669</v>
      </c>
      <c r="M47" s="11">
        <v>4494402.5234901756</v>
      </c>
      <c r="N47" s="11">
        <v>428592779.47156477</v>
      </c>
      <c r="O47" s="11">
        <v>628193884.51895535</v>
      </c>
      <c r="P47" s="11">
        <v>57202758.242285557</v>
      </c>
      <c r="Q47" s="11">
        <v>-725516653.0331254</v>
      </c>
      <c r="R47" s="11">
        <v>46660828.672364861</v>
      </c>
      <c r="S47" s="11">
        <v>4313043.7851710636</v>
      </c>
      <c r="T47">
        <v>51765743.974433154</v>
      </c>
      <c r="U47">
        <v>-1509930.9330522174</v>
      </c>
    </row>
    <row r="48" spans="1:21" x14ac:dyDescent="0.25">
      <c r="A48" s="6">
        <v>20150225</v>
      </c>
      <c r="B48" s="10">
        <v>2113.86</v>
      </c>
      <c r="C48" s="11">
        <v>-263356690.5788002</v>
      </c>
      <c r="D48" s="11">
        <v>1096950.7946753502</v>
      </c>
      <c r="E48" s="11">
        <v>729164804.68525791</v>
      </c>
      <c r="F48" s="11">
        <v>2543248.6764996052</v>
      </c>
      <c r="G48" s="11">
        <v>-320653812.62360001</v>
      </c>
      <c r="H48" s="11">
        <v>-16860477.447589241</v>
      </c>
      <c r="I48" s="11">
        <v>5827.2896107953866</v>
      </c>
      <c r="J48" s="11">
        <v>-1090034.1753574638</v>
      </c>
      <c r="K48" s="11">
        <v>-715379503.58236647</v>
      </c>
      <c r="L48" s="11">
        <v>1571.86843762487</v>
      </c>
      <c r="M48" s="11">
        <v>4641090.66951223</v>
      </c>
      <c r="N48" s="11">
        <v>430713507.2505576</v>
      </c>
      <c r="O48" s="11">
        <v>636302336.47559059</v>
      </c>
      <c r="P48" s="11">
        <v>56372550.629616491</v>
      </c>
      <c r="Q48" s="11">
        <v>-717389229.55662143</v>
      </c>
      <c r="R48" s="11">
        <v>43015024.555837169</v>
      </c>
      <c r="S48" s="11">
        <v>4294516.4624665845</v>
      </c>
      <c r="T48">
        <v>16521803.749615993</v>
      </c>
      <c r="U48">
        <v>-171074.43017131303</v>
      </c>
    </row>
    <row r="49" spans="1:21" x14ac:dyDescent="0.25">
      <c r="A49" s="6">
        <v>20150304</v>
      </c>
      <c r="B49" s="10">
        <v>2098.5300000000002</v>
      </c>
      <c r="C49" s="11">
        <v>-194882589.45959973</v>
      </c>
      <c r="D49" s="11">
        <v>1108159.379324913</v>
      </c>
      <c r="E49" s="11">
        <v>708316372.88061905</v>
      </c>
      <c r="F49" s="11">
        <v>3042719.0501933098</v>
      </c>
      <c r="G49" s="11">
        <v>-303852421.70519924</v>
      </c>
      <c r="H49" s="11">
        <v>4017608.8761056461</v>
      </c>
      <c r="I49" s="11">
        <v>58408.098850109134</v>
      </c>
      <c r="J49" s="11">
        <v>-1111592.2477568632</v>
      </c>
      <c r="K49" s="11">
        <v>-691455035.01807368</v>
      </c>
      <c r="L49" s="11">
        <v>1534.4029326365753</v>
      </c>
      <c r="M49" s="11">
        <v>4232719.4922153763</v>
      </c>
      <c r="N49" s="11">
        <v>468566993.74605191</v>
      </c>
      <c r="O49" s="11">
        <v>537009434.68916476</v>
      </c>
      <c r="P49" s="11">
        <v>-7287931.0793650784</v>
      </c>
      <c r="Q49" s="11">
        <v>-699846794.63475811</v>
      </c>
      <c r="R49" s="11">
        <v>38837158.999999985</v>
      </c>
      <c r="S49" s="11">
        <v>4546071</v>
      </c>
      <c r="T49">
        <v>-3304487.7259483151</v>
      </c>
      <c r="U49">
        <v>-206087.02427339897</v>
      </c>
    </row>
    <row r="50" spans="1:21" x14ac:dyDescent="0.25">
      <c r="A50" s="6">
        <v>20150226</v>
      </c>
      <c r="B50" s="10">
        <v>2110.7399999999998</v>
      </c>
      <c r="C50" s="11">
        <v>-229409950.44840026</v>
      </c>
      <c r="D50" s="11">
        <v>1074880.5968527794</v>
      </c>
      <c r="E50" s="11">
        <v>716449883.92803121</v>
      </c>
      <c r="F50" s="11">
        <v>2741801.8126833439</v>
      </c>
      <c r="G50" s="11">
        <v>-320653812.62360001</v>
      </c>
      <c r="H50" s="11">
        <v>40056536.683418766</v>
      </c>
      <c r="I50" s="11">
        <v>-255782.42536025975</v>
      </c>
      <c r="J50" s="11">
        <v>-1100022.3590576882</v>
      </c>
      <c r="K50" s="11">
        <v>-682759360.41531038</v>
      </c>
      <c r="L50" s="11">
        <v>1562.6365803691785</v>
      </c>
      <c r="M50" s="11">
        <v>4572403.0098767392</v>
      </c>
      <c r="N50" s="11">
        <v>423776019.11878121</v>
      </c>
      <c r="O50" s="11">
        <v>596541071.4086231</v>
      </c>
      <c r="P50" s="11">
        <v>54483234.907270566</v>
      </c>
      <c r="Q50" s="11">
        <v>-710361797.02968752</v>
      </c>
      <c r="R50" s="11">
        <v>50071776.873990431</v>
      </c>
      <c r="S50" s="11">
        <v>4207206.1648942754</v>
      </c>
      <c r="T50">
        <v>-39207803.477454625</v>
      </c>
      <c r="U50">
        <v>-258424.08637196739</v>
      </c>
    </row>
    <row r="51" spans="1:21" x14ac:dyDescent="0.25">
      <c r="A51" s="6">
        <v>20150227</v>
      </c>
      <c r="B51" s="10">
        <v>2104.5</v>
      </c>
      <c r="C51" s="11">
        <v>-259545407.03260016</v>
      </c>
      <c r="D51" s="11">
        <v>1108634.4308099747</v>
      </c>
      <c r="E51" s="11">
        <v>731830629.70883608</v>
      </c>
      <c r="F51" s="11">
        <v>2707082.5542907715</v>
      </c>
      <c r="G51" s="11">
        <v>-320653812.62360001</v>
      </c>
      <c r="H51" s="11">
        <v>-30822462.706901126</v>
      </c>
      <c r="I51" s="11">
        <v>322685.12476393802</v>
      </c>
      <c r="J51" s="11">
        <v>-1090395.973821538</v>
      </c>
      <c r="K51" s="11">
        <v>-698160009.9010396</v>
      </c>
      <c r="L51" s="11">
        <v>1542.3397649956785</v>
      </c>
      <c r="M51" s="11">
        <v>4479579.1035518767</v>
      </c>
      <c r="N51" s="11">
        <v>432400373.9181186</v>
      </c>
      <c r="O51" s="11">
        <v>626962345.15386951</v>
      </c>
      <c r="P51" s="11">
        <v>55133759.706095874</v>
      </c>
      <c r="Q51" s="11">
        <v>-715828202.44384408</v>
      </c>
      <c r="R51" s="11">
        <v>44440589.439661726</v>
      </c>
      <c r="S51" s="11">
        <v>4238751.3270208044</v>
      </c>
      <c r="T51">
        <v>28824490.778383132</v>
      </c>
      <c r="U51">
        <v>-249169.89114131371</v>
      </c>
    </row>
    <row r="52" spans="1:21" x14ac:dyDescent="0.25">
      <c r="A52" s="6">
        <v>20150302</v>
      </c>
      <c r="B52" s="10">
        <v>2117.39</v>
      </c>
      <c r="C52" s="11">
        <v>-188387012.85829997</v>
      </c>
      <c r="D52" s="11">
        <v>1057320.5451321602</v>
      </c>
      <c r="E52" s="11">
        <v>707825070.82751083</v>
      </c>
      <c r="F52" s="11">
        <v>2741442.9264905453</v>
      </c>
      <c r="G52" s="11">
        <v>-320653812.62360001</v>
      </c>
      <c r="H52" s="11">
        <v>64690922.647298485</v>
      </c>
      <c r="I52" s="11">
        <v>-1013701.8240772801</v>
      </c>
      <c r="J52" s="11">
        <v>-1093250.1283363192</v>
      </c>
      <c r="K52" s="11">
        <v>-661242920.7078253</v>
      </c>
      <c r="L52" s="11">
        <v>1621.4886977717474</v>
      </c>
      <c r="M52" s="11">
        <v>4443819.6205437221</v>
      </c>
      <c r="N52" s="11">
        <v>427005361.68675005</v>
      </c>
      <c r="O52" s="11">
        <v>563093130.66631472</v>
      </c>
      <c r="P52" s="11">
        <v>52582869.293995135</v>
      </c>
      <c r="Q52" s="11">
        <v>-704477868.87058449</v>
      </c>
      <c r="R52" s="11">
        <v>55900419.030941121</v>
      </c>
      <c r="S52" s="11">
        <v>4086385.9390741438</v>
      </c>
      <c r="T52">
        <v>-61721480.312332354</v>
      </c>
      <c r="U52">
        <v>-1357595.5272348698</v>
      </c>
    </row>
    <row r="53" spans="1:21" x14ac:dyDescent="0.25">
      <c r="A53" s="6">
        <v>20150303</v>
      </c>
      <c r="B53" s="10">
        <v>2107.7800000000002</v>
      </c>
      <c r="C53" s="11">
        <v>-183519295.57389998</v>
      </c>
      <c r="D53" s="11">
        <v>1096485.3214182854</v>
      </c>
      <c r="E53" s="11">
        <v>705556185.79869127</v>
      </c>
      <c r="F53" s="11">
        <v>2956894.97418046</v>
      </c>
      <c r="G53" s="11">
        <v>-303852421.70519924</v>
      </c>
      <c r="H53" s="11">
        <v>23391937.649838153</v>
      </c>
      <c r="I53" s="11">
        <v>1455573.7390159816</v>
      </c>
      <c r="J53" s="11">
        <v>-1071566.9821140075</v>
      </c>
      <c r="K53" s="11">
        <v>-648696132.56547678</v>
      </c>
      <c r="L53" s="11">
        <v>1579.9503329659885</v>
      </c>
      <c r="M53" s="11">
        <v>4365903.4704890577</v>
      </c>
      <c r="N53" s="11">
        <v>426895291.45991391</v>
      </c>
      <c r="O53" s="11">
        <v>540146081.69527662</v>
      </c>
      <c r="P53" s="11">
        <v>52006742.89635279</v>
      </c>
      <c r="Q53" s="11">
        <v>-700490166.52282846</v>
      </c>
      <c r="R53" s="11">
        <v>59687110.569378801</v>
      </c>
      <c r="S53" s="11">
        <v>4034529.6423306698</v>
      </c>
      <c r="T53">
        <v>-21628374.597368926</v>
      </c>
      <c r="U53">
        <v>497175.61918143037</v>
      </c>
    </row>
    <row r="54" spans="1:21" x14ac:dyDescent="0.25">
      <c r="A54" s="6">
        <v>20150305</v>
      </c>
      <c r="B54" s="10">
        <v>2101.04</v>
      </c>
      <c r="C54" s="11">
        <v>-186856284.60119987</v>
      </c>
      <c r="D54" s="11">
        <v>1108757.703915596</v>
      </c>
      <c r="E54" s="11">
        <v>704506372.30409908</v>
      </c>
      <c r="F54" s="11">
        <v>2969677.2594926357</v>
      </c>
      <c r="G54" s="11">
        <v>-303852421.70519924</v>
      </c>
      <c r="H54" s="11">
        <v>3745048.976388298</v>
      </c>
      <c r="I54" s="11">
        <v>-762382.55643417337</v>
      </c>
      <c r="J54" s="11">
        <v>-1106424.0572711111</v>
      </c>
      <c r="K54" s="11">
        <v>-660772260.68657124</v>
      </c>
      <c r="L54" s="11">
        <v>1553.0441911647642</v>
      </c>
      <c r="M54" s="11">
        <v>4181021.4248939641</v>
      </c>
      <c r="N54" s="11">
        <v>472986791.36063719</v>
      </c>
      <c r="O54" s="11">
        <v>533799340.76331234</v>
      </c>
      <c r="P54" s="11">
        <v>-758263.14236854855</v>
      </c>
      <c r="Q54" s="11">
        <v>-699125025.91142499</v>
      </c>
      <c r="R54" s="11">
        <v>33387098.999510225</v>
      </c>
      <c r="S54" s="11">
        <v>4535913.6054952536</v>
      </c>
      <c r="T54">
        <v>-3438997.8909353884</v>
      </c>
      <c r="U54">
        <v>-737767.05871999264</v>
      </c>
    </row>
    <row r="55" spans="1:21" x14ac:dyDescent="0.25">
      <c r="A55" s="6">
        <v>20150306</v>
      </c>
      <c r="B55" s="10">
        <v>2071.2600000000002</v>
      </c>
      <c r="C55" s="11">
        <v>-152022279.10430002</v>
      </c>
      <c r="D55" s="11">
        <v>1111100.1859545708</v>
      </c>
      <c r="E55" s="11">
        <v>690555810.17830992</v>
      </c>
      <c r="F55" s="11">
        <v>3648091.3324666023</v>
      </c>
      <c r="G55" s="11">
        <v>-303852421.70519924</v>
      </c>
      <c r="H55" s="11">
        <v>79687346.141889825</v>
      </c>
      <c r="I55" s="11">
        <v>996485.91565222281</v>
      </c>
      <c r="J55" s="11">
        <v>-1148457.7741311113</v>
      </c>
      <c r="K55" s="11">
        <v>-620769612.2121073</v>
      </c>
      <c r="L55" s="11">
        <v>1390.5891741234632</v>
      </c>
      <c r="M55" s="11">
        <v>3876084.8219366842</v>
      </c>
      <c r="N55" s="11">
        <v>481049448.83275032</v>
      </c>
      <c r="O55" s="11">
        <v>465657750.43455684</v>
      </c>
      <c r="P55" s="11">
        <v>61923842.076556467</v>
      </c>
      <c r="Q55" s="11">
        <v>-695475157.2761699</v>
      </c>
      <c r="R55" s="11">
        <v>53297422.07527376</v>
      </c>
      <c r="S55" s="11">
        <v>4327092.8776809489</v>
      </c>
      <c r="T55">
        <v>-75105765.767213225</v>
      </c>
      <c r="U55">
        <v>231038.94629215647</v>
      </c>
    </row>
    <row r="56" spans="1:21" x14ac:dyDescent="0.25">
      <c r="A56" s="6">
        <v>20150325</v>
      </c>
      <c r="B56" s="10">
        <v>2061.0500000000002</v>
      </c>
      <c r="C56" s="11">
        <v>-404052365.76470017</v>
      </c>
      <c r="D56" s="11">
        <v>1187934.5032305717</v>
      </c>
      <c r="E56" s="11">
        <v>791294280.49172473</v>
      </c>
      <c r="F56" s="11">
        <v>3718147.5003774166</v>
      </c>
      <c r="G56" s="11">
        <v>-303852421.70519924</v>
      </c>
      <c r="H56" s="11">
        <v>39095584.719026089</v>
      </c>
      <c r="I56" s="11">
        <v>1150281.7428193975</v>
      </c>
      <c r="J56" s="11">
        <v>-1223642.6787719068</v>
      </c>
      <c r="K56" s="11">
        <v>-719140876.80122197</v>
      </c>
      <c r="L56" s="11">
        <v>1292.5141805719813</v>
      </c>
      <c r="M56" s="11">
        <v>3294245.2709463905</v>
      </c>
      <c r="N56" s="11">
        <v>451136730.04914629</v>
      </c>
      <c r="O56" s="11">
        <v>676856241.03616488</v>
      </c>
      <c r="P56" s="11">
        <v>64828469.330958515</v>
      </c>
      <c r="Q56" s="11">
        <v>-673885465.85796356</v>
      </c>
      <c r="R56" s="11">
        <v>-78640989.228111267</v>
      </c>
      <c r="S56" s="11">
        <v>4731767.9604729647</v>
      </c>
      <c r="T56">
        <v>-36577208.455802783</v>
      </c>
      <c r="U56">
        <v>321075.39683272818</v>
      </c>
    </row>
    <row r="57" spans="1:21" x14ac:dyDescent="0.25">
      <c r="A57" s="6">
        <v>20150312</v>
      </c>
      <c r="B57" s="10">
        <v>2065.9499999999998</v>
      </c>
      <c r="C57" s="11">
        <v>-256277556.43839979</v>
      </c>
      <c r="D57" s="11">
        <v>1110520.7351388931</v>
      </c>
      <c r="E57" s="11">
        <v>732617067.92174578</v>
      </c>
      <c r="F57" s="11">
        <v>3761878.199672699</v>
      </c>
      <c r="G57" s="11">
        <v>-303852421.70519924</v>
      </c>
      <c r="H57" s="11">
        <v>8388593.9707811754</v>
      </c>
      <c r="I57" s="11">
        <v>-1931710.6553991258</v>
      </c>
      <c r="J57" s="11">
        <v>-1114232.2001449284</v>
      </c>
      <c r="K57" s="11">
        <v>-690486326.78223729</v>
      </c>
      <c r="L57" s="11">
        <v>1350.0360059323864</v>
      </c>
      <c r="M57" s="11">
        <v>3673320.4205540274</v>
      </c>
      <c r="N57" s="11">
        <v>469194526.46786034</v>
      </c>
      <c r="O57" s="11">
        <v>565709065.63500464</v>
      </c>
      <c r="P57" s="11">
        <v>55760782.857001118</v>
      </c>
      <c r="Q57" s="11">
        <v>-699667081.64733815</v>
      </c>
      <c r="R57" s="11">
        <v>-16887080.190990031</v>
      </c>
      <c r="S57" s="11">
        <v>4475035.2351708217</v>
      </c>
      <c r="T57">
        <v>-8151742.0969523154</v>
      </c>
      <c r="U57">
        <v>-899434.72545301903</v>
      </c>
    </row>
    <row r="58" spans="1:21" x14ac:dyDescent="0.25">
      <c r="A58" s="6">
        <v>20150309</v>
      </c>
      <c r="B58" s="10">
        <v>2079.4299999999998</v>
      </c>
      <c r="C58" s="11">
        <v>-180300440.20630002</v>
      </c>
      <c r="D58" s="11">
        <v>1139572.5943078995</v>
      </c>
      <c r="E58" s="11">
        <v>705453603.09325528</v>
      </c>
      <c r="F58" s="11">
        <v>3536391.1140637398</v>
      </c>
      <c r="G58" s="11">
        <v>-303852421.70519924</v>
      </c>
      <c r="H58" s="11">
        <v>-38667570.540011853</v>
      </c>
      <c r="I58" s="11">
        <v>42277.099618690736</v>
      </c>
      <c r="J58" s="11">
        <v>-1106482.7363378492</v>
      </c>
      <c r="K58" s="11">
        <v>-665628372.41935515</v>
      </c>
      <c r="L58" s="11">
        <v>1434.5850312454711</v>
      </c>
      <c r="M58" s="11">
        <v>3873312.2359009255</v>
      </c>
      <c r="N58" s="11">
        <v>478339430.91628009</v>
      </c>
      <c r="O58" s="11">
        <v>505142752.03866738</v>
      </c>
      <c r="P58" s="11">
        <v>61054289.748201452</v>
      </c>
      <c r="Q58" s="11">
        <v>-702212670.64839542</v>
      </c>
      <c r="R58" s="11">
        <v>13975451.622730389</v>
      </c>
      <c r="S58" s="11">
        <v>4681442.0129975975</v>
      </c>
      <c r="T58">
        <v>36760057.247111693</v>
      </c>
      <c r="U58">
        <v>-2055.877767875485</v>
      </c>
    </row>
    <row r="59" spans="1:21" x14ac:dyDescent="0.25">
      <c r="A59" s="6">
        <v>20150310</v>
      </c>
      <c r="B59" s="10">
        <v>2044.16</v>
      </c>
      <c r="C59" s="11">
        <v>-264517759.9283998</v>
      </c>
      <c r="D59" s="11">
        <v>1147017.9350976944</v>
      </c>
      <c r="E59" s="11">
        <v>731425175.43764925</v>
      </c>
      <c r="F59" s="11">
        <v>3888708.9180927277</v>
      </c>
      <c r="G59" s="11">
        <v>-303852421.70519924</v>
      </c>
      <c r="H59" s="11">
        <v>-49804308.854140289</v>
      </c>
      <c r="I59" s="11">
        <v>1289494.882072041</v>
      </c>
      <c r="J59" s="11">
        <v>-1184430.8373508018</v>
      </c>
      <c r="K59" s="11">
        <v>-690305759.5675714</v>
      </c>
      <c r="L59" s="11">
        <v>1229.0680687048953</v>
      </c>
      <c r="M59" s="11">
        <v>3515540.3561496777</v>
      </c>
      <c r="N59" s="11">
        <v>479112421.60318011</v>
      </c>
      <c r="O59" s="11">
        <v>554890262.73969674</v>
      </c>
      <c r="P59" s="11">
        <v>56459982.861873373</v>
      </c>
      <c r="Q59" s="11">
        <v>-711375443.4243896</v>
      </c>
      <c r="R59" s="11">
        <v>-6525193.8547292184</v>
      </c>
      <c r="S59" s="11">
        <v>4376023.161915876</v>
      </c>
      <c r="T59">
        <v>45611495.409541681</v>
      </c>
      <c r="U59">
        <v>241804.22303019359</v>
      </c>
    </row>
    <row r="60" spans="1:21" x14ac:dyDescent="0.25">
      <c r="A60" s="6">
        <v>20150311</v>
      </c>
      <c r="B60" s="10">
        <v>2040.24</v>
      </c>
      <c r="C60" s="11">
        <v>-290343233.35090017</v>
      </c>
      <c r="D60" s="11">
        <v>1130216.8523902893</v>
      </c>
      <c r="E60" s="11">
        <v>737573582.83657861</v>
      </c>
      <c r="F60" s="11">
        <v>3884941.8509526253</v>
      </c>
      <c r="G60" s="11">
        <v>-303852421.70519924</v>
      </c>
      <c r="H60" s="11">
        <v>-26701044.240513511</v>
      </c>
      <c r="I60" s="11">
        <v>976750.22535045503</v>
      </c>
      <c r="J60" s="11">
        <v>-1144785.8187118489</v>
      </c>
      <c r="K60" s="11">
        <v>-703956410.04111397</v>
      </c>
      <c r="L60" s="11">
        <v>1220.8917290699901</v>
      </c>
      <c r="M60" s="11">
        <v>3540494.3574677091</v>
      </c>
      <c r="N60" s="11">
        <v>475606581.01827455</v>
      </c>
      <c r="O60" s="11">
        <v>573140790.06495082</v>
      </c>
      <c r="P60" s="11">
        <v>56450928.074955992</v>
      </c>
      <c r="Q60" s="11">
        <v>-701184266.50559151</v>
      </c>
      <c r="R60" s="11">
        <v>-17358780.34821992</v>
      </c>
      <c r="S60" s="11">
        <v>4473963.0593805742</v>
      </c>
      <c r="T60">
        <v>24955395.675102357</v>
      </c>
      <c r="U60">
        <v>808532.77895735751</v>
      </c>
    </row>
    <row r="61" spans="1:21" x14ac:dyDescent="0.25">
      <c r="A61" s="6">
        <v>20150330</v>
      </c>
      <c r="B61" s="10">
        <v>2086.2399999999998</v>
      </c>
      <c r="C61" s="11">
        <v>-371632655.04569983</v>
      </c>
      <c r="D61" s="11">
        <v>1181499.1585116386</v>
      </c>
      <c r="E61" s="11">
        <v>781159306.82616472</v>
      </c>
      <c r="F61" s="11">
        <v>3471158.9546041489</v>
      </c>
      <c r="G61" s="11">
        <v>-303852421.70519924</v>
      </c>
      <c r="H61" s="11">
        <v>3364230.3003446097</v>
      </c>
      <c r="I61" s="11">
        <v>-1072457.7445238028</v>
      </c>
      <c r="J61" s="11">
        <v>-1154081.2765514781</v>
      </c>
      <c r="K61" s="11">
        <v>-722826085.83784962</v>
      </c>
      <c r="L61" s="11">
        <v>1469.6925956233404</v>
      </c>
      <c r="M61" s="11">
        <v>3363920.7696362217</v>
      </c>
      <c r="N61" s="11">
        <v>442927626.41927969</v>
      </c>
      <c r="O61" s="11">
        <v>649887137.87827921</v>
      </c>
      <c r="P61" s="11">
        <v>59418672.005723633</v>
      </c>
      <c r="Q61" s="11">
        <v>-662948416.8329078</v>
      </c>
      <c r="R61" s="11">
        <v>-59950159.07655631</v>
      </c>
      <c r="S61" s="11">
        <v>4612446.2987910733</v>
      </c>
      <c r="T61">
        <v>-1429730.4297767086</v>
      </c>
      <c r="U61">
        <v>-62807.498371872018</v>
      </c>
    </row>
    <row r="62" spans="1:21" x14ac:dyDescent="0.25">
      <c r="A62" s="6">
        <v>20150313</v>
      </c>
      <c r="B62" s="10">
        <v>2053.4</v>
      </c>
      <c r="C62" s="11">
        <v>-266300942.47880006</v>
      </c>
      <c r="D62" s="11">
        <v>1094433.1731314659</v>
      </c>
      <c r="E62" s="11">
        <v>736146244.62844801</v>
      </c>
      <c r="F62" s="11">
        <v>4126298.6286044121</v>
      </c>
      <c r="G62" s="11">
        <v>-303852421.70519924</v>
      </c>
      <c r="H62" s="11">
        <v>757159.42691299401</v>
      </c>
      <c r="I62" s="11">
        <v>282662.86342923081</v>
      </c>
      <c r="J62" s="11">
        <v>-1126334.9096554816</v>
      </c>
      <c r="K62" s="11">
        <v>-677849345.46639299</v>
      </c>
      <c r="L62" s="11">
        <v>1273.3658190034209</v>
      </c>
      <c r="M62" s="11">
        <v>3532353.8678826564</v>
      </c>
      <c r="N62" s="11">
        <v>462807000.19219792</v>
      </c>
      <c r="O62" s="11">
        <v>565549753.11139154</v>
      </c>
      <c r="P62" s="11">
        <v>52379489.966227725</v>
      </c>
      <c r="Q62" s="11">
        <v>-699593542.04016995</v>
      </c>
      <c r="R62" s="11">
        <v>-16504741.916101802</v>
      </c>
      <c r="S62" s="11">
        <v>5036256.7285233522</v>
      </c>
      <c r="T62">
        <v>52215.424710836262</v>
      </c>
      <c r="U62">
        <v>175910.48704781476</v>
      </c>
    </row>
    <row r="63" spans="1:21" x14ac:dyDescent="0.25">
      <c r="A63" s="6">
        <v>20150316</v>
      </c>
      <c r="B63" s="10">
        <v>2081.19</v>
      </c>
      <c r="C63" s="11">
        <v>-289946904.41149998</v>
      </c>
      <c r="D63" s="11">
        <v>1115188.1341056824</v>
      </c>
      <c r="E63" s="11">
        <v>746752336.984658</v>
      </c>
      <c r="F63" s="11">
        <v>3611411.8994362354</v>
      </c>
      <c r="G63" s="11">
        <v>-303852421.70519924</v>
      </c>
      <c r="H63" s="11">
        <v>-41525870.986610465</v>
      </c>
      <c r="I63" s="11">
        <v>-1179777.3399852468</v>
      </c>
      <c r="J63" s="11">
        <v>-1092459.2623872655</v>
      </c>
      <c r="K63" s="11">
        <v>-689331393.66750622</v>
      </c>
      <c r="L63" s="11">
        <v>1436.2904802310961</v>
      </c>
      <c r="M63" s="11">
        <v>3720178.5197758628</v>
      </c>
      <c r="N63" s="11">
        <v>460025941.44305187</v>
      </c>
      <c r="O63" s="11">
        <v>605612227.6782378</v>
      </c>
      <c r="P63" s="11">
        <v>56530365.387111276</v>
      </c>
      <c r="Q63" s="11">
        <v>-706898480.71326017</v>
      </c>
      <c r="R63" s="11">
        <v>-19388034.497582845</v>
      </c>
      <c r="S63" s="11">
        <v>4519675.7669255156</v>
      </c>
      <c r="T63">
        <v>40644418.786240317</v>
      </c>
      <c r="U63">
        <v>6007.360087767167</v>
      </c>
    </row>
    <row r="64" spans="1:21" x14ac:dyDescent="0.25">
      <c r="A64" s="6">
        <v>20150319</v>
      </c>
      <c r="B64" s="10">
        <v>2089.27</v>
      </c>
      <c r="C64" s="11">
        <v>-377878980.76799989</v>
      </c>
      <c r="D64" s="11">
        <v>1150520.6670341492</v>
      </c>
      <c r="E64" s="11">
        <v>778577361.25313759</v>
      </c>
      <c r="F64" s="11">
        <v>3166343.0100278854</v>
      </c>
      <c r="G64" s="11">
        <v>-303852421.70519924</v>
      </c>
      <c r="H64" s="11">
        <v>17990355.503342275</v>
      </c>
      <c r="I64" s="11">
        <v>1330595.8460813104</v>
      </c>
      <c r="J64" s="11">
        <v>-1143121.9479312589</v>
      </c>
      <c r="K64" s="11">
        <v>-724310624.19602227</v>
      </c>
      <c r="L64" s="11">
        <v>1492.8300879254964</v>
      </c>
      <c r="M64" s="11">
        <v>3740878.4468369754</v>
      </c>
      <c r="N64" s="11">
        <v>456920759.99425745</v>
      </c>
      <c r="O64" s="11">
        <v>674643814.60660005</v>
      </c>
      <c r="P64" s="11">
        <v>63493065.181563482</v>
      </c>
      <c r="Q64" s="11">
        <v>-683308884.2333535</v>
      </c>
      <c r="R64" s="11">
        <v>-74846266.262216479</v>
      </c>
      <c r="S64" s="11">
        <v>4654541.5032744175</v>
      </c>
      <c r="T64">
        <v>-18046437.742508456</v>
      </c>
      <c r="U64">
        <v>471030.70078602602</v>
      </c>
    </row>
    <row r="65" spans="1:21" x14ac:dyDescent="0.25">
      <c r="A65" s="6">
        <v>20150320</v>
      </c>
      <c r="B65" s="10">
        <v>2108.1</v>
      </c>
      <c r="C65" s="11">
        <v>-356475850.52610016</v>
      </c>
      <c r="D65" s="11">
        <v>1135703.2203044891</v>
      </c>
      <c r="E65" s="11">
        <v>773240988.94355106</v>
      </c>
      <c r="F65" s="11">
        <v>2883050.4113624096</v>
      </c>
      <c r="G65" s="11">
        <v>-303852421.70519924</v>
      </c>
      <c r="H65" s="11">
        <v>-8415907.2465032525</v>
      </c>
      <c r="I65" s="11">
        <v>-531747.64045985707</v>
      </c>
      <c r="J65" s="11">
        <v>-1126472.5032316297</v>
      </c>
      <c r="K65" s="11">
        <v>-724977224.87089658</v>
      </c>
      <c r="L65" s="11">
        <v>1607.8601755768025</v>
      </c>
      <c r="M65" s="11">
        <v>3904570.5970612587</v>
      </c>
      <c r="N65" s="11">
        <v>448680767.90359879</v>
      </c>
      <c r="O65" s="11">
        <v>676673682.71477079</v>
      </c>
      <c r="P65" s="11">
        <v>63267593.416538879</v>
      </c>
      <c r="Q65" s="11">
        <v>-678835538.58039594</v>
      </c>
      <c r="R65" s="11">
        <v>-73138112.729676813</v>
      </c>
      <c r="S65" s="11">
        <v>4767984.5247821938</v>
      </c>
      <c r="T65">
        <v>6863089.9644465148</v>
      </c>
      <c r="U65">
        <v>-132000.55882554562</v>
      </c>
    </row>
    <row r="66" spans="1:21" x14ac:dyDescent="0.25">
      <c r="A66" s="6">
        <v>20150323</v>
      </c>
      <c r="B66" s="10">
        <v>2104.42</v>
      </c>
      <c r="C66" s="11">
        <v>-361650412.10400033</v>
      </c>
      <c r="D66" s="11">
        <v>1141598.2505736351</v>
      </c>
      <c r="E66" s="11">
        <v>775488062.53060102</v>
      </c>
      <c r="F66" s="11">
        <v>3067627.5725727081</v>
      </c>
      <c r="G66" s="11">
        <v>-303852421.70519924</v>
      </c>
      <c r="H66" s="11">
        <v>-7585100.3062862391</v>
      </c>
      <c r="I66" s="11">
        <v>559814.34534368617</v>
      </c>
      <c r="J66" s="11">
        <v>-1143902.9298948427</v>
      </c>
      <c r="K66" s="11">
        <v>-720074562.19306231</v>
      </c>
      <c r="L66" s="11">
        <v>1589.5465870815442</v>
      </c>
      <c r="M66" s="11">
        <v>3773792.4967221953</v>
      </c>
      <c r="N66" s="11">
        <v>448602014.11857063</v>
      </c>
      <c r="O66" s="11">
        <v>684289095.08984327</v>
      </c>
      <c r="P66" s="11">
        <v>61312312.090825059</v>
      </c>
      <c r="Q66" s="11">
        <v>-679706181.78742921</v>
      </c>
      <c r="R66" s="11">
        <v>-72331222.148656532</v>
      </c>
      <c r="S66" s="11">
        <v>4717073.5692277392</v>
      </c>
      <c r="T66">
        <v>8425700.2561621442</v>
      </c>
      <c r="U66">
        <v>-161788.3784219388</v>
      </c>
    </row>
    <row r="67" spans="1:21" x14ac:dyDescent="0.25">
      <c r="A67" s="6">
        <v>20150324</v>
      </c>
      <c r="B67" s="10">
        <v>2091.5</v>
      </c>
      <c r="C67" s="11">
        <v>-408508155.89469981</v>
      </c>
      <c r="D67" s="11">
        <v>1181750.2960662842</v>
      </c>
      <c r="E67" s="11">
        <v>793121310.40884638</v>
      </c>
      <c r="F67" s="11">
        <v>3038269.370934248</v>
      </c>
      <c r="G67" s="11">
        <v>-303852421.70519924</v>
      </c>
      <c r="H67" s="11">
        <v>-34727503.982797593</v>
      </c>
      <c r="I67" s="11">
        <v>-593.64690704313352</v>
      </c>
      <c r="J67" s="11">
        <v>-1160182.3693315387</v>
      </c>
      <c r="K67" s="11">
        <v>-740919502.49994528</v>
      </c>
      <c r="L67" s="11">
        <v>1503.8182565496566</v>
      </c>
      <c r="M67" s="11">
        <v>3613202.6188116306</v>
      </c>
      <c r="N67" s="11">
        <v>452676465.35526025</v>
      </c>
      <c r="O67" s="11">
        <v>709857621.91902971</v>
      </c>
      <c r="P67" s="11">
        <v>65380655.66879493</v>
      </c>
      <c r="Q67" s="11">
        <v>-679639208.76437747</v>
      </c>
      <c r="R67" s="11">
        <v>-88801948.603591546</v>
      </c>
      <c r="S67" s="11">
        <v>4698784.4634684324</v>
      </c>
      <c r="T67">
        <v>32136247.531373426</v>
      </c>
      <c r="U67">
        <v>-54303.376790053997</v>
      </c>
    </row>
    <row r="68" spans="1:21" x14ac:dyDescent="0.25">
      <c r="A68" s="6">
        <v>20150327</v>
      </c>
      <c r="B68" s="10">
        <v>2061.02</v>
      </c>
      <c r="C68" s="11">
        <v>-392684468.75469995</v>
      </c>
      <c r="D68" s="11">
        <v>1173810.0617446899</v>
      </c>
      <c r="E68" s="11">
        <v>788690150.24944615</v>
      </c>
      <c r="F68" s="11">
        <v>3775796.3379690647</v>
      </c>
      <c r="G68" s="11">
        <v>-303852421.70519924</v>
      </c>
      <c r="H68" s="11">
        <v>-32798534.281756371</v>
      </c>
      <c r="I68" s="11">
        <v>-106250.84398466564</v>
      </c>
      <c r="J68" s="11">
        <v>-1171510.9646825516</v>
      </c>
      <c r="K68" s="11">
        <v>-747167277.46626949</v>
      </c>
      <c r="L68" s="11">
        <v>1284.6651502028462</v>
      </c>
      <c r="M68" s="11">
        <v>3191961.6443248796</v>
      </c>
      <c r="N68" s="11">
        <v>441181928.09889376</v>
      </c>
      <c r="O68" s="11">
        <v>651842492.20565116</v>
      </c>
      <c r="P68" s="11">
        <v>60602117.72376924</v>
      </c>
      <c r="Q68" s="11">
        <v>-663743164.13314986</v>
      </c>
      <c r="R68" s="11">
        <v>-65668704.246489927</v>
      </c>
      <c r="S68" s="11">
        <v>4627886.4856718052</v>
      </c>
      <c r="T68">
        <v>30019632.991599474</v>
      </c>
      <c r="U68">
        <v>-187891.89860201653</v>
      </c>
    </row>
    <row r="69" spans="1:21" x14ac:dyDescent="0.25">
      <c r="A69" s="6">
        <v>20150402</v>
      </c>
      <c r="B69" s="10">
        <v>2066.96</v>
      </c>
      <c r="C69" s="11">
        <v>-382501395.17989993</v>
      </c>
      <c r="D69" s="11">
        <v>1159067.9399380684</v>
      </c>
      <c r="E69" s="11">
        <v>785085347.87522244</v>
      </c>
      <c r="F69" s="11">
        <v>3614032.7241477966</v>
      </c>
      <c r="G69" s="11">
        <v>-320372480.54320335</v>
      </c>
      <c r="H69" s="11">
        <v>45576238.175251588</v>
      </c>
      <c r="I69" s="11">
        <v>-1602359.6860987027</v>
      </c>
      <c r="J69" s="11">
        <v>-1180473.7516956367</v>
      </c>
      <c r="K69" s="11">
        <v>-722343890.22303522</v>
      </c>
      <c r="L69" s="11">
        <v>1311.4670994474041</v>
      </c>
      <c r="M69" s="11">
        <v>3090853.3716397919</v>
      </c>
      <c r="N69" s="11">
        <v>454390286.26855564</v>
      </c>
      <c r="O69" s="11">
        <v>645718896.47138166</v>
      </c>
      <c r="P69" s="11">
        <v>60348828.906878173</v>
      </c>
      <c r="Q69" s="11">
        <v>-654084288.15162301</v>
      </c>
      <c r="R69" s="11">
        <v>-68191488.767371461</v>
      </c>
      <c r="S69" s="11">
        <v>4582755.6577609433</v>
      </c>
      <c r="T69">
        <v>-49300081.182730943</v>
      </c>
      <c r="U69">
        <v>-206638.46640799684</v>
      </c>
    </row>
    <row r="70" spans="1:21" x14ac:dyDescent="0.25">
      <c r="A70" s="6">
        <v>20150331</v>
      </c>
      <c r="B70" s="10">
        <v>2067.89</v>
      </c>
      <c r="C70" s="11">
        <v>-385411489.68419981</v>
      </c>
      <c r="D70" s="11">
        <v>1192475.2598538399</v>
      </c>
      <c r="E70" s="11">
        <v>787723650.72377062</v>
      </c>
      <c r="F70" s="11">
        <v>3633992.7144341469</v>
      </c>
      <c r="G70" s="11">
        <v>-303852421.70519924</v>
      </c>
      <c r="H70" s="11">
        <v>-6801984.0622193571</v>
      </c>
      <c r="I70" s="11">
        <v>1397825.6335036648</v>
      </c>
      <c r="J70" s="11">
        <v>-1202082.6060331573</v>
      </c>
      <c r="K70" s="11">
        <v>-728268727.28021836</v>
      </c>
      <c r="L70" s="11">
        <v>1336.646880048535</v>
      </c>
      <c r="M70" s="11">
        <v>3232441.4936341341</v>
      </c>
      <c r="N70" s="11">
        <v>442455268.72576022</v>
      </c>
      <c r="O70" s="11">
        <v>655929860.88141906</v>
      </c>
      <c r="P70" s="11">
        <v>60192254.578736521</v>
      </c>
      <c r="Q70" s="11">
        <v>-663808374.68412709</v>
      </c>
      <c r="R70" s="11">
        <v>-63690801.696485348</v>
      </c>
      <c r="S70" s="11">
        <v>4623886.9081150871</v>
      </c>
      <c r="T70">
        <v>7023897.5737570645</v>
      </c>
      <c r="U70">
        <v>1037979.0627875954</v>
      </c>
    </row>
    <row r="71" spans="1:21" x14ac:dyDescent="0.25">
      <c r="A71" s="6">
        <v>20150401</v>
      </c>
      <c r="B71" s="10">
        <v>2059.69</v>
      </c>
      <c r="C71" s="11">
        <v>-445266254.88139987</v>
      </c>
      <c r="D71" s="11">
        <v>1187351.1795711517</v>
      </c>
      <c r="E71" s="11">
        <v>803865968.06942081</v>
      </c>
      <c r="F71" s="11">
        <v>3645739.2634329796</v>
      </c>
      <c r="G71" s="11">
        <v>-303852421.70519924</v>
      </c>
      <c r="H71" s="11">
        <v>-54189979.138799474</v>
      </c>
      <c r="I71" s="11">
        <v>256898.08907981322</v>
      </c>
      <c r="J71" s="11">
        <v>-1206428.5801973536</v>
      </c>
      <c r="K71" s="11">
        <v>-757680114.05547547</v>
      </c>
      <c r="L71" s="11">
        <v>1259.1707967000482</v>
      </c>
      <c r="M71" s="11">
        <v>3062897.5008636932</v>
      </c>
      <c r="N71" s="11">
        <v>458884817.00587147</v>
      </c>
      <c r="O71" s="11">
        <v>689493475.15065956</v>
      </c>
      <c r="P71" s="11">
        <v>64681775.09379518</v>
      </c>
      <c r="Q71" s="11">
        <v>-662207622.24864841</v>
      </c>
      <c r="R71" s="11">
        <v>-82813524.29225263</v>
      </c>
      <c r="S71" s="11">
        <v>4671604.0354932658</v>
      </c>
      <c r="T71">
        <v>50153908.074329793</v>
      </c>
      <c r="U71">
        <v>-602398.02023459901</v>
      </c>
    </row>
    <row r="72" spans="1:21" x14ac:dyDescent="0.25">
      <c r="A72" s="6">
        <v>20150408</v>
      </c>
      <c r="B72" s="10">
        <v>2081.9</v>
      </c>
      <c r="C72" s="11">
        <v>-386534377.61070013</v>
      </c>
      <c r="D72" s="11">
        <v>1185738.7663478851</v>
      </c>
      <c r="E72" s="11">
        <v>793181687.02882624</v>
      </c>
      <c r="F72" s="11">
        <v>3448614.7479050159</v>
      </c>
      <c r="G72" s="11">
        <v>-320372480.54320335</v>
      </c>
      <c r="H72" s="11">
        <v>1619183.8269732157</v>
      </c>
      <c r="I72" s="11">
        <v>9214.5150359268591</v>
      </c>
      <c r="J72" s="11">
        <v>-1213064.1298987917</v>
      </c>
      <c r="K72" s="11">
        <v>-732328210.98532653</v>
      </c>
      <c r="L72" s="11">
        <v>1417.1933461195317</v>
      </c>
      <c r="M72" s="11">
        <v>3018127.0079620522</v>
      </c>
      <c r="N72" s="11">
        <v>438549774.97901809</v>
      </c>
      <c r="O72" s="11">
        <v>662433844.01926768</v>
      </c>
      <c r="P72" s="11">
        <v>60308582.689308718</v>
      </c>
      <c r="Q72" s="11">
        <v>-657977793.12816799</v>
      </c>
      <c r="R72" s="11">
        <v>-72133551.807863981</v>
      </c>
      <c r="S72" s="11">
        <v>4540831.8454195522</v>
      </c>
      <c r="T72">
        <v>-1547143.7627344797</v>
      </c>
      <c r="U72">
        <v>-556874.45570975053</v>
      </c>
    </row>
    <row r="73" spans="1:21" x14ac:dyDescent="0.25">
      <c r="A73" s="6">
        <v>20150407</v>
      </c>
      <c r="B73" s="10">
        <v>2076.33</v>
      </c>
      <c r="C73" s="11">
        <v>-393774299.07809997</v>
      </c>
      <c r="D73" s="11">
        <v>1217517.9249238968</v>
      </c>
      <c r="E73" s="11">
        <v>787795852.90299726</v>
      </c>
      <c r="F73" s="11">
        <v>3534098.4577944279</v>
      </c>
      <c r="G73" s="11">
        <v>-320372480.54320335</v>
      </c>
      <c r="H73" s="11">
        <v>-29687757.016491711</v>
      </c>
      <c r="I73" s="11">
        <v>-25199.995877259345</v>
      </c>
      <c r="J73" s="11">
        <v>-1195413.4499855158</v>
      </c>
      <c r="K73" s="11">
        <v>-738389694.97862136</v>
      </c>
      <c r="L73" s="11">
        <v>1371.9436106164328</v>
      </c>
      <c r="M73" s="11">
        <v>3029060.4163120608</v>
      </c>
      <c r="N73" s="11">
        <v>445051227.53785735</v>
      </c>
      <c r="O73" s="11">
        <v>663504323.58724761</v>
      </c>
      <c r="P73" s="11">
        <v>60217592.80770155</v>
      </c>
      <c r="Q73" s="11">
        <v>-658024631.21902227</v>
      </c>
      <c r="R73" s="11">
        <v>-70467189.510734856</v>
      </c>
      <c r="S73" s="11">
        <v>4555993.1603838159</v>
      </c>
      <c r="T73">
        <v>27638962.195726532</v>
      </c>
      <c r="U73">
        <v>-418103.02639492101</v>
      </c>
    </row>
    <row r="74" spans="1:21" x14ac:dyDescent="0.25">
      <c r="A74" s="6">
        <v>20150410</v>
      </c>
      <c r="B74" s="10">
        <v>2102.06</v>
      </c>
      <c r="C74" s="11">
        <v>-331283829.33700013</v>
      </c>
      <c r="D74" s="11">
        <v>1237929.0121970177</v>
      </c>
      <c r="E74" s="11">
        <v>776273166.94490337</v>
      </c>
      <c r="F74" s="11">
        <v>3370027.0593099594</v>
      </c>
      <c r="G74" s="11">
        <v>-320372480.54320335</v>
      </c>
      <c r="H74" s="11">
        <v>-14096353.94899462</v>
      </c>
      <c r="I74" s="11">
        <v>-566245.58187389653</v>
      </c>
      <c r="J74" s="11">
        <v>-1171433.5443752415</v>
      </c>
      <c r="K74" s="11">
        <v>-716900934.61771572</v>
      </c>
      <c r="L74" s="11">
        <v>1617.2034716915939</v>
      </c>
      <c r="M74" s="11">
        <v>3112255.7914341665</v>
      </c>
      <c r="N74" s="11">
        <v>436668864.18068862</v>
      </c>
      <c r="O74" s="11">
        <v>638662034.16344118</v>
      </c>
      <c r="P74" s="11">
        <v>56059016.186798066</v>
      </c>
      <c r="Q74" s="11">
        <v>-658035657.28141284</v>
      </c>
      <c r="R74" s="11">
        <v>-58097469.780148089</v>
      </c>
      <c r="S74" s="11">
        <v>4426131.1960868593</v>
      </c>
      <c r="T74">
        <v>13310885.954687687</v>
      </c>
      <c r="U74">
        <v>-371819.91744739586</v>
      </c>
    </row>
    <row r="75" spans="1:21" x14ac:dyDescent="0.25">
      <c r="A75" s="6">
        <v>20150409</v>
      </c>
      <c r="B75" s="10">
        <v>2091.1799999999998</v>
      </c>
      <c r="C75" s="11">
        <v>-328198221.53869987</v>
      </c>
      <c r="D75" s="11">
        <v>1187677.4626617432</v>
      </c>
      <c r="E75" s="11">
        <v>775353771.15655994</v>
      </c>
      <c r="F75" s="11">
        <v>3423411.7324819565</v>
      </c>
      <c r="G75" s="11">
        <v>-320372480.54320335</v>
      </c>
      <c r="H75" s="11">
        <v>52513330.358231008</v>
      </c>
      <c r="I75" s="11">
        <v>-693939.76622912241</v>
      </c>
      <c r="J75" s="11">
        <v>-1175548.3389972444</v>
      </c>
      <c r="K75" s="11">
        <v>-705834707.00474489</v>
      </c>
      <c r="L75" s="11">
        <v>1501.4758160889783</v>
      </c>
      <c r="M75" s="11">
        <v>3038129.9189796811</v>
      </c>
      <c r="N75" s="11">
        <v>439492043.09595978</v>
      </c>
      <c r="O75" s="11">
        <v>626171356.23331439</v>
      </c>
      <c r="P75" s="11">
        <v>56411200.019995868</v>
      </c>
      <c r="Q75" s="11">
        <v>-655877922.76739323</v>
      </c>
      <c r="R75" s="11">
        <v>-55405741.484526299</v>
      </c>
      <c r="S75" s="11">
        <v>4474330.1461383095</v>
      </c>
      <c r="T75">
        <v>-48135308.169846557</v>
      </c>
      <c r="U75">
        <v>-645698.20428631641</v>
      </c>
    </row>
    <row r="76" spans="1:21" x14ac:dyDescent="0.25">
      <c r="A76" s="6">
        <v>20150414</v>
      </c>
      <c r="B76" s="10">
        <v>2095.84</v>
      </c>
      <c r="C76" s="11">
        <v>-384310530.97919989</v>
      </c>
      <c r="D76" s="11">
        <v>1208811.017999649</v>
      </c>
      <c r="E76" s="11">
        <v>798265022.74014521</v>
      </c>
      <c r="F76" s="11">
        <v>3377033.8123354912</v>
      </c>
      <c r="G76" s="11">
        <v>-320372480.54320335</v>
      </c>
      <c r="H76" s="11">
        <v>-26560140.078425355</v>
      </c>
      <c r="I76" s="11">
        <v>506452.19535168825</v>
      </c>
      <c r="J76" s="11">
        <v>-1216988.2279438837</v>
      </c>
      <c r="K76" s="11">
        <v>-746195743.39263177</v>
      </c>
      <c r="L76" s="11">
        <v>1558.3035666442402</v>
      </c>
      <c r="M76" s="11">
        <v>3036343.7244541729</v>
      </c>
      <c r="N76" s="11">
        <v>472308236.2534216</v>
      </c>
      <c r="O76" s="11">
        <v>686175808.56920612</v>
      </c>
      <c r="P76" s="11">
        <v>64904769.743282311</v>
      </c>
      <c r="Q76" s="11">
        <v>-679652598.03665304</v>
      </c>
      <c r="R76" s="11">
        <v>-57446164.681791611</v>
      </c>
      <c r="S76" s="11">
        <v>5039933.9785392191</v>
      </c>
      <c r="T76">
        <v>24742288.302241705</v>
      </c>
      <c r="U76">
        <v>-228872.35973706134</v>
      </c>
    </row>
    <row r="77" spans="1:21" x14ac:dyDescent="0.25">
      <c r="A77" s="6">
        <v>20150413</v>
      </c>
      <c r="B77" s="10">
        <v>2092.4299999999998</v>
      </c>
      <c r="C77" s="11">
        <v>-358545315.46760035</v>
      </c>
      <c r="D77" s="11">
        <v>1219335.0309457779</v>
      </c>
      <c r="E77" s="11">
        <v>790143248.85901451</v>
      </c>
      <c r="F77" s="11">
        <v>3491152.6770513058</v>
      </c>
      <c r="G77" s="11">
        <v>-320372480.54320335</v>
      </c>
      <c r="H77" s="11">
        <v>-14493627.658163501</v>
      </c>
      <c r="I77" s="11">
        <v>632827.61044215108</v>
      </c>
      <c r="J77" s="11">
        <v>-1246565.4197716101</v>
      </c>
      <c r="K77" s="11">
        <v>-722170313.81085622</v>
      </c>
      <c r="L77" s="11">
        <v>1526.7431670640744</v>
      </c>
      <c r="M77" s="11">
        <v>3044057.1508737504</v>
      </c>
      <c r="N77" s="11">
        <v>440100810.26164293</v>
      </c>
      <c r="O77" s="11">
        <v>655435238.24803293</v>
      </c>
      <c r="P77" s="11">
        <v>55014162.151655883</v>
      </c>
      <c r="Q77" s="11">
        <v>-667073740.62381589</v>
      </c>
      <c r="R77" s="11">
        <v>-59181353.925706871</v>
      </c>
      <c r="S77" s="11">
        <v>4431542.8507554093</v>
      </c>
      <c r="T77">
        <v>14363312.88663991</v>
      </c>
      <c r="U77">
        <v>1311754.7231235739</v>
      </c>
    </row>
    <row r="78" spans="1:21" x14ac:dyDescent="0.25">
      <c r="A78" s="6">
        <v>20150415</v>
      </c>
      <c r="B78" s="10">
        <v>2106.63</v>
      </c>
      <c r="C78" s="11">
        <v>-368506427.51830006</v>
      </c>
      <c r="D78" s="11">
        <v>1233427.1539826393</v>
      </c>
      <c r="E78" s="11">
        <v>794631552.83976531</v>
      </c>
      <c r="F78" s="11">
        <v>3175152.4585838318</v>
      </c>
      <c r="G78" s="11">
        <v>-320372480.54320335</v>
      </c>
      <c r="H78" s="11">
        <v>-1939081.4565063172</v>
      </c>
      <c r="I78" s="11">
        <v>-666290.60348276678</v>
      </c>
      <c r="J78" s="11">
        <v>-1202857.5208447527</v>
      </c>
      <c r="K78" s="11">
        <v>-738644583.89064991</v>
      </c>
      <c r="L78" s="11">
        <v>1675.0857249113708</v>
      </c>
      <c r="M78" s="11">
        <v>3101887.4369072742</v>
      </c>
      <c r="N78" s="11">
        <v>471055499.09210539</v>
      </c>
      <c r="O78" s="11">
        <v>688432787.84446371</v>
      </c>
      <c r="P78" s="11">
        <v>57840307.147652209</v>
      </c>
      <c r="Q78" s="11">
        <v>-679893552.01991546</v>
      </c>
      <c r="R78" s="11">
        <v>-56910236.695060715</v>
      </c>
      <c r="S78" s="11">
        <v>4795914.9706575405</v>
      </c>
      <c r="T78">
        <v>2450793.6799029866</v>
      </c>
      <c r="U78">
        <v>-413701.30836875649</v>
      </c>
    </row>
    <row r="79" spans="1:21" x14ac:dyDescent="0.25">
      <c r="A79" s="6">
        <v>20150416</v>
      </c>
      <c r="B79" s="10">
        <v>2104.9899999999998</v>
      </c>
      <c r="C79" s="11">
        <v>-351244982.44310045</v>
      </c>
      <c r="D79" s="11">
        <v>1260013.8862514496</v>
      </c>
      <c r="E79" s="11">
        <v>794042025.835989</v>
      </c>
      <c r="F79" s="11">
        <v>3267061.8697752953</v>
      </c>
      <c r="G79" s="11">
        <v>-320372480.54320335</v>
      </c>
      <c r="H79" s="11">
        <v>14495389.053251559</v>
      </c>
      <c r="I79" s="11">
        <v>445865.24801413971</v>
      </c>
      <c r="J79" s="11">
        <v>-1234303.8649537575</v>
      </c>
      <c r="K79" s="11">
        <v>-740350549.70122206</v>
      </c>
      <c r="L79" s="11">
        <v>1658.9930184060763</v>
      </c>
      <c r="M79" s="11">
        <v>3060389.9472590107</v>
      </c>
      <c r="N79" s="11">
        <v>474403770.5845142</v>
      </c>
      <c r="O79" s="11">
        <v>672674607.55692136</v>
      </c>
      <c r="P79" s="11">
        <v>58620492.380096808</v>
      </c>
      <c r="Q79" s="11">
        <v>-672403541.03069162</v>
      </c>
      <c r="R79" s="11">
        <v>-61034775.19213365</v>
      </c>
      <c r="S79" s="11">
        <v>4801979.3317341944</v>
      </c>
      <c r="T79">
        <v>-12843792.990925426</v>
      </c>
      <c r="U79">
        <v>19747.64854226945</v>
      </c>
    </row>
    <row r="80" spans="1:21" x14ac:dyDescent="0.25">
      <c r="A80" s="6">
        <v>20150422</v>
      </c>
      <c r="B80" s="10">
        <v>2107.96</v>
      </c>
      <c r="C80" s="11">
        <v>-316223478.32870007</v>
      </c>
      <c r="D80" s="11">
        <v>1287594.3716602325</v>
      </c>
      <c r="E80" s="11">
        <v>783804828.89921832</v>
      </c>
      <c r="F80" s="11">
        <v>3493526.1549015045</v>
      </c>
      <c r="G80" s="11">
        <v>-320372480.54320335</v>
      </c>
      <c r="H80" s="11">
        <v>61373653.128320716</v>
      </c>
      <c r="I80" s="11">
        <v>-207406.43100430866</v>
      </c>
      <c r="J80" s="11">
        <v>-1269246.6312119539</v>
      </c>
      <c r="K80" s="11">
        <v>-715690872.70864463</v>
      </c>
      <c r="L80" s="11">
        <v>1707.741111927209</v>
      </c>
      <c r="M80" s="11">
        <v>2886802.9414930446</v>
      </c>
      <c r="N80" s="11">
        <v>490538673.6542387</v>
      </c>
      <c r="O80" s="11">
        <v>658339391.43842709</v>
      </c>
      <c r="P80" s="11">
        <v>52728201.221491225</v>
      </c>
      <c r="Q80" s="11">
        <v>-685046655.47459793</v>
      </c>
      <c r="R80" s="11">
        <v>-41602337.649053685</v>
      </c>
      <c r="S80" s="11">
        <v>4607657.4431073815</v>
      </c>
      <c r="T80">
        <v>-55587737.60417401</v>
      </c>
      <c r="U80">
        <v>-307373.34714043565</v>
      </c>
    </row>
    <row r="81" spans="1:21" x14ac:dyDescent="0.25">
      <c r="A81" s="6">
        <v>20150420</v>
      </c>
      <c r="B81" s="10">
        <v>2100.4</v>
      </c>
      <c r="C81" s="11">
        <v>-394012797.60410023</v>
      </c>
      <c r="D81" s="11">
        <v>1291826.0400223732</v>
      </c>
      <c r="E81" s="11">
        <v>804177476.82207108</v>
      </c>
      <c r="F81" s="11">
        <v>3435412.1413578987</v>
      </c>
      <c r="G81" s="11">
        <v>-320372480.54320335</v>
      </c>
      <c r="H81" s="11">
        <v>17951423.190854814</v>
      </c>
      <c r="I81" s="11">
        <v>-605206.70323991892</v>
      </c>
      <c r="J81" s="11">
        <v>-1250762.9477676181</v>
      </c>
      <c r="K81" s="11">
        <v>-740085196.2394588</v>
      </c>
      <c r="L81" s="11">
        <v>1610.3409366649614</v>
      </c>
      <c r="M81" s="11">
        <v>2860748.3185137762</v>
      </c>
      <c r="N81" s="11">
        <v>477779458.51385593</v>
      </c>
      <c r="O81" s="11">
        <v>698107499.04121101</v>
      </c>
      <c r="P81" s="11">
        <v>57255647.793056816</v>
      </c>
      <c r="Q81" s="11">
        <v>-681003131.45530176</v>
      </c>
      <c r="R81" s="11">
        <v>-62050390.792714953</v>
      </c>
      <c r="S81" s="11">
        <v>4698720.0523362961</v>
      </c>
      <c r="T81">
        <v>-16158899.355361024</v>
      </c>
      <c r="U81">
        <v>-592746.64413750148</v>
      </c>
    </row>
    <row r="82" spans="1:21" x14ac:dyDescent="0.25">
      <c r="A82" s="6">
        <v>20150417</v>
      </c>
      <c r="B82" s="10">
        <v>2081.1799999999998</v>
      </c>
      <c r="C82" s="11">
        <v>-427313074.7402997</v>
      </c>
      <c r="D82" s="11">
        <v>1262070.8266267776</v>
      </c>
      <c r="E82" s="11">
        <v>814056368.74586487</v>
      </c>
      <c r="F82" s="11">
        <v>3529062.0998911858</v>
      </c>
      <c r="G82" s="11">
        <v>-320372480.54320335</v>
      </c>
      <c r="H82" s="11">
        <v>-40939055.349321604</v>
      </c>
      <c r="I82" s="11">
        <v>911530.61649738601</v>
      </c>
      <c r="J82" s="11">
        <v>-1270755.4767601008</v>
      </c>
      <c r="K82" s="11">
        <v>-758718294.03781414</v>
      </c>
      <c r="L82" s="11">
        <v>1402.3382493695951</v>
      </c>
      <c r="M82" s="11">
        <v>2781353.6741500739</v>
      </c>
      <c r="N82" s="11">
        <v>481063700.51345646</v>
      </c>
      <c r="O82" s="11">
        <v>707811454.09303999</v>
      </c>
      <c r="P82" s="11">
        <v>60420542.085531428</v>
      </c>
      <c r="Q82" s="11">
        <v>-679343976.75766337</v>
      </c>
      <c r="R82" s="11">
        <v>-76938565.566303149</v>
      </c>
      <c r="S82" s="11">
        <v>4720878.399223879</v>
      </c>
      <c r="T82">
        <v>37882272.969863638</v>
      </c>
      <c r="U82">
        <v>193280.56450107342</v>
      </c>
    </row>
    <row r="83" spans="1:21" x14ac:dyDescent="0.25">
      <c r="A83" s="6">
        <v>20150424</v>
      </c>
      <c r="B83" s="10">
        <v>2117.69</v>
      </c>
      <c r="C83" s="11">
        <v>-344342682.73070002</v>
      </c>
      <c r="D83" s="11">
        <v>1255806.8912782669</v>
      </c>
      <c r="E83" s="11">
        <v>793371758.65665674</v>
      </c>
      <c r="F83" s="11">
        <v>3362978.0679993629</v>
      </c>
      <c r="G83" s="11">
        <v>-320372480.54320335</v>
      </c>
      <c r="H83" s="11">
        <v>-23834828.328237366</v>
      </c>
      <c r="I83" s="11">
        <v>-111498.87969066323</v>
      </c>
      <c r="J83" s="11">
        <v>-1261050.2130278503</v>
      </c>
      <c r="K83" s="11">
        <v>-720413858.06309199</v>
      </c>
      <c r="L83" s="11">
        <v>1832.0238365137889</v>
      </c>
      <c r="M83" s="11">
        <v>3010635.3218507157</v>
      </c>
      <c r="N83" s="11">
        <v>479032687.44401777</v>
      </c>
      <c r="O83" s="11">
        <v>683970348.46416855</v>
      </c>
      <c r="P83" s="11">
        <v>53312149.345824152</v>
      </c>
      <c r="Q83" s="11">
        <v>-678915698.48812687</v>
      </c>
      <c r="R83" s="11">
        <v>-51421621.651928008</v>
      </c>
      <c r="S83" s="11">
        <v>4559278.2911336627</v>
      </c>
      <c r="T83">
        <v>22509708.046934124</v>
      </c>
      <c r="U83">
        <v>363773.4269080243</v>
      </c>
    </row>
    <row r="84" spans="1:21" x14ac:dyDescent="0.25">
      <c r="A84" s="6">
        <v>20150421</v>
      </c>
      <c r="B84" s="10">
        <v>2097.29</v>
      </c>
      <c r="C84" s="11">
        <v>-386649550.21549988</v>
      </c>
      <c r="D84" s="11">
        <v>1283389.9363532066</v>
      </c>
      <c r="E84" s="11">
        <v>804428385.85681796</v>
      </c>
      <c r="F84" s="11">
        <v>3415727.300183773</v>
      </c>
      <c r="G84" s="11">
        <v>-320372480.54320335</v>
      </c>
      <c r="H84" s="11">
        <v>5670166.0411211923</v>
      </c>
      <c r="I84" s="11">
        <v>-121480.62997374912</v>
      </c>
      <c r="J84" s="11">
        <v>-1295380.3043845652</v>
      </c>
      <c r="K84" s="11">
        <v>-742216548.37190843</v>
      </c>
      <c r="L84" s="11">
        <v>1570.6942018545014</v>
      </c>
      <c r="M84" s="11">
        <v>2815878.0939121936</v>
      </c>
      <c r="N84" s="11">
        <v>479001418.92086899</v>
      </c>
      <c r="O84" s="11">
        <v>697924393.80889797</v>
      </c>
      <c r="P84" s="11">
        <v>56267507.239081666</v>
      </c>
      <c r="Q84" s="11">
        <v>-684546737.12265646</v>
      </c>
      <c r="R84" s="11">
        <v>-60494824.707344204</v>
      </c>
      <c r="S84" s="11">
        <v>4653143.9732371625</v>
      </c>
      <c r="T84">
        <v>-5135926.4081618385</v>
      </c>
      <c r="U84">
        <v>158598.75666972081</v>
      </c>
    </row>
    <row r="85" spans="1:21" x14ac:dyDescent="0.25">
      <c r="A85" s="6">
        <v>20150429</v>
      </c>
      <c r="B85" s="10">
        <v>2106.85</v>
      </c>
      <c r="C85" s="11">
        <v>-261869902.81650019</v>
      </c>
      <c r="D85" s="11">
        <v>1279022.3562850952</v>
      </c>
      <c r="E85" s="11">
        <v>771924674.72795105</v>
      </c>
      <c r="F85" s="11">
        <v>4042076.9381885529</v>
      </c>
      <c r="G85" s="11">
        <v>-320372480.54320335</v>
      </c>
      <c r="H85" s="11">
        <v>30972298.589129832</v>
      </c>
      <c r="I85" s="11">
        <v>582104.96821528429</v>
      </c>
      <c r="J85" s="11">
        <v>-1243565.0705222241</v>
      </c>
      <c r="K85" s="11">
        <v>-691086098.2632333</v>
      </c>
      <c r="L85" s="11">
        <v>1704.6132587888155</v>
      </c>
      <c r="M85" s="11">
        <v>2755349.3520247727</v>
      </c>
      <c r="N85" s="11">
        <v>500269706.81942022</v>
      </c>
      <c r="O85" s="11">
        <v>627268307.35519254</v>
      </c>
      <c r="P85" s="11">
        <v>46673573.411653705</v>
      </c>
      <c r="Q85" s="11">
        <v>-704617360.18479693</v>
      </c>
      <c r="R85" s="11">
        <v>-13639002.998320876</v>
      </c>
      <c r="S85" s="11">
        <v>4425324.4069847409</v>
      </c>
      <c r="T85">
        <v>-27752708.376405846</v>
      </c>
      <c r="U85">
        <v>-298501.4811681193</v>
      </c>
    </row>
    <row r="86" spans="1:21" x14ac:dyDescent="0.25">
      <c r="A86" s="6">
        <v>20150423</v>
      </c>
      <c r="B86" s="10">
        <v>2112.9299999999998</v>
      </c>
      <c r="C86" s="11">
        <v>-322908998.41809988</v>
      </c>
      <c r="D86" s="11">
        <v>1271506.4975128174</v>
      </c>
      <c r="E86" s="11">
        <v>787135057.19001007</v>
      </c>
      <c r="F86" s="11">
        <v>3486691.3486661911</v>
      </c>
      <c r="G86" s="11">
        <v>-320372480.54320335</v>
      </c>
      <c r="H86" s="11">
        <v>-23014533.423336979</v>
      </c>
      <c r="I86" s="11">
        <v>220845.45299132308</v>
      </c>
      <c r="J86" s="11">
        <v>-1277614.3031613911</v>
      </c>
      <c r="K86" s="11">
        <v>-743238158.12411666</v>
      </c>
      <c r="L86" s="11">
        <v>1774.6179939392816</v>
      </c>
      <c r="M86" s="11">
        <v>2958381.9697586666</v>
      </c>
      <c r="N86" s="11">
        <v>488092320.24467468</v>
      </c>
      <c r="O86" s="11">
        <v>652051374.46753263</v>
      </c>
      <c r="P86" s="11">
        <v>54226441.940034315</v>
      </c>
      <c r="Q86" s="11">
        <v>-665236270.91753364</v>
      </c>
      <c r="R86" s="11">
        <v>-55252691.329507798</v>
      </c>
      <c r="S86" s="11">
        <v>4580173.4840713646</v>
      </c>
      <c r="T86">
        <v>21022312.575505957</v>
      </c>
      <c r="U86">
        <v>416343.55381224887</v>
      </c>
    </row>
    <row r="87" spans="1:21" x14ac:dyDescent="0.25">
      <c r="A87" s="6">
        <v>20150427</v>
      </c>
      <c r="B87" s="10">
        <v>2108.92</v>
      </c>
      <c r="C87" s="11">
        <v>-348120504.44430017</v>
      </c>
      <c r="D87" s="11">
        <v>1247250.0245738029</v>
      </c>
      <c r="E87" s="11">
        <v>797465883.73156548</v>
      </c>
      <c r="F87" s="11">
        <v>3787335.4330396652</v>
      </c>
      <c r="G87" s="11">
        <v>-320372480.54320335</v>
      </c>
      <c r="H87" s="11">
        <v>8971057.0548014827</v>
      </c>
      <c r="I87" s="11">
        <v>1176698.7844556558</v>
      </c>
      <c r="J87" s="11">
        <v>-1271763.7280638339</v>
      </c>
      <c r="K87" s="11">
        <v>-732177836.94153714</v>
      </c>
      <c r="L87" s="11">
        <v>1722.4566804185868</v>
      </c>
      <c r="M87" s="11">
        <v>2895559.3334987033</v>
      </c>
      <c r="N87" s="11">
        <v>467248195.93295908</v>
      </c>
      <c r="O87" s="11">
        <v>677136548.16158223</v>
      </c>
      <c r="P87" s="11">
        <v>51453567.169614471</v>
      </c>
      <c r="Q87" s="11">
        <v>-677812054.00734293</v>
      </c>
      <c r="R87" s="11">
        <v>-53084080.392726794</v>
      </c>
      <c r="S87" s="11">
        <v>4462713.7998853372</v>
      </c>
      <c r="T87">
        <v>-7702530.7049783319</v>
      </c>
      <c r="U87">
        <v>757259.26853263506</v>
      </c>
    </row>
    <row r="88" spans="1:21" x14ac:dyDescent="0.25">
      <c r="A88" s="6">
        <v>20150504</v>
      </c>
      <c r="B88" s="10">
        <v>2114.4899999999998</v>
      </c>
      <c r="C88" s="11">
        <v>-171835415.15069962</v>
      </c>
      <c r="D88" s="11">
        <v>1251887.9494276047</v>
      </c>
      <c r="E88" s="11">
        <v>741197684.13230586</v>
      </c>
      <c r="F88" s="11">
        <v>4559875.1551671028</v>
      </c>
      <c r="G88" s="11">
        <v>-318947797.0992012</v>
      </c>
      <c r="H88" s="11">
        <v>33975482.115771055</v>
      </c>
      <c r="I88" s="11">
        <v>-697618.07517563377</v>
      </c>
      <c r="J88" s="11">
        <v>-1253535.191379617</v>
      </c>
      <c r="K88" s="11">
        <v>-670104623.11106312</v>
      </c>
      <c r="L88" s="11">
        <v>1819.5778621213369</v>
      </c>
      <c r="M88" s="11">
        <v>2713392.6507070218</v>
      </c>
      <c r="N88" s="11">
        <v>575940354.27774799</v>
      </c>
      <c r="O88" s="11">
        <v>555330624.14499426</v>
      </c>
      <c r="P88" s="11">
        <v>46068691.154217169</v>
      </c>
      <c r="Q88" s="11">
        <v>-713628849.94433391</v>
      </c>
      <c r="R88" s="11">
        <v>23363268.197977856</v>
      </c>
      <c r="S88" s="11">
        <v>4387859.638157364</v>
      </c>
      <c r="T88">
        <v>-29892668.003123436</v>
      </c>
      <c r="U88">
        <v>533606.68605189549</v>
      </c>
    </row>
    <row r="89" spans="1:21" x14ac:dyDescent="0.25">
      <c r="A89" s="6">
        <v>20150428</v>
      </c>
      <c r="B89" s="10">
        <v>2114.7600000000002</v>
      </c>
      <c r="C89" s="11">
        <v>-280472318.60730028</v>
      </c>
      <c r="D89" s="11">
        <v>1225353.6090455055</v>
      </c>
      <c r="E89" s="11">
        <v>775563467.67861009</v>
      </c>
      <c r="F89" s="11">
        <v>4024687.2891578674</v>
      </c>
      <c r="G89" s="11">
        <v>-320372480.54320335</v>
      </c>
      <c r="H89" s="11">
        <v>74184629.133892462</v>
      </c>
      <c r="I89" s="11">
        <v>-681566.98993133102</v>
      </c>
      <c r="J89" s="11">
        <v>-1240299.0757100862</v>
      </c>
      <c r="K89" s="11">
        <v>-694243888.69863212</v>
      </c>
      <c r="L89" s="11">
        <v>1800.2551910393731</v>
      </c>
      <c r="M89" s="11">
        <v>2887828.8169980799</v>
      </c>
      <c r="N89" s="11">
        <v>474633719.80255049</v>
      </c>
      <c r="O89" s="11">
        <v>635287530.90962481</v>
      </c>
      <c r="P89" s="11">
        <v>47926208.075056776</v>
      </c>
      <c r="Q89" s="11">
        <v>-686429662.09536278</v>
      </c>
      <c r="R89" s="11">
        <v>-28664867.207126994</v>
      </c>
      <c r="S89" s="11">
        <v>4432299.3916326091</v>
      </c>
      <c r="T89">
        <v>-67007680.722809643</v>
      </c>
      <c r="U89">
        <v>-603420.90295544302</v>
      </c>
    </row>
    <row r="90" spans="1:21" x14ac:dyDescent="0.25">
      <c r="A90" s="6">
        <v>20150430</v>
      </c>
      <c r="B90" s="10">
        <v>2085.5100000000002</v>
      </c>
      <c r="C90" s="11">
        <v>-282045619.00470018</v>
      </c>
      <c r="D90" s="11">
        <v>1277289.612760067</v>
      </c>
      <c r="E90" s="11">
        <v>779065219.50207138</v>
      </c>
      <c r="F90" s="11">
        <v>4366147.5626506805</v>
      </c>
      <c r="G90" s="11">
        <v>-320372480.54320335</v>
      </c>
      <c r="H90" s="11">
        <v>1852557.587818838</v>
      </c>
      <c r="I90" s="11">
        <v>308870.98543788184</v>
      </c>
      <c r="J90" s="11">
        <v>-1268606.3692867113</v>
      </c>
      <c r="K90" s="11">
        <v>-705716475.59474206</v>
      </c>
      <c r="L90" s="11">
        <v>1429.2564050875947</v>
      </c>
      <c r="M90" s="11">
        <v>2560009.6974063851</v>
      </c>
      <c r="N90" s="11">
        <v>510581454.07625717</v>
      </c>
      <c r="O90" s="11">
        <v>637138692.23770368</v>
      </c>
      <c r="P90" s="11">
        <v>45960566.056893021</v>
      </c>
      <c r="Q90" s="11">
        <v>-716622444.85775566</v>
      </c>
      <c r="R90" s="11">
        <v>-7046641.9853582326</v>
      </c>
      <c r="S90" s="11">
        <v>4398401.3698729724</v>
      </c>
      <c r="T90">
        <v>-1514416.3168437739</v>
      </c>
      <c r="U90">
        <v>758959.11033117422</v>
      </c>
    </row>
    <row r="91" spans="1:21" x14ac:dyDescent="0.25">
      <c r="A91" s="6">
        <v>20150501</v>
      </c>
      <c r="B91" s="10">
        <v>2108.29</v>
      </c>
      <c r="C91" s="11">
        <v>-205932646.51660013</v>
      </c>
      <c r="D91" s="11">
        <v>1267554.902009964</v>
      </c>
      <c r="E91" s="11">
        <v>754303616.26245403</v>
      </c>
      <c r="F91" s="11">
        <v>4727232.0517625809</v>
      </c>
      <c r="G91" s="11">
        <v>-320372480.54320335</v>
      </c>
      <c r="H91" s="11">
        <v>67422376.380719498</v>
      </c>
      <c r="I91" s="11">
        <v>-844313.83329563821</v>
      </c>
      <c r="J91" s="11">
        <v>-1253347.3159507855</v>
      </c>
      <c r="K91" s="11">
        <v>-678013310.17129028</v>
      </c>
      <c r="L91" s="11">
        <v>1708.0371821892029</v>
      </c>
      <c r="M91" s="11">
        <v>2659965.3181530023</v>
      </c>
      <c r="N91" s="11">
        <v>553903730.07836938</v>
      </c>
      <c r="O91" s="11">
        <v>581176059.79040396</v>
      </c>
      <c r="P91" s="11">
        <v>45344237.676979706</v>
      </c>
      <c r="Q91" s="11">
        <v>-714696336.49001479</v>
      </c>
      <c r="R91" s="11">
        <v>14730655.208436167</v>
      </c>
      <c r="S91" s="11">
        <v>4363688.267546637</v>
      </c>
      <c r="T91">
        <v>-572931311.55449033</v>
      </c>
      <c r="U91">
        <v>-1207687.7116119731</v>
      </c>
    </row>
    <row r="92" spans="1:21" x14ac:dyDescent="0.25">
      <c r="A92" s="6">
        <v>20150326</v>
      </c>
      <c r="B92" s="10">
        <v>2056.15</v>
      </c>
      <c r="C92" s="11">
        <v>-364844063.17520022</v>
      </c>
      <c r="D92" s="11">
        <v>1176126.3221788406</v>
      </c>
      <c r="E92" s="11">
        <v>779875633.17281723</v>
      </c>
      <c r="F92" s="11">
        <v>3975885.4546096325</v>
      </c>
      <c r="G92" s="11">
        <v>-303852421.70519924</v>
      </c>
      <c r="H92" s="11">
        <v>61427532.526003927</v>
      </c>
      <c r="I92" s="11">
        <v>31249.858873552992</v>
      </c>
      <c r="J92" s="11">
        <v>-1194861.515286285</v>
      </c>
      <c r="K92" s="11">
        <v>-698072358.44158125</v>
      </c>
      <c r="L92" s="11">
        <v>1253.4682512489846</v>
      </c>
      <c r="M92" s="11">
        <v>3183417.6859390377</v>
      </c>
      <c r="N92" s="11">
        <v>444249833.56355304</v>
      </c>
      <c r="O92" s="11">
        <v>636888097.7425189</v>
      </c>
      <c r="P92" s="11">
        <v>57807258.319651879</v>
      </c>
      <c r="Q92" s="11">
        <v>-675360552.33739531</v>
      </c>
      <c r="R92" s="11">
        <v>-47346515.973412856</v>
      </c>
      <c r="S92" s="11">
        <v>4622362.3311359137</v>
      </c>
      <c r="T92">
        <v>-56797739.133973256</v>
      </c>
      <c r="U92">
        <v>-468817.34337403573</v>
      </c>
    </row>
    <row r="93" spans="1:21" x14ac:dyDescent="0.25">
      <c r="A93" s="6">
        <v>20150505</v>
      </c>
      <c r="B93" s="10">
        <v>2089.46</v>
      </c>
      <c r="C93" s="11">
        <v>-180822888.2579999</v>
      </c>
      <c r="D93" s="11">
        <v>1249695.1675839424</v>
      </c>
      <c r="E93" s="11">
        <v>745967625.25866914</v>
      </c>
      <c r="F93" s="11">
        <v>4948940.636490345</v>
      </c>
      <c r="G93" s="11">
        <v>-318947797.0992012</v>
      </c>
      <c r="H93" s="11">
        <v>22020943.250717912</v>
      </c>
      <c r="I93" s="11">
        <v>1231416.5968778813</v>
      </c>
      <c r="J93" s="11">
        <v>-1286617.9247838655</v>
      </c>
      <c r="K93" s="11">
        <v>-667919811.07299399</v>
      </c>
      <c r="L93" s="11">
        <v>1473.307146840998</v>
      </c>
      <c r="M93" s="11">
        <v>2465900.033973143</v>
      </c>
      <c r="N93" s="11">
        <v>602935629.90868819</v>
      </c>
      <c r="O93" s="11">
        <v>544832613.1177845</v>
      </c>
      <c r="P93" s="11">
        <v>50033772.885578893</v>
      </c>
      <c r="Q93" s="11">
        <v>-720078942.94001925</v>
      </c>
      <c r="R93" s="11">
        <v>23984247.518360473</v>
      </c>
      <c r="S93" s="11">
        <v>4553474.1887387652</v>
      </c>
      <c r="T93">
        <v>-19982038.152196612</v>
      </c>
      <c r="U93">
        <v>664712.2640460335</v>
      </c>
    </row>
    <row r="94" spans="1:21" x14ac:dyDescent="0.25"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</row>
    <row r="95" spans="1:21" x14ac:dyDescent="0.25"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</row>
    <row r="96" spans="1:21" x14ac:dyDescent="0.25"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</row>
    <row r="97" spans="3:19" x14ac:dyDescent="0.25"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</row>
    <row r="98" spans="3:19" x14ac:dyDescent="0.25"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</row>
    <row r="99" spans="3:19" x14ac:dyDescent="0.25"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</row>
    <row r="100" spans="3:19" x14ac:dyDescent="0.25"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</row>
    <row r="101" spans="3:19" x14ac:dyDescent="0.25"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</row>
    <row r="102" spans="3:19" x14ac:dyDescent="0.25"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</row>
    <row r="103" spans="3:19" x14ac:dyDescent="0.25"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</row>
    <row r="104" spans="3:19" x14ac:dyDescent="0.25"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</row>
    <row r="105" spans="3:19" x14ac:dyDescent="0.25"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</row>
    <row r="106" spans="3:19" x14ac:dyDescent="0.25"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</row>
    <row r="107" spans="3:19" x14ac:dyDescent="0.25"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</row>
    <row r="108" spans="3:19" x14ac:dyDescent="0.25"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</row>
    <row r="109" spans="3:19" x14ac:dyDescent="0.25"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</row>
    <row r="110" spans="3:19" x14ac:dyDescent="0.25"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</row>
    <row r="111" spans="3:19" x14ac:dyDescent="0.25"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</row>
    <row r="112" spans="3:19" x14ac:dyDescent="0.25"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</row>
    <row r="113" spans="3:19" x14ac:dyDescent="0.25"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</row>
    <row r="114" spans="3:19" x14ac:dyDescent="0.25"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</row>
    <row r="115" spans="3:19" x14ac:dyDescent="0.25"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</row>
    <row r="116" spans="3:19" x14ac:dyDescent="0.25"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</row>
    <row r="117" spans="3:19" x14ac:dyDescent="0.25"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</row>
    <row r="118" spans="3:19" x14ac:dyDescent="0.25"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</row>
    <row r="119" spans="3:19" x14ac:dyDescent="0.25"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</row>
    <row r="120" spans="3:19" x14ac:dyDescent="0.25"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</row>
    <row r="121" spans="3:19" x14ac:dyDescent="0.25"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</row>
    <row r="122" spans="3:19" x14ac:dyDescent="0.25"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</row>
    <row r="123" spans="3:19" x14ac:dyDescent="0.25"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</row>
    <row r="124" spans="3:19" x14ac:dyDescent="0.25"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</row>
    <row r="125" spans="3:19" x14ac:dyDescent="0.25"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</row>
    <row r="126" spans="3:19" x14ac:dyDescent="0.25"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</row>
    <row r="127" spans="3:19" x14ac:dyDescent="0.25"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</row>
    <row r="128" spans="3:19" x14ac:dyDescent="0.25"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</row>
    <row r="129" spans="3:19" x14ac:dyDescent="0.25"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</row>
    <row r="130" spans="3:19" x14ac:dyDescent="0.25"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</row>
    <row r="131" spans="3:19" x14ac:dyDescent="0.25"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</row>
    <row r="132" spans="3:19" x14ac:dyDescent="0.25"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</row>
    <row r="133" spans="3:19" x14ac:dyDescent="0.25"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</row>
    <row r="134" spans="3:19" x14ac:dyDescent="0.25"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</row>
    <row r="135" spans="3:19" x14ac:dyDescent="0.25"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</row>
    <row r="136" spans="3:19" x14ac:dyDescent="0.25"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</row>
    <row r="137" spans="3:19" x14ac:dyDescent="0.25"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</row>
    <row r="138" spans="3:19" x14ac:dyDescent="0.25"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</row>
    <row r="139" spans="3:19" x14ac:dyDescent="0.25"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</row>
    <row r="140" spans="3:19" x14ac:dyDescent="0.25"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</row>
    <row r="141" spans="3:19" x14ac:dyDescent="0.25"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</row>
    <row r="142" spans="3:19" x14ac:dyDescent="0.25"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</row>
    <row r="143" spans="3:19" x14ac:dyDescent="0.25"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</row>
    <row r="144" spans="3:19" x14ac:dyDescent="0.25"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</row>
    <row r="145" spans="3:19" x14ac:dyDescent="0.25"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</row>
    <row r="146" spans="3:19" x14ac:dyDescent="0.25"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</row>
    <row r="147" spans="3:19" x14ac:dyDescent="0.25"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</row>
    <row r="148" spans="3:19" x14ac:dyDescent="0.25"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</row>
    <row r="149" spans="3:19" x14ac:dyDescent="0.25"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</row>
    <row r="150" spans="3:19" x14ac:dyDescent="0.25"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</row>
    <row r="151" spans="3:19" x14ac:dyDescent="0.25"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</row>
    <row r="152" spans="3:19" x14ac:dyDescent="0.25"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</row>
    <row r="153" spans="3:19" x14ac:dyDescent="0.25"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</row>
    <row r="154" spans="3:19" x14ac:dyDescent="0.25"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</row>
    <row r="155" spans="3:19" x14ac:dyDescent="0.25"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</row>
    <row r="156" spans="3:19" x14ac:dyDescent="0.25"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</row>
    <row r="157" spans="3:19" x14ac:dyDescent="0.25"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</row>
    <row r="158" spans="3:19" x14ac:dyDescent="0.25"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</row>
    <row r="159" spans="3:19" x14ac:dyDescent="0.25"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</row>
    <row r="160" spans="3:19" x14ac:dyDescent="0.25"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</row>
    <row r="161" spans="3:19" x14ac:dyDescent="0.25"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</row>
    <row r="162" spans="3:19" x14ac:dyDescent="0.25"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</row>
    <row r="163" spans="3:19" x14ac:dyDescent="0.25"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</row>
    <row r="164" spans="3:19" x14ac:dyDescent="0.25"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</row>
    <row r="165" spans="3:19" x14ac:dyDescent="0.25"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</row>
    <row r="166" spans="3:19" x14ac:dyDescent="0.25"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</row>
    <row r="167" spans="3:19" x14ac:dyDescent="0.25"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</row>
    <row r="168" spans="3:19" x14ac:dyDescent="0.25"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</row>
    <row r="169" spans="3:19" x14ac:dyDescent="0.25"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</row>
    <row r="170" spans="3:19" x14ac:dyDescent="0.25"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</row>
    <row r="171" spans="3:19" x14ac:dyDescent="0.25"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</row>
    <row r="172" spans="3:19" x14ac:dyDescent="0.25"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</row>
    <row r="173" spans="3:19" x14ac:dyDescent="0.25"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</row>
    <row r="174" spans="3:19" x14ac:dyDescent="0.25"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</row>
    <row r="175" spans="3:19" x14ac:dyDescent="0.25"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</row>
    <row r="176" spans="3:19" x14ac:dyDescent="0.25"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</row>
    <row r="177" spans="3:19" x14ac:dyDescent="0.25"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</row>
    <row r="178" spans="3:19" x14ac:dyDescent="0.25"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</row>
    <row r="179" spans="3:19" x14ac:dyDescent="0.25"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</row>
    <row r="180" spans="3:19" x14ac:dyDescent="0.25"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</row>
    <row r="181" spans="3:19" x14ac:dyDescent="0.25"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</row>
    <row r="182" spans="3:19" x14ac:dyDescent="0.25"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</row>
    <row r="183" spans="3:19" x14ac:dyDescent="0.25"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</row>
    <row r="184" spans="3:19" x14ac:dyDescent="0.25"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</row>
    <row r="185" spans="3:19" x14ac:dyDescent="0.25"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</row>
    <row r="186" spans="3:19" x14ac:dyDescent="0.25"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</row>
    <row r="187" spans="3:19" x14ac:dyDescent="0.25"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</row>
    <row r="188" spans="3:19" x14ac:dyDescent="0.25"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</row>
    <row r="189" spans="3:19" x14ac:dyDescent="0.25"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</row>
    <row r="190" spans="3:19" x14ac:dyDescent="0.25"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</row>
    <row r="191" spans="3:19" x14ac:dyDescent="0.25"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</row>
    <row r="192" spans="3:19" x14ac:dyDescent="0.25"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</row>
    <row r="193" spans="3:19" x14ac:dyDescent="0.25"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</row>
    <row r="194" spans="3:19" x14ac:dyDescent="0.25"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</row>
    <row r="195" spans="3:19" x14ac:dyDescent="0.25"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</row>
    <row r="196" spans="3:19" x14ac:dyDescent="0.25"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</row>
    <row r="197" spans="3:19" x14ac:dyDescent="0.25">
      <c r="C197" s="11"/>
      <c r="D197" s="11"/>
      <c r="E197" s="11"/>
      <c r="F197" s="11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</row>
    <row r="198" spans="3:19" x14ac:dyDescent="0.25">
      <c r="C198" s="11"/>
      <c r="D198" s="11"/>
      <c r="E198" s="11"/>
      <c r="F198" s="11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</row>
    <row r="199" spans="3:19" x14ac:dyDescent="0.25">
      <c r="C199" s="11"/>
      <c r="D199" s="11"/>
      <c r="E199" s="11"/>
      <c r="F199" s="11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</row>
    <row r="200" spans="3:19" x14ac:dyDescent="0.25">
      <c r="C200" s="11"/>
      <c r="D200" s="11"/>
      <c r="E200" s="11"/>
      <c r="F200" s="11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</row>
    <row r="201" spans="3:19" x14ac:dyDescent="0.25"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</row>
    <row r="202" spans="3:19" x14ac:dyDescent="0.25">
      <c r="C202" s="11"/>
      <c r="D202" s="11"/>
      <c r="E202" s="11"/>
      <c r="F202" s="11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</row>
    <row r="203" spans="3:19" x14ac:dyDescent="0.25">
      <c r="C203" s="11"/>
      <c r="D203" s="11"/>
      <c r="E203" s="11"/>
      <c r="F203" s="11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</row>
    <row r="204" spans="3:19" x14ac:dyDescent="0.25"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</row>
    <row r="205" spans="3:19" x14ac:dyDescent="0.25">
      <c r="C205" s="11"/>
      <c r="D205" s="11"/>
      <c r="E205" s="11"/>
      <c r="F205" s="11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</row>
    <row r="206" spans="3:19" x14ac:dyDescent="0.25">
      <c r="C206" s="11"/>
      <c r="D206" s="11"/>
      <c r="E206" s="11"/>
      <c r="F206" s="11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</row>
    <row r="207" spans="3:19" x14ac:dyDescent="0.25">
      <c r="C207" s="11"/>
      <c r="D207" s="11"/>
      <c r="E207" s="11"/>
      <c r="F207" s="11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</row>
    <row r="208" spans="3:19" x14ac:dyDescent="0.25">
      <c r="C208" s="11"/>
      <c r="D208" s="11"/>
      <c r="E208" s="11"/>
      <c r="F208" s="11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</row>
    <row r="209" spans="3:19" x14ac:dyDescent="0.25">
      <c r="C209" s="11"/>
      <c r="D209" s="11"/>
      <c r="E209" s="11"/>
      <c r="F209" s="11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</row>
    <row r="210" spans="3:19" x14ac:dyDescent="0.25">
      <c r="C210" s="11"/>
      <c r="D210" s="11"/>
      <c r="E210" s="11"/>
      <c r="F210" s="11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</row>
    <row r="211" spans="3:19" x14ac:dyDescent="0.25">
      <c r="C211" s="11"/>
      <c r="D211" s="11"/>
      <c r="E211" s="11"/>
      <c r="F211" s="11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</row>
    <row r="212" spans="3:19" x14ac:dyDescent="0.25">
      <c r="C212" s="11"/>
      <c r="D212" s="11"/>
      <c r="E212" s="11"/>
      <c r="F212" s="11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</row>
    <row r="213" spans="3:19" x14ac:dyDescent="0.25">
      <c r="C213" s="11"/>
      <c r="D213" s="11"/>
      <c r="E213" s="11"/>
      <c r="F213" s="11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</row>
    <row r="214" spans="3:19" x14ac:dyDescent="0.25">
      <c r="C214" s="11"/>
      <c r="D214" s="11"/>
      <c r="E214" s="11"/>
      <c r="F214" s="11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</row>
    <row r="215" spans="3:19" x14ac:dyDescent="0.25">
      <c r="C215" s="11"/>
      <c r="D215" s="11"/>
      <c r="E215" s="11"/>
      <c r="F215" s="11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</row>
    <row r="216" spans="3:19" x14ac:dyDescent="0.25">
      <c r="C216" s="11"/>
      <c r="D216" s="11"/>
      <c r="E216" s="11"/>
      <c r="F216" s="11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</row>
    <row r="217" spans="3:19" x14ac:dyDescent="0.25">
      <c r="C217" s="11"/>
      <c r="D217" s="11"/>
      <c r="E217" s="11"/>
      <c r="F217" s="11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</row>
    <row r="218" spans="3:19" x14ac:dyDescent="0.25">
      <c r="C218" s="11"/>
      <c r="D218" s="11"/>
      <c r="E218" s="11"/>
      <c r="F218" s="11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</row>
    <row r="219" spans="3:19" x14ac:dyDescent="0.25">
      <c r="C219" s="11"/>
      <c r="D219" s="11"/>
      <c r="E219" s="11"/>
      <c r="F219" s="11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</row>
    <row r="220" spans="3:19" x14ac:dyDescent="0.25">
      <c r="C220" s="11"/>
      <c r="D220" s="11"/>
      <c r="E220" s="11"/>
      <c r="F220" s="11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</row>
    <row r="221" spans="3:19" x14ac:dyDescent="0.25"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</row>
    <row r="222" spans="3:19" x14ac:dyDescent="0.25">
      <c r="C222" s="11"/>
      <c r="D222" s="11"/>
      <c r="E222" s="11"/>
      <c r="F222" s="11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</row>
    <row r="223" spans="3:19" x14ac:dyDescent="0.25">
      <c r="C223" s="11"/>
      <c r="D223" s="11"/>
      <c r="E223" s="11"/>
      <c r="F223" s="11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</row>
    <row r="224" spans="3:19" x14ac:dyDescent="0.25"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</row>
    <row r="225" spans="3:19" x14ac:dyDescent="0.25">
      <c r="C225" s="11"/>
      <c r="D225" s="11"/>
      <c r="E225" s="11"/>
      <c r="F225" s="11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</row>
    <row r="226" spans="3:19" x14ac:dyDescent="0.25">
      <c r="C226" s="11"/>
      <c r="D226" s="11"/>
      <c r="E226" s="11"/>
      <c r="F226" s="11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</row>
    <row r="227" spans="3:19" x14ac:dyDescent="0.25">
      <c r="C227" s="11"/>
      <c r="D227" s="11"/>
      <c r="E227" s="11"/>
      <c r="F227" s="11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</row>
    <row r="228" spans="3:19" x14ac:dyDescent="0.25">
      <c r="C228" s="11"/>
      <c r="D228" s="11"/>
      <c r="E228" s="11"/>
      <c r="F228" s="11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</row>
    <row r="229" spans="3:19" x14ac:dyDescent="0.25">
      <c r="C229" s="11"/>
      <c r="D229" s="11"/>
      <c r="E229" s="11"/>
      <c r="F229" s="11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</row>
    <row r="230" spans="3:19" x14ac:dyDescent="0.25">
      <c r="C230" s="11"/>
      <c r="D230" s="11"/>
      <c r="E230" s="11"/>
      <c r="F230" s="11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</row>
    <row r="231" spans="3:19" x14ac:dyDescent="0.25">
      <c r="C231" s="11"/>
      <c r="D231" s="11"/>
      <c r="E231" s="11"/>
      <c r="F231" s="11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</row>
    <row r="232" spans="3:19" x14ac:dyDescent="0.25">
      <c r="C232" s="11"/>
      <c r="D232" s="11"/>
      <c r="E232" s="11"/>
      <c r="F232" s="11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</row>
    <row r="233" spans="3:19" x14ac:dyDescent="0.25">
      <c r="C233" s="11"/>
      <c r="D233" s="11"/>
      <c r="E233" s="11"/>
      <c r="F233" s="11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</row>
    <row r="234" spans="3:19" x14ac:dyDescent="0.25">
      <c r="C234" s="11"/>
      <c r="D234" s="11"/>
      <c r="E234" s="11"/>
      <c r="F234" s="11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</row>
    <row r="235" spans="3:19" x14ac:dyDescent="0.25">
      <c r="C235" s="11"/>
      <c r="D235" s="11"/>
      <c r="E235" s="11"/>
      <c r="F235" s="11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</row>
    <row r="236" spans="3:19" x14ac:dyDescent="0.25">
      <c r="C236" s="11"/>
      <c r="D236" s="11"/>
      <c r="E236" s="11"/>
      <c r="F236" s="11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</row>
    <row r="237" spans="3:19" x14ac:dyDescent="0.25">
      <c r="C237" s="11"/>
      <c r="D237" s="11"/>
      <c r="E237" s="11"/>
      <c r="F237" s="11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</row>
    <row r="238" spans="3:19" x14ac:dyDescent="0.25">
      <c r="C238" s="11"/>
      <c r="D238" s="11"/>
      <c r="E238" s="11"/>
      <c r="F238" s="11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</row>
    <row r="239" spans="3:19" x14ac:dyDescent="0.25">
      <c r="C239" s="11"/>
      <c r="D239" s="11"/>
      <c r="E239" s="11"/>
      <c r="F239" s="11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</row>
    <row r="240" spans="3:19" x14ac:dyDescent="0.25">
      <c r="C240" s="11"/>
      <c r="D240" s="11"/>
      <c r="E240" s="11"/>
      <c r="F240" s="11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</row>
    <row r="241" spans="3:19" x14ac:dyDescent="0.25"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</row>
    <row r="242" spans="3:19" x14ac:dyDescent="0.25">
      <c r="C242" s="11"/>
      <c r="D242" s="11"/>
      <c r="E242" s="11"/>
      <c r="F242" s="11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</row>
    <row r="243" spans="3:19" x14ac:dyDescent="0.25">
      <c r="C243" s="11"/>
      <c r="D243" s="11"/>
      <c r="E243" s="11"/>
      <c r="F243" s="11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</row>
    <row r="244" spans="3:19" x14ac:dyDescent="0.25">
      <c r="C244" s="11"/>
      <c r="D244" s="11"/>
      <c r="E244" s="11"/>
      <c r="F244" s="11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</row>
  </sheetData>
  <sortState ref="A6:A200">
    <sortCondition ref="A5"/>
  </sortState>
  <mergeCells count="4">
    <mergeCell ref="O4:S4"/>
    <mergeCell ref="C4:I4"/>
    <mergeCell ref="J4:N4"/>
    <mergeCell ref="T4:U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freshDAP_Click">
                <anchor moveWithCells="1" sizeWithCells="1">
                  <from>
                    <xdr:col>2</xdr:col>
                    <xdr:colOff>219075</xdr:colOff>
                    <xdr:row>0</xdr:row>
                    <xdr:rowOff>47625</xdr:rowOff>
                  </from>
                  <to>
                    <xdr:col>3</xdr:col>
                    <xdr:colOff>104775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ImportGreekDAP_Click">
                <anchor moveWithCells="1" sizeWithCells="1">
                  <from>
                    <xdr:col>3</xdr:col>
                    <xdr:colOff>219075</xdr:colOff>
                    <xdr:row>0</xdr:row>
                    <xdr:rowOff>47625</xdr:rowOff>
                  </from>
                  <to>
                    <xdr:col>4</xdr:col>
                    <xdr:colOff>19050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U38"/>
  <sheetViews>
    <sheetView topLeftCell="A2" workbookViewId="0">
      <selection activeCell="A6" sqref="A6"/>
    </sheetView>
  </sheetViews>
  <sheetFormatPr defaultRowHeight="15" x14ac:dyDescent="0.25"/>
  <cols>
    <col min="1" max="12" width="20.7109375" customWidth="1"/>
    <col min="13" max="13" width="23.140625" customWidth="1"/>
    <col min="14" max="14" width="20.5703125" customWidth="1"/>
    <col min="15" max="21" width="17" customWidth="1"/>
  </cols>
  <sheetData>
    <row r="1" spans="1:21" x14ac:dyDescent="0.25">
      <c r="A1" t="s">
        <v>43</v>
      </c>
      <c r="B1" s="10">
        <v>20141231</v>
      </c>
    </row>
    <row r="2" spans="1:21" x14ac:dyDescent="0.25">
      <c r="A2" t="s">
        <v>44</v>
      </c>
      <c r="B2" s="10">
        <v>20150505</v>
      </c>
    </row>
    <row r="4" spans="1:21" x14ac:dyDescent="0.25">
      <c r="B4" s="10"/>
      <c r="C4" s="41" t="s">
        <v>45</v>
      </c>
      <c r="D4" s="42"/>
      <c r="E4" s="42"/>
      <c r="F4" s="42"/>
      <c r="G4" s="42"/>
      <c r="H4" s="42"/>
      <c r="I4" s="43"/>
      <c r="J4" s="41" t="s">
        <v>77</v>
      </c>
      <c r="K4" s="42"/>
      <c r="L4" s="42"/>
      <c r="M4" s="42"/>
      <c r="N4" s="43"/>
      <c r="O4" s="41" t="s">
        <v>46</v>
      </c>
      <c r="P4" s="42"/>
      <c r="Q4" s="42"/>
      <c r="R4" s="42"/>
      <c r="S4" s="43"/>
      <c r="T4" s="41" t="s">
        <v>93</v>
      </c>
      <c r="U4" s="43"/>
    </row>
    <row r="5" spans="1:21" x14ac:dyDescent="0.25">
      <c r="A5" t="s">
        <v>47</v>
      </c>
      <c r="B5" s="10" t="s">
        <v>37</v>
      </c>
      <c r="C5" s="10" t="s">
        <v>38</v>
      </c>
      <c r="D5" s="10" t="s">
        <v>35</v>
      </c>
      <c r="E5" s="10" t="s">
        <v>8</v>
      </c>
      <c r="F5" s="10" t="s">
        <v>36</v>
      </c>
      <c r="G5" s="10" t="s">
        <v>9</v>
      </c>
      <c r="H5" s="10" t="s">
        <v>49</v>
      </c>
      <c r="I5" s="10" t="s">
        <v>48</v>
      </c>
      <c r="J5" s="10" t="s">
        <v>73</v>
      </c>
      <c r="K5" s="10" t="s">
        <v>74</v>
      </c>
      <c r="L5" s="10" t="s">
        <v>75</v>
      </c>
      <c r="M5" s="10" t="s">
        <v>76</v>
      </c>
      <c r="N5" s="10" t="s">
        <v>29</v>
      </c>
      <c r="O5" s="10" t="s">
        <v>39</v>
      </c>
      <c r="P5" s="10" t="s">
        <v>40</v>
      </c>
      <c r="Q5" s="10" t="s">
        <v>10</v>
      </c>
      <c r="R5" s="10" t="s">
        <v>28</v>
      </c>
      <c r="S5" s="10" t="s">
        <v>30</v>
      </c>
      <c r="T5" s="10" t="s">
        <v>94</v>
      </c>
      <c r="U5" s="10" t="s">
        <v>95</v>
      </c>
    </row>
    <row r="6" spans="1:21" x14ac:dyDescent="0.25">
      <c r="A6" s="6">
        <v>20150210</v>
      </c>
      <c r="B6" s="10">
        <v>2068.59</v>
      </c>
      <c r="C6" s="11">
        <v>-410486640.79480004</v>
      </c>
      <c r="D6" s="11">
        <v>330534.65336060524</v>
      </c>
      <c r="E6" s="11">
        <v>191364665.46628505</v>
      </c>
      <c r="F6" s="11">
        <v>-7522070.9274308681</v>
      </c>
      <c r="G6" s="11">
        <v>-71885369.944799811</v>
      </c>
      <c r="H6" s="11">
        <v>33789964.397682421</v>
      </c>
      <c r="I6" s="11">
        <v>-1506883.0139339508</v>
      </c>
      <c r="J6" s="11">
        <v>-334593.32205277967</v>
      </c>
      <c r="K6" s="11">
        <v>-144210589.0093767</v>
      </c>
      <c r="L6" s="11">
        <v>323.68005825588881</v>
      </c>
      <c r="M6" s="11">
        <v>1562176.6329828822</v>
      </c>
      <c r="N6" s="11">
        <v>20186939.745284442</v>
      </c>
      <c r="O6" s="11">
        <v>67746385.326874062</v>
      </c>
      <c r="P6" s="11">
        <v>0</v>
      </c>
      <c r="Q6" s="11">
        <v>-142816096.92764649</v>
      </c>
      <c r="R6" s="11">
        <v>0</v>
      </c>
      <c r="S6" s="11">
        <v>0</v>
      </c>
      <c r="T6" s="19">
        <v>-24258094.984833933</v>
      </c>
      <c r="U6" s="19">
        <v>1189498.7110311168</v>
      </c>
    </row>
    <row r="7" spans="1:21" x14ac:dyDescent="0.25">
      <c r="A7" s="6">
        <v>20141231</v>
      </c>
      <c r="B7" s="10">
        <v>2058.9</v>
      </c>
      <c r="C7" s="10">
        <v>-395179568.36949998</v>
      </c>
      <c r="D7" s="10">
        <v>329701.59928524494</v>
      </c>
      <c r="E7" s="10">
        <v>188604438.8307519</v>
      </c>
      <c r="F7" s="10">
        <v>-7638918.6103210449</v>
      </c>
      <c r="G7" s="10">
        <v>-64364396.834800184</v>
      </c>
      <c r="H7" s="11">
        <v>-14266117.090922253</v>
      </c>
      <c r="I7" s="11">
        <v>-5296153.3490116624</v>
      </c>
      <c r="J7" s="10">
        <v>-322408.90247237921</v>
      </c>
      <c r="K7" s="10">
        <v>-115330859.78835799</v>
      </c>
      <c r="L7" s="10">
        <v>416.98213068023148</v>
      </c>
      <c r="M7" s="10">
        <v>2173972.8770062821</v>
      </c>
      <c r="N7" s="10">
        <v>16564699.404482508</v>
      </c>
      <c r="O7">
        <v>33845081.86543005</v>
      </c>
      <c r="P7">
        <v>0</v>
      </c>
      <c r="Q7">
        <v>-113154242.58005422</v>
      </c>
      <c r="R7">
        <v>0</v>
      </c>
      <c r="S7">
        <v>0</v>
      </c>
      <c r="T7">
        <v>9608348.4468708392</v>
      </c>
      <c r="U7">
        <v>2066693.6070621999</v>
      </c>
    </row>
    <row r="8" spans="1:21" x14ac:dyDescent="0.25">
      <c r="A8" s="6">
        <v>20150106</v>
      </c>
      <c r="B8" s="10">
        <v>2002.61</v>
      </c>
      <c r="C8" s="10">
        <v>-466580742.4697001</v>
      </c>
      <c r="D8" s="10">
        <v>375606.63115751743</v>
      </c>
      <c r="E8" s="10">
        <v>203879938.92942595</v>
      </c>
      <c r="F8" s="10">
        <v>-8076926.7805691957</v>
      </c>
      <c r="G8" s="10">
        <v>-64368353.403600276</v>
      </c>
      <c r="H8" s="11">
        <v>-45698188.450338297</v>
      </c>
      <c r="I8" s="11">
        <v>-6282696.6860611578</v>
      </c>
      <c r="J8" s="10">
        <v>-351228.54552883608</v>
      </c>
      <c r="K8" s="10">
        <v>-119812082.11534323</v>
      </c>
      <c r="L8" s="10">
        <v>532.52544381749271</v>
      </c>
      <c r="M8" s="10">
        <v>2430770.0051700864</v>
      </c>
      <c r="N8" s="10">
        <v>17925406.211461637</v>
      </c>
      <c r="O8">
        <v>65217534.437832862</v>
      </c>
      <c r="P8">
        <v>0</v>
      </c>
      <c r="Q8">
        <v>-121752140.23856173</v>
      </c>
      <c r="R8">
        <v>0</v>
      </c>
      <c r="S8">
        <v>0</v>
      </c>
      <c r="T8">
        <v>29136732.355469134</v>
      </c>
      <c r="U8">
        <v>43666.705158064913</v>
      </c>
    </row>
    <row r="9" spans="1:21" x14ac:dyDescent="0.25">
      <c r="A9" s="6">
        <v>20150109</v>
      </c>
      <c r="B9" s="10">
        <v>2044.81</v>
      </c>
      <c r="C9" s="10">
        <v>-443847190.12420011</v>
      </c>
      <c r="D9" s="10">
        <v>354886.04096341133</v>
      </c>
      <c r="E9" s="10">
        <v>199984422.71373945</v>
      </c>
      <c r="F9" s="10">
        <v>-7838185.0965031292</v>
      </c>
      <c r="G9" s="10">
        <v>-64368353.403600276</v>
      </c>
      <c r="H9" s="11">
        <v>3833058.4780731569</v>
      </c>
      <c r="I9" s="11">
        <v>6019577.0029889215</v>
      </c>
      <c r="J9" s="10">
        <v>-350554.11219939188</v>
      </c>
      <c r="K9" s="10">
        <v>-123403715.42894411</v>
      </c>
      <c r="L9" s="10">
        <v>428.1330165490017</v>
      </c>
      <c r="M9" s="10">
        <v>2068437.5249086195</v>
      </c>
      <c r="N9" s="10">
        <v>17795861.764982082</v>
      </c>
      <c r="O9">
        <v>62990539.89918372</v>
      </c>
      <c r="P9">
        <v>0</v>
      </c>
      <c r="Q9">
        <v>-121282632.93997973</v>
      </c>
      <c r="R9">
        <v>0</v>
      </c>
      <c r="S9">
        <v>0</v>
      </c>
      <c r="T9">
        <v>-2191728.0854185661</v>
      </c>
      <c r="U9">
        <v>-910307.35243010067</v>
      </c>
    </row>
    <row r="10" spans="1:21" x14ac:dyDescent="0.25">
      <c r="A10" s="6">
        <v>20150114</v>
      </c>
      <c r="B10" s="10">
        <v>2011.27</v>
      </c>
      <c r="C10" s="10">
        <v>-475220644.31970006</v>
      </c>
      <c r="D10" s="10">
        <v>379208.81919240952</v>
      </c>
      <c r="E10" s="10">
        <v>206329889.6877265</v>
      </c>
      <c r="F10" s="10">
        <v>-8032298.2312084436</v>
      </c>
      <c r="G10" s="10">
        <v>-64368353.403600276</v>
      </c>
      <c r="H10" s="11">
        <v>-18474567.777870383</v>
      </c>
      <c r="I10" s="11">
        <v>-5108805.8919265401</v>
      </c>
      <c r="J10" s="10">
        <v>-373720.14491795248</v>
      </c>
      <c r="K10" s="10">
        <v>-125037422.17280143</v>
      </c>
      <c r="L10" s="10">
        <v>506.89119485461703</v>
      </c>
      <c r="M10" s="10">
        <v>2276291.2033003359</v>
      </c>
      <c r="N10" s="10">
        <v>18596138.317135602</v>
      </c>
      <c r="O10">
        <v>77571065.655470327</v>
      </c>
      <c r="P10">
        <v>0</v>
      </c>
      <c r="Q10">
        <v>-127278472.00686307</v>
      </c>
      <c r="R10">
        <v>0</v>
      </c>
      <c r="S10">
        <v>0</v>
      </c>
      <c r="T10">
        <v>11795332.368541896</v>
      </c>
      <c r="U10">
        <v>1714888.1413492924</v>
      </c>
    </row>
    <row r="11" spans="1:21" x14ac:dyDescent="0.25">
      <c r="A11" s="6">
        <v>20150120</v>
      </c>
      <c r="B11" s="10">
        <v>2022.55</v>
      </c>
      <c r="C11" s="10">
        <v>-479449720.11479998</v>
      </c>
      <c r="D11" s="10">
        <v>379846.96301877499</v>
      </c>
      <c r="E11" s="10">
        <v>207497565.42911118</v>
      </c>
      <c r="F11" s="10">
        <v>-7910050.6983578205</v>
      </c>
      <c r="G11" s="10">
        <v>-64368353.403600276</v>
      </c>
      <c r="H11" s="11">
        <v>-13157397.342374496</v>
      </c>
      <c r="I11" s="11">
        <v>4325956.4515687674</v>
      </c>
      <c r="J11" s="10">
        <v>-368151.51842370373</v>
      </c>
      <c r="K11" s="10">
        <v>-130659206.09503219</v>
      </c>
      <c r="L11" s="10">
        <v>472.1727378531757</v>
      </c>
      <c r="M11" s="10">
        <v>2084777.4250531483</v>
      </c>
      <c r="N11" s="10">
        <v>18826631.045252252</v>
      </c>
      <c r="O11">
        <v>86308209.149956569</v>
      </c>
      <c r="P11">
        <v>0</v>
      </c>
      <c r="Q11">
        <v>-128672863.61804835</v>
      </c>
      <c r="R11">
        <v>0</v>
      </c>
      <c r="S11">
        <v>0</v>
      </c>
      <c r="T11">
        <v>8718890.993028935</v>
      </c>
      <c r="U11">
        <v>-436683.66226314887</v>
      </c>
    </row>
    <row r="12" spans="1:21" x14ac:dyDescent="0.25">
      <c r="A12" s="6">
        <v>20150123</v>
      </c>
      <c r="B12" s="10">
        <v>2051.8200000000002</v>
      </c>
      <c r="C12" s="10">
        <v>-459638846.49930006</v>
      </c>
      <c r="D12" s="10">
        <v>359916.47290062904</v>
      </c>
      <c r="E12" s="10">
        <v>203532298.3231889</v>
      </c>
      <c r="F12" s="10">
        <v>-7681313.7428757548</v>
      </c>
      <c r="G12" s="10">
        <v>-64368353.403600276</v>
      </c>
      <c r="H12" s="11">
        <v>2451967.4815382985</v>
      </c>
      <c r="I12" s="11">
        <v>5482481.005648816</v>
      </c>
      <c r="J12" s="10">
        <v>-360849.21511899261</v>
      </c>
      <c r="K12" s="10">
        <v>-130470982.67408425</v>
      </c>
      <c r="L12" s="10">
        <v>387.08690034645718</v>
      </c>
      <c r="M12" s="10">
        <v>1792699.3642832169</v>
      </c>
      <c r="N12" s="10">
        <v>18820431.231335547</v>
      </c>
      <c r="O12">
        <v>85027186.854297683</v>
      </c>
      <c r="P12">
        <v>0</v>
      </c>
      <c r="Q12">
        <v>-128648721.82223748</v>
      </c>
      <c r="R12">
        <v>0</v>
      </c>
      <c r="S12">
        <v>0</v>
      </c>
      <c r="T12">
        <v>-1291663.7301347144</v>
      </c>
      <c r="U12">
        <v>-1122532.7198730221</v>
      </c>
    </row>
    <row r="13" spans="1:21" x14ac:dyDescent="0.25">
      <c r="A13" s="6">
        <v>20150128</v>
      </c>
      <c r="B13" s="10">
        <v>2002.16</v>
      </c>
      <c r="C13" s="10">
        <v>-499719667.86329997</v>
      </c>
      <c r="D13" s="10">
        <v>399744.76591849327</v>
      </c>
      <c r="E13" s="10">
        <v>211125577.04058975</v>
      </c>
      <c r="F13" s="10">
        <v>-7969362.7110834122</v>
      </c>
      <c r="G13" s="10">
        <v>-64368353.403600276</v>
      </c>
      <c r="H13" s="11">
        <v>-16131161.920857813</v>
      </c>
      <c r="I13" s="11">
        <v>-7078118.546052278</v>
      </c>
      <c r="J13" s="10">
        <v>-385506.07791286032</v>
      </c>
      <c r="K13" s="10">
        <v>-132116294.11556822</v>
      </c>
      <c r="L13" s="10">
        <v>511.93681368200617</v>
      </c>
      <c r="M13" s="10">
        <v>2094332.9712658366</v>
      </c>
      <c r="N13" s="10">
        <v>19079186.66462329</v>
      </c>
      <c r="O13">
        <v>95750300.214738518</v>
      </c>
      <c r="P13">
        <v>0</v>
      </c>
      <c r="Q13">
        <v>-130206646.19609866</v>
      </c>
      <c r="R13">
        <v>0</v>
      </c>
      <c r="S13">
        <v>0</v>
      </c>
      <c r="T13">
        <v>10738669.072110338</v>
      </c>
      <c r="U13">
        <v>1549397.3347651737</v>
      </c>
    </row>
    <row r="14" spans="1:21" x14ac:dyDescent="0.25">
      <c r="A14" s="6">
        <v>20150130</v>
      </c>
      <c r="B14" s="10">
        <v>1994.99</v>
      </c>
      <c r="C14" s="10">
        <v>-516651358.43480003</v>
      </c>
      <c r="D14" s="10">
        <v>407783.92520391941</v>
      </c>
      <c r="E14" s="10">
        <v>214728517.6904667</v>
      </c>
      <c r="F14" s="10">
        <v>-8091777.3853693008</v>
      </c>
      <c r="G14" s="10">
        <v>-64368353.403600276</v>
      </c>
      <c r="H14" s="11">
        <v>-15607650.863015192</v>
      </c>
      <c r="I14" s="11">
        <v>-1664833.3566624734</v>
      </c>
      <c r="J14" s="10">
        <v>-402841.22333188099</v>
      </c>
      <c r="K14" s="10">
        <v>-133506056.73659299</v>
      </c>
      <c r="L14" s="10">
        <v>531.20830763189508</v>
      </c>
      <c r="M14" s="10">
        <v>2115118.2548745731</v>
      </c>
      <c r="N14" s="10">
        <v>20407167.736387268</v>
      </c>
      <c r="O14">
        <v>113828654.14757302</v>
      </c>
      <c r="P14">
        <v>0</v>
      </c>
      <c r="Q14">
        <v>-141506260.19664606</v>
      </c>
      <c r="R14">
        <v>0</v>
      </c>
      <c r="S14">
        <v>0</v>
      </c>
      <c r="T14">
        <v>9881359.6444702893</v>
      </c>
      <c r="U14">
        <v>252012.47023762937</v>
      </c>
    </row>
    <row r="15" spans="1:21" x14ac:dyDescent="0.25">
      <c r="A15" s="6">
        <v>20150317</v>
      </c>
      <c r="B15" s="10">
        <v>2074.2800000000002</v>
      </c>
      <c r="C15" s="10">
        <v>-407632678.78530002</v>
      </c>
      <c r="D15" s="10">
        <v>338759.40785384178</v>
      </c>
      <c r="E15" s="10">
        <v>189982704.04019743</v>
      </c>
      <c r="F15" s="10">
        <v>-7128543.4193996787</v>
      </c>
      <c r="G15" s="10">
        <v>-65401009.642400235</v>
      </c>
      <c r="H15" s="11">
        <v>-15879977.606064012</v>
      </c>
      <c r="I15" s="11">
        <v>-181666.68642731089</v>
      </c>
      <c r="J15" s="10">
        <v>-337462.22718205984</v>
      </c>
      <c r="K15" s="10">
        <v>-181206434.97367209</v>
      </c>
      <c r="L15" s="10">
        <v>161.61789767673051</v>
      </c>
      <c r="M15" s="10">
        <v>975744.98512369033</v>
      </c>
      <c r="N15" s="10">
        <v>26269734.644093249</v>
      </c>
      <c r="O15">
        <v>91271034.075621352</v>
      </c>
      <c r="P15">
        <v>0</v>
      </c>
      <c r="Q15">
        <v>-180999717.43195114</v>
      </c>
      <c r="R15">
        <v>0</v>
      </c>
      <c r="S15">
        <v>0</v>
      </c>
      <c r="T15">
        <v>15643268.143513177</v>
      </c>
      <c r="U15">
        <v>420743.63655148953</v>
      </c>
    </row>
    <row r="16" spans="1:21" x14ac:dyDescent="0.25">
      <c r="A16" s="6">
        <v>20150202</v>
      </c>
      <c r="B16" s="10">
        <v>2020.85</v>
      </c>
      <c r="C16" s="10">
        <v>-499156297.78380001</v>
      </c>
      <c r="D16" s="10">
        <v>382035.66516673565</v>
      </c>
      <c r="E16" s="10">
        <v>211186531.4244169</v>
      </c>
      <c r="F16" s="10">
        <v>-7976563.1391843557</v>
      </c>
      <c r="G16" s="10">
        <v>-64368353.403600276</v>
      </c>
      <c r="H16" s="11">
        <v>-1532566.7347237419</v>
      </c>
      <c r="I16" s="11">
        <v>3792590.2852501757</v>
      </c>
      <c r="J16" s="10">
        <v>-391180.12051256496</v>
      </c>
      <c r="K16" s="10">
        <v>-142864865.38846424</v>
      </c>
      <c r="L16" s="10">
        <v>452.3528249606581</v>
      </c>
      <c r="M16" s="10">
        <v>1887751.2313040826</v>
      </c>
      <c r="N16" s="10">
        <v>21492384.994408883</v>
      </c>
      <c r="O16">
        <v>115794871.52679549</v>
      </c>
      <c r="P16">
        <v>0</v>
      </c>
      <c r="Q16">
        <v>-149581708.33567196</v>
      </c>
      <c r="R16">
        <v>0</v>
      </c>
      <c r="S16">
        <v>0</v>
      </c>
      <c r="T16">
        <v>-2417272.4269097592</v>
      </c>
      <c r="U16">
        <v>-40061.794746297819</v>
      </c>
    </row>
    <row r="17" spans="1:21" x14ac:dyDescent="0.25">
      <c r="A17" s="6">
        <v>20150205</v>
      </c>
      <c r="B17" s="10">
        <v>2062.52</v>
      </c>
      <c r="C17" s="10">
        <v>-439352322.82599998</v>
      </c>
      <c r="D17" s="10">
        <v>337853.72631525993</v>
      </c>
      <c r="E17" s="10">
        <v>198793663.71804732</v>
      </c>
      <c r="F17" s="10">
        <v>-7672904.3696488738</v>
      </c>
      <c r="G17" s="10">
        <v>-71885369.944799811</v>
      </c>
      <c r="H17" s="11">
        <v>29618114.578680363</v>
      </c>
      <c r="I17" s="11">
        <v>4839229.621565612</v>
      </c>
      <c r="J17" s="10">
        <v>-363983.12506274646</v>
      </c>
      <c r="K17" s="10">
        <v>-147570703.82587162</v>
      </c>
      <c r="L17" s="10">
        <v>344.14763653678301</v>
      </c>
      <c r="M17" s="10">
        <v>1616759.2906206297</v>
      </c>
      <c r="N17" s="10">
        <v>20785469.426091366</v>
      </c>
      <c r="O17">
        <v>91933072.002417862</v>
      </c>
      <c r="P17">
        <v>0</v>
      </c>
      <c r="Q17">
        <v>-146017242.98793936</v>
      </c>
      <c r="R17">
        <v>0</v>
      </c>
      <c r="S17">
        <v>0</v>
      </c>
      <c r="T17">
        <v>-23911507.086965978</v>
      </c>
      <c r="U17">
        <v>279090.61877080816</v>
      </c>
    </row>
    <row r="18" spans="1:21" x14ac:dyDescent="0.25">
      <c r="A18">
        <v>20150320</v>
      </c>
      <c r="B18">
        <v>2108.1</v>
      </c>
      <c r="C18">
        <v>-415388119.07490003</v>
      </c>
      <c r="D18">
        <v>322178.81125748158</v>
      </c>
      <c r="E18">
        <v>192565088.21639889</v>
      </c>
      <c r="F18">
        <v>-7249847.5006922483</v>
      </c>
      <c r="G18">
        <v>-65401009.642400235</v>
      </c>
      <c r="H18">
        <v>-24133290.644995026</v>
      </c>
      <c r="I18">
        <v>2310837.3812617017</v>
      </c>
      <c r="J18">
        <v>-355789.05496226141</v>
      </c>
      <c r="K18">
        <v>-186515324.72703373</v>
      </c>
      <c r="L18">
        <v>222.57742097157325</v>
      </c>
      <c r="M18">
        <v>1379065.0137227504</v>
      </c>
      <c r="N18">
        <v>26810267.56303883</v>
      </c>
      <c r="O18">
        <v>96073070.65186736</v>
      </c>
      <c r="P18">
        <v>0</v>
      </c>
      <c r="Q18">
        <v>-183976121.12813041</v>
      </c>
      <c r="R18">
        <v>0</v>
      </c>
      <c r="S18">
        <v>0</v>
      </c>
      <c r="T18">
        <v>23527457.800020032</v>
      </c>
      <c r="U18">
        <v>-189516.20120533646</v>
      </c>
    </row>
    <row r="19" spans="1:21" x14ac:dyDescent="0.25">
      <c r="A19">
        <v>20150213</v>
      </c>
      <c r="B19">
        <v>2096.9899999999998</v>
      </c>
      <c r="C19">
        <v>-387053441.7647</v>
      </c>
      <c r="D19">
        <v>313010.87835764885</v>
      </c>
      <c r="E19">
        <v>186321788.51338547</v>
      </c>
      <c r="F19">
        <v>-7301527.044957757</v>
      </c>
      <c r="G19">
        <v>-71885369.944799811</v>
      </c>
      <c r="H19">
        <v>9019221.3892658018</v>
      </c>
      <c r="I19">
        <v>4660902.7446700102</v>
      </c>
      <c r="J19">
        <v>-317385.31312913058</v>
      </c>
      <c r="K19">
        <v>-142981352.70847684</v>
      </c>
      <c r="L19">
        <v>246.51245450856399</v>
      </c>
      <c r="M19">
        <v>1316682.1012350142</v>
      </c>
      <c r="N19">
        <v>19485391.013592742</v>
      </c>
      <c r="O19">
        <v>59402387.387840331</v>
      </c>
      <c r="P19">
        <v>0</v>
      </c>
      <c r="Q19">
        <v>-135988158.15972909</v>
      </c>
      <c r="R19">
        <v>0</v>
      </c>
      <c r="S19">
        <v>0</v>
      </c>
      <c r="T19">
        <v>-6357285.7791680647</v>
      </c>
      <c r="U19">
        <v>-1045626.8719780524</v>
      </c>
    </row>
    <row r="20" spans="1:21" x14ac:dyDescent="0.25">
      <c r="A20">
        <v>20150219</v>
      </c>
      <c r="B20">
        <v>2097.4499999999998</v>
      </c>
      <c r="C20">
        <v>-373991252.68939996</v>
      </c>
      <c r="D20">
        <v>313441.78003787994</v>
      </c>
      <c r="E20">
        <v>182749407.63597357</v>
      </c>
      <c r="F20">
        <v>-7214156.5131388903</v>
      </c>
      <c r="G20">
        <v>-71885369.944799811</v>
      </c>
      <c r="H20">
        <v>14228356.826527294</v>
      </c>
      <c r="I20">
        <v>-467662.21421775362</v>
      </c>
      <c r="J20">
        <v>-311287.89308013779</v>
      </c>
      <c r="K20">
        <v>-135513867.91776294</v>
      </c>
      <c r="L20">
        <v>231.27685476216723</v>
      </c>
      <c r="M20">
        <v>1262030.3466138132</v>
      </c>
      <c r="N20">
        <v>19747827.250024781</v>
      </c>
      <c r="O20">
        <v>51883735.624646813</v>
      </c>
      <c r="P20">
        <v>0</v>
      </c>
      <c r="Q20">
        <v>-142029664.77871829</v>
      </c>
      <c r="R20">
        <v>0</v>
      </c>
      <c r="S20">
        <v>0</v>
      </c>
      <c r="T20">
        <v>-9758228.4642956331</v>
      </c>
      <c r="U20">
        <v>550999.85336990678</v>
      </c>
    </row>
    <row r="21" spans="1:21" x14ac:dyDescent="0.25">
      <c r="A21">
        <v>20150224</v>
      </c>
      <c r="B21">
        <v>2115.48</v>
      </c>
      <c r="C21">
        <v>-395594754.58210003</v>
      </c>
      <c r="D21">
        <v>315037.06714248657</v>
      </c>
      <c r="E21">
        <v>189110973.69111902</v>
      </c>
      <c r="F21">
        <v>-7242151.0811566114</v>
      </c>
      <c r="G21">
        <v>-71885369.944799811</v>
      </c>
      <c r="H21">
        <v>-24681683.695515845</v>
      </c>
      <c r="I21">
        <v>4594538.0122800833</v>
      </c>
      <c r="J21">
        <v>-305858.11063030985</v>
      </c>
      <c r="K21">
        <v>-145739687.47358671</v>
      </c>
      <c r="L21">
        <v>184.06487847856562</v>
      </c>
      <c r="M21">
        <v>1098164.5985876138</v>
      </c>
      <c r="N21">
        <v>22439185.339863587</v>
      </c>
      <c r="O21">
        <v>78821362.137894973</v>
      </c>
      <c r="P21">
        <v>0</v>
      </c>
      <c r="Q21">
        <v>-157857785.01367971</v>
      </c>
      <c r="R21">
        <v>0</v>
      </c>
      <c r="S21">
        <v>0</v>
      </c>
      <c r="T21">
        <v>19806088.971510265</v>
      </c>
      <c r="U21">
        <v>-419214.92049110192</v>
      </c>
    </row>
    <row r="22" spans="1:21" x14ac:dyDescent="0.25">
      <c r="A22">
        <v>20150227</v>
      </c>
      <c r="B22">
        <v>2104.5</v>
      </c>
      <c r="C22">
        <v>-396758333.79970002</v>
      </c>
      <c r="D22">
        <v>323241.99440729618</v>
      </c>
      <c r="E22">
        <v>189002779.31197172</v>
      </c>
      <c r="F22">
        <v>-7196633.8444626927</v>
      </c>
      <c r="G22">
        <v>-71885369.944799811</v>
      </c>
      <c r="H22">
        <v>123358.5254286751</v>
      </c>
      <c r="I22">
        <v>-250048.66370306237</v>
      </c>
      <c r="J22">
        <v>-314862.69438133796</v>
      </c>
      <c r="K22">
        <v>-158933477.80611414</v>
      </c>
      <c r="L22">
        <v>181.29248443591717</v>
      </c>
      <c r="M22">
        <v>1082974.6342239042</v>
      </c>
      <c r="N22">
        <v>22469784.380342711</v>
      </c>
      <c r="O22">
        <v>78997320.289377227</v>
      </c>
      <c r="P22">
        <v>0</v>
      </c>
      <c r="Q22">
        <v>-158047681.40031102</v>
      </c>
      <c r="R22">
        <v>0</v>
      </c>
      <c r="S22">
        <v>0</v>
      </c>
      <c r="T22">
        <v>164274.56855677953</v>
      </c>
      <c r="U22">
        <v>-187089.91507376739</v>
      </c>
    </row>
    <row r="23" spans="1:21" x14ac:dyDescent="0.25">
      <c r="A23">
        <v>20150304</v>
      </c>
      <c r="B23">
        <v>2098.5300000000002</v>
      </c>
      <c r="C23">
        <v>-377535869.57940006</v>
      </c>
      <c r="D23">
        <v>324264.10891544819</v>
      </c>
      <c r="E23">
        <v>183890237.93496019</v>
      </c>
      <c r="F23">
        <v>-6965405.0811911821</v>
      </c>
      <c r="G23">
        <v>-65401009.642400235</v>
      </c>
      <c r="H23">
        <v>26926104.597575258</v>
      </c>
      <c r="I23">
        <v>116690.76128230469</v>
      </c>
      <c r="J23">
        <v>-321708.95905533078</v>
      </c>
      <c r="K23">
        <v>-156143300.47017449</v>
      </c>
      <c r="L23">
        <v>164.85183300292707</v>
      </c>
      <c r="M23">
        <v>1045888.6007860523</v>
      </c>
      <c r="N23">
        <v>25576293.9023102</v>
      </c>
      <c r="O23">
        <v>70424867.816486835</v>
      </c>
      <c r="P23">
        <v>0</v>
      </c>
      <c r="Q23">
        <v>-175728754.62503812</v>
      </c>
      <c r="R23">
        <v>0</v>
      </c>
      <c r="S23">
        <v>0</v>
      </c>
      <c r="T23">
        <v>-18127934.519127559</v>
      </c>
      <c r="U23">
        <v>97688.080458658442</v>
      </c>
    </row>
    <row r="24" spans="1:21" x14ac:dyDescent="0.25">
      <c r="A24">
        <v>20150309</v>
      </c>
      <c r="B24">
        <v>2079.4299999999998</v>
      </c>
      <c r="C24">
        <v>-374841988.11880004</v>
      </c>
      <c r="D24">
        <v>331750.61603665352</v>
      </c>
      <c r="E24">
        <v>182407585.78715885</v>
      </c>
      <c r="F24">
        <v>-6959801.9567221403</v>
      </c>
      <c r="G24">
        <v>-65401009.642400235</v>
      </c>
      <c r="H24">
        <v>11601154.634627797</v>
      </c>
      <c r="I24">
        <v>-1089903.5472066132</v>
      </c>
      <c r="J24">
        <v>-324521.12792242772</v>
      </c>
      <c r="K24">
        <v>-174905007.70896384</v>
      </c>
      <c r="L24">
        <v>168.31663190828962</v>
      </c>
      <c r="M24">
        <v>1028810.4041032008</v>
      </c>
      <c r="N24">
        <v>25239814.990019213</v>
      </c>
      <c r="O24">
        <v>60073715.798902854</v>
      </c>
      <c r="P24">
        <v>0</v>
      </c>
      <c r="Q24">
        <v>-174195600.01494712</v>
      </c>
      <c r="R24">
        <v>0</v>
      </c>
      <c r="S24">
        <v>0</v>
      </c>
      <c r="T24">
        <v>-10373007.970251163</v>
      </c>
      <c r="U24">
        <v>-306543.32120271359</v>
      </c>
    </row>
    <row r="25" spans="1:21" x14ac:dyDescent="0.25">
      <c r="A25">
        <v>20150325</v>
      </c>
      <c r="B25">
        <v>2061.0500000000002</v>
      </c>
      <c r="C25">
        <v>-436345183.24509996</v>
      </c>
      <c r="D25">
        <v>357058.69081354141</v>
      </c>
      <c r="E25">
        <v>195990736.14344382</v>
      </c>
      <c r="F25">
        <v>-7359024.3447467685</v>
      </c>
      <c r="G25">
        <v>-65401009.642400235</v>
      </c>
      <c r="H25">
        <v>-1211000.5129976668</v>
      </c>
      <c r="I25">
        <v>-5049392.8372860374</v>
      </c>
      <c r="J25">
        <v>-332127.40671098401</v>
      </c>
      <c r="K25">
        <v>-186287350.32333729</v>
      </c>
      <c r="L25">
        <v>265.72546358834018</v>
      </c>
      <c r="M25">
        <v>1513487.2294988716</v>
      </c>
      <c r="N25">
        <v>26959946.456230342</v>
      </c>
      <c r="O25">
        <v>99088313.7606581</v>
      </c>
      <c r="P25">
        <v>0</v>
      </c>
      <c r="Q25">
        <v>-186509808.97987041</v>
      </c>
      <c r="R25">
        <v>0</v>
      </c>
      <c r="S25">
        <v>0</v>
      </c>
      <c r="T25">
        <v>1607569.3398536087</v>
      </c>
      <c r="U25">
        <v>-29881.600823431028</v>
      </c>
    </row>
    <row r="26" spans="1:21" x14ac:dyDescent="0.25">
      <c r="A26">
        <v>20150312</v>
      </c>
      <c r="B26">
        <v>2065.9499999999998</v>
      </c>
      <c r="C26">
        <v>-393760581.49730003</v>
      </c>
      <c r="D26">
        <v>339126.73276877403</v>
      </c>
      <c r="E26">
        <v>186681931.60149854</v>
      </c>
      <c r="F26">
        <v>-7052146.4600118399</v>
      </c>
      <c r="G26">
        <v>-65401009.642400235</v>
      </c>
      <c r="H26">
        <v>-15065983.429175533</v>
      </c>
      <c r="I26">
        <v>-1337804.9268350883</v>
      </c>
      <c r="J26">
        <v>-331646.9187232249</v>
      </c>
      <c r="K26">
        <v>-178797367.49378583</v>
      </c>
      <c r="L26">
        <v>171.16115736623701</v>
      </c>
      <c r="M26">
        <v>1028282.5835721225</v>
      </c>
      <c r="N26">
        <v>25689227.657637965</v>
      </c>
      <c r="O26">
        <v>74797944.761193633</v>
      </c>
      <c r="P26">
        <v>0</v>
      </c>
      <c r="Q26">
        <v>-176582439.32465905</v>
      </c>
      <c r="R26">
        <v>0</v>
      </c>
      <c r="S26">
        <v>0</v>
      </c>
      <c r="T26">
        <v>14728383.965076942</v>
      </c>
      <c r="U26">
        <v>-134600.8580547196</v>
      </c>
    </row>
    <row r="27" spans="1:21" x14ac:dyDescent="0.25">
      <c r="A27">
        <v>20150330</v>
      </c>
      <c r="B27">
        <v>2086.2399999999998</v>
      </c>
      <c r="C27">
        <v>-399239590.07620001</v>
      </c>
      <c r="D27">
        <v>332542.17299818993</v>
      </c>
      <c r="E27">
        <v>186134043.81951106</v>
      </c>
      <c r="F27">
        <v>-7078247.6277024746</v>
      </c>
      <c r="G27">
        <v>-65401009.642400235</v>
      </c>
      <c r="H27">
        <v>-624759.88451914233</v>
      </c>
      <c r="I27">
        <v>2288074.0754205366</v>
      </c>
      <c r="J27">
        <v>-348037.75079232635</v>
      </c>
      <c r="K27">
        <v>-181866900.11687633</v>
      </c>
      <c r="L27">
        <v>285.67291656371418</v>
      </c>
      <c r="M27">
        <v>1607824.9870937921</v>
      </c>
      <c r="N27">
        <v>25992346.280131314</v>
      </c>
      <c r="O27">
        <v>91423548.039588153</v>
      </c>
      <c r="P27">
        <v>0</v>
      </c>
      <c r="Q27">
        <v>-177533462.2314778</v>
      </c>
      <c r="R27">
        <v>0</v>
      </c>
      <c r="S27">
        <v>0</v>
      </c>
      <c r="T27">
        <v>915895.3865975407</v>
      </c>
      <c r="U27">
        <v>218179.76828218406</v>
      </c>
    </row>
    <row r="28" spans="1:21" x14ac:dyDescent="0.25">
      <c r="A28">
        <v>20150331</v>
      </c>
      <c r="B28">
        <v>2067.89</v>
      </c>
      <c r="C28">
        <v>-410289937.38590002</v>
      </c>
      <c r="D28">
        <v>343423.44045829773</v>
      </c>
      <c r="E28">
        <v>188181367.61854225</v>
      </c>
      <c r="F28">
        <v>-7221197.9462289214</v>
      </c>
      <c r="G28">
        <v>-65401009.642400235</v>
      </c>
      <c r="H28">
        <v>-2382432.0727549349</v>
      </c>
      <c r="I28">
        <v>-3165606.5960810878</v>
      </c>
      <c r="J28">
        <v>-338773.93975259637</v>
      </c>
      <c r="K28">
        <v>-179873125.57286397</v>
      </c>
      <c r="L28">
        <v>308.90922227095649</v>
      </c>
      <c r="M28">
        <v>1708384.3857427593</v>
      </c>
      <c r="N28">
        <v>26014790.071693644</v>
      </c>
      <c r="O28">
        <v>93891369.257657304</v>
      </c>
      <c r="P28">
        <v>0</v>
      </c>
      <c r="Q28">
        <v>-177769735.67250487</v>
      </c>
      <c r="R28">
        <v>0</v>
      </c>
      <c r="S28">
        <v>0</v>
      </c>
      <c r="T28">
        <v>2473113.0705678551</v>
      </c>
      <c r="U28">
        <v>498253.51105846069</v>
      </c>
    </row>
    <row r="29" spans="1:21" x14ac:dyDescent="0.25">
      <c r="A29">
        <v>20150327</v>
      </c>
      <c r="B29">
        <v>2061.02</v>
      </c>
      <c r="C29">
        <v>-409293454.77720004</v>
      </c>
      <c r="D29">
        <v>344807.37248957157</v>
      </c>
      <c r="E29">
        <v>187988921.09258729</v>
      </c>
      <c r="F29">
        <v>-7151284.5644271374</v>
      </c>
      <c r="G29">
        <v>-65401009.642400235</v>
      </c>
      <c r="H29">
        <v>6250889.2660851022</v>
      </c>
      <c r="I29">
        <v>170638.67090846089</v>
      </c>
      <c r="J29">
        <v>-355411.08544497279</v>
      </c>
      <c r="K29">
        <v>-187845445.62735194</v>
      </c>
      <c r="L29">
        <v>263.12916577646331</v>
      </c>
      <c r="M29">
        <v>1475751.6384943156</v>
      </c>
      <c r="N29">
        <v>26260904.337254956</v>
      </c>
      <c r="O29">
        <v>91409534.030052841</v>
      </c>
      <c r="P29">
        <v>0</v>
      </c>
      <c r="Q29">
        <v>-179808657.4613077</v>
      </c>
      <c r="R29">
        <v>0</v>
      </c>
      <c r="S29">
        <v>0</v>
      </c>
      <c r="T29">
        <v>-5508894.0934446342</v>
      </c>
      <c r="U29">
        <v>-344559.58887259988</v>
      </c>
    </row>
    <row r="30" spans="1:21" x14ac:dyDescent="0.25">
      <c r="A30">
        <v>20150402</v>
      </c>
      <c r="B30">
        <v>2066.96</v>
      </c>
      <c r="C30">
        <v>-409354273.00580001</v>
      </c>
      <c r="D30">
        <v>343972.57722735405</v>
      </c>
      <c r="E30">
        <v>187961315.06037086</v>
      </c>
      <c r="F30">
        <v>-7181922.259277761</v>
      </c>
      <c r="G30">
        <v>-63966569.41680029</v>
      </c>
      <c r="H30">
        <v>-3133939.356477058</v>
      </c>
      <c r="I30">
        <v>1099819.2907346385</v>
      </c>
      <c r="J30">
        <v>-342391.14278608526</v>
      </c>
      <c r="K30">
        <v>-179883875.19431818</v>
      </c>
      <c r="L30">
        <v>305.52380210007664</v>
      </c>
      <c r="M30">
        <v>1665046.7593016094</v>
      </c>
      <c r="N30">
        <v>26068845.859407555</v>
      </c>
      <c r="O30">
        <v>95519239.848219529</v>
      </c>
      <c r="P30">
        <v>0</v>
      </c>
      <c r="Q30">
        <v>-178896971.34845322</v>
      </c>
      <c r="R30">
        <v>0</v>
      </c>
      <c r="S30">
        <v>0</v>
      </c>
      <c r="T30">
        <v>924404.12806826364</v>
      </c>
      <c r="U30">
        <v>-401272.71141538571</v>
      </c>
    </row>
    <row r="31" spans="1:21" x14ac:dyDescent="0.25">
      <c r="A31">
        <v>20150413</v>
      </c>
      <c r="B31">
        <v>2092.4299999999998</v>
      </c>
      <c r="C31">
        <v>-392397570.24429995</v>
      </c>
      <c r="D31">
        <v>324613.32386934757</v>
      </c>
      <c r="E31">
        <v>184608244.50989068</v>
      </c>
      <c r="F31">
        <v>-7085590.7862002254</v>
      </c>
      <c r="G31">
        <v>-63966569.41680029</v>
      </c>
      <c r="H31">
        <v>4337438.2831626153</v>
      </c>
      <c r="I31">
        <v>1298777.7560435447</v>
      </c>
      <c r="J31">
        <v>-321477.46113926033</v>
      </c>
      <c r="K31">
        <v>-180590322.58808953</v>
      </c>
      <c r="L31">
        <v>333.15153762245194</v>
      </c>
      <c r="M31">
        <v>1713116.9132251954</v>
      </c>
      <c r="N31">
        <v>24653295.874610804</v>
      </c>
      <c r="O31">
        <v>94220220.948032111</v>
      </c>
      <c r="P31">
        <v>0</v>
      </c>
      <c r="Q31">
        <v>-175668688.23683828</v>
      </c>
      <c r="R31">
        <v>0</v>
      </c>
      <c r="S31">
        <v>0</v>
      </c>
      <c r="T31">
        <v>-3568513.004512528</v>
      </c>
      <c r="U31">
        <v>183889.4064071771</v>
      </c>
    </row>
    <row r="32" spans="1:21" x14ac:dyDescent="0.25">
      <c r="A32">
        <v>20150416</v>
      </c>
      <c r="B32">
        <v>2104.9899999999998</v>
      </c>
      <c r="C32">
        <v>-393896063.27360004</v>
      </c>
      <c r="D32">
        <v>319355.57068264484</v>
      </c>
      <c r="E32">
        <v>184912613.13881242</v>
      </c>
      <c r="F32">
        <v>-7173586.0703724623</v>
      </c>
      <c r="G32">
        <v>-63966569.41680029</v>
      </c>
      <c r="H32">
        <v>-5182653.0629920037</v>
      </c>
      <c r="I32">
        <v>-236497.04597529347</v>
      </c>
      <c r="J32">
        <v>-317649.74386028439</v>
      </c>
      <c r="K32">
        <v>-177851425.03779015</v>
      </c>
      <c r="L32">
        <v>305.95579380304684</v>
      </c>
      <c r="M32">
        <v>1570333.2909625676</v>
      </c>
      <c r="N32">
        <v>24683268.760743938</v>
      </c>
      <c r="O32">
        <v>99728515.711056918</v>
      </c>
      <c r="P32">
        <v>0</v>
      </c>
      <c r="Q32">
        <v>-176178122.93449914</v>
      </c>
      <c r="R32">
        <v>0</v>
      </c>
      <c r="S32">
        <v>0</v>
      </c>
      <c r="T32">
        <v>5521722.5971119618</v>
      </c>
      <c r="U32">
        <v>-478981.11586455768</v>
      </c>
    </row>
    <row r="33" spans="1:21" x14ac:dyDescent="0.25">
      <c r="A33">
        <v>20150408</v>
      </c>
      <c r="B33">
        <v>2081.9</v>
      </c>
      <c r="C33">
        <v>-401815374.95499998</v>
      </c>
      <c r="D33">
        <v>327517.35422897339</v>
      </c>
      <c r="E33">
        <v>186862979.28291249</v>
      </c>
      <c r="F33">
        <v>-7197968.8017122746</v>
      </c>
      <c r="G33">
        <v>-63966569.41680029</v>
      </c>
      <c r="H33">
        <v>-3629931.2539288565</v>
      </c>
      <c r="I33">
        <v>1024026.6115350295</v>
      </c>
      <c r="J33">
        <v>-350322.44726856059</v>
      </c>
      <c r="K33">
        <v>-181541046.38480151</v>
      </c>
      <c r="L33">
        <v>354.79554790965233</v>
      </c>
      <c r="M33">
        <v>1832305.311061793</v>
      </c>
      <c r="N33">
        <v>26133930.303661816</v>
      </c>
      <c r="O33">
        <v>99756490.773077354</v>
      </c>
      <c r="P33">
        <v>0</v>
      </c>
      <c r="Q33">
        <v>-179518852.16204026</v>
      </c>
      <c r="R33">
        <v>0</v>
      </c>
      <c r="S33">
        <v>0</v>
      </c>
      <c r="T33">
        <v>4247113.3902853262</v>
      </c>
      <c r="U33">
        <v>-380557.29003994964</v>
      </c>
    </row>
    <row r="34" spans="1:21" x14ac:dyDescent="0.25">
      <c r="A34">
        <v>20150421</v>
      </c>
      <c r="B34">
        <v>2097.29</v>
      </c>
      <c r="C34">
        <v>-397445399.57049996</v>
      </c>
      <c r="D34">
        <v>324841.18274581432</v>
      </c>
      <c r="E34">
        <v>185186166.55027962</v>
      </c>
      <c r="F34">
        <v>-7135551.1842279434</v>
      </c>
      <c r="G34">
        <v>-63966569.41680029</v>
      </c>
      <c r="H34">
        <v>-1169659.6480351696</v>
      </c>
      <c r="I34">
        <v>-770839.05243173719</v>
      </c>
      <c r="J34">
        <v>-320236.80474032374</v>
      </c>
      <c r="K34">
        <v>-178308998.58741471</v>
      </c>
      <c r="L34">
        <v>313.9197824446274</v>
      </c>
      <c r="M34">
        <v>1561486.1074246718</v>
      </c>
      <c r="N34">
        <v>24777190.063898493</v>
      </c>
      <c r="O34">
        <v>101288015.82942323</v>
      </c>
      <c r="P34">
        <v>0</v>
      </c>
      <c r="Q34">
        <v>-176714491.54784733</v>
      </c>
      <c r="R34">
        <v>0</v>
      </c>
      <c r="S34">
        <v>0</v>
      </c>
      <c r="T34">
        <v>1540961.2505322795</v>
      </c>
      <c r="U34">
        <v>157949.83109271323</v>
      </c>
    </row>
    <row r="35" spans="1:21" x14ac:dyDescent="0.25">
      <c r="A35">
        <v>20150429</v>
      </c>
      <c r="B35">
        <v>2106.85</v>
      </c>
      <c r="C35">
        <v>-371445269.77530003</v>
      </c>
      <c r="D35">
        <v>318352.50239658356</v>
      </c>
      <c r="E35">
        <v>177988915.56143641</v>
      </c>
      <c r="F35">
        <v>-7074531.9632444382</v>
      </c>
      <c r="G35">
        <v>-63966569.41680029</v>
      </c>
      <c r="H35">
        <v>24229092.861350417</v>
      </c>
      <c r="I35">
        <v>-2185886.2546377424</v>
      </c>
      <c r="J35">
        <v>-311646.56371267099</v>
      </c>
      <c r="K35">
        <v>-171745137.83966038</v>
      </c>
      <c r="L35">
        <v>295.1187627081174</v>
      </c>
      <c r="M35">
        <v>1464801.4601331621</v>
      </c>
      <c r="N35">
        <v>23473951.064824816</v>
      </c>
      <c r="O35">
        <v>75311163.59535186</v>
      </c>
      <c r="P35">
        <v>0</v>
      </c>
      <c r="Q35">
        <v>-167580309.21090487</v>
      </c>
      <c r="R35">
        <v>0</v>
      </c>
      <c r="S35">
        <v>0</v>
      </c>
      <c r="T35">
        <v>-22037757.468987767</v>
      </c>
      <c r="U35">
        <v>437478.00993699348</v>
      </c>
    </row>
    <row r="36" spans="1:21" x14ac:dyDescent="0.25">
      <c r="A36">
        <v>20150424</v>
      </c>
      <c r="B36">
        <v>2117.69</v>
      </c>
      <c r="C36">
        <v>-388507782.63</v>
      </c>
      <c r="D36">
        <v>309473.90299057961</v>
      </c>
      <c r="E36">
        <v>183137160.77408576</v>
      </c>
      <c r="F36">
        <v>-7141944.6491680145</v>
      </c>
      <c r="G36">
        <v>-63966569.41680029</v>
      </c>
      <c r="H36">
        <v>1302823.1991028078</v>
      </c>
      <c r="I36">
        <v>344012.69539430185</v>
      </c>
      <c r="J36">
        <v>-318129.77590290015</v>
      </c>
      <c r="K36">
        <v>-177891135.55014259</v>
      </c>
      <c r="L36">
        <v>282.66985092508071</v>
      </c>
      <c r="M36">
        <v>1440481.0371803325</v>
      </c>
      <c r="N36">
        <v>24277677.268250644</v>
      </c>
      <c r="O36">
        <v>98401385.73335664</v>
      </c>
      <c r="P36">
        <v>0</v>
      </c>
      <c r="Q36">
        <v>-173574100.49694952</v>
      </c>
      <c r="R36">
        <v>0</v>
      </c>
      <c r="S36">
        <v>0</v>
      </c>
      <c r="T36">
        <v>-775248.85860592313</v>
      </c>
      <c r="U36">
        <v>320890.09841368318</v>
      </c>
    </row>
    <row r="37" spans="1:21" x14ac:dyDescent="0.25">
      <c r="A37">
        <v>20150430</v>
      </c>
      <c r="B37">
        <v>2085.5100000000002</v>
      </c>
      <c r="C37">
        <v>-376993951.24569994</v>
      </c>
      <c r="D37">
        <v>330712.1620721817</v>
      </c>
      <c r="E37">
        <v>178969068.64101946</v>
      </c>
      <c r="F37">
        <v>-7021361.9658676386</v>
      </c>
      <c r="G37">
        <v>-63966569.41680029</v>
      </c>
      <c r="H37">
        <v>1036185.844999882</v>
      </c>
      <c r="I37">
        <v>-1083472.0067461813</v>
      </c>
      <c r="J37">
        <v>-323686.49478823191</v>
      </c>
      <c r="K37">
        <v>-168956080.21887818</v>
      </c>
      <c r="L37">
        <v>325.06646894399512</v>
      </c>
      <c r="M37">
        <v>1552337.1867418564</v>
      </c>
      <c r="N37">
        <v>23458821.976839248</v>
      </c>
      <c r="O37">
        <v>74361048.323326632</v>
      </c>
      <c r="P37">
        <v>0</v>
      </c>
      <c r="Q37">
        <v>-167504816.08114597</v>
      </c>
      <c r="R37">
        <v>0</v>
      </c>
      <c r="S37">
        <v>0</v>
      </c>
      <c r="T37">
        <v>-956534.92003047443</v>
      </c>
      <c r="U37">
        <v>-1545.9916724699208</v>
      </c>
    </row>
    <row r="38" spans="1:21" x14ac:dyDescent="0.25">
      <c r="A38">
        <v>20150504</v>
      </c>
      <c r="B38">
        <v>2114.4899999999998</v>
      </c>
      <c r="C38">
        <v>-346582619.94450003</v>
      </c>
      <c r="D38">
        <v>310492.97647190094</v>
      </c>
      <c r="E38">
        <v>171799281.97034729</v>
      </c>
      <c r="F38">
        <v>-6848289.218642354</v>
      </c>
      <c r="G38">
        <v>-61001709.441199601</v>
      </c>
      <c r="H38">
        <v>21181462.019730989</v>
      </c>
      <c r="I38">
        <v>2104186.7430516342</v>
      </c>
      <c r="J38">
        <v>-319938.92484557949</v>
      </c>
      <c r="K38">
        <v>-165943609.84104335</v>
      </c>
      <c r="L38">
        <v>275.36220187371867</v>
      </c>
      <c r="M38">
        <v>1348312.9360429978</v>
      </c>
      <c r="N38">
        <v>22764669.230240278</v>
      </c>
      <c r="O38">
        <v>55232294.146545313</v>
      </c>
      <c r="P38">
        <v>0</v>
      </c>
      <c r="Q38">
        <v>-161675440.82320455</v>
      </c>
      <c r="R38">
        <v>0</v>
      </c>
      <c r="S38">
        <v>0</v>
      </c>
      <c r="T38">
        <v>-19017140.489411745</v>
      </c>
      <c r="U38">
        <v>-93125.87646995479</v>
      </c>
    </row>
  </sheetData>
  <sortState ref="A6:A17">
    <sortCondition ref="A5"/>
  </sortState>
  <mergeCells count="4">
    <mergeCell ref="C4:I4"/>
    <mergeCell ref="J4:N4"/>
    <mergeCell ref="O4:S4"/>
    <mergeCell ref="T4:U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ImportGreekML_Click">
                <anchor moveWithCells="1" sizeWithCells="1">
                  <from>
                    <xdr:col>2</xdr:col>
                    <xdr:colOff>1276350</xdr:colOff>
                    <xdr:row>0</xdr:row>
                    <xdr:rowOff>47625</xdr:rowOff>
                  </from>
                  <to>
                    <xdr:col>3</xdr:col>
                    <xdr:colOff>1000125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RefreshML_Click">
                <anchor moveWithCells="1" sizeWithCells="1">
                  <from>
                    <xdr:col>2</xdr:col>
                    <xdr:colOff>57150</xdr:colOff>
                    <xdr:row>0</xdr:row>
                    <xdr:rowOff>47625</xdr:rowOff>
                  </from>
                  <to>
                    <xdr:col>2</xdr:col>
                    <xdr:colOff>1162050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U200"/>
  <sheetViews>
    <sheetView workbookViewId="0">
      <selection activeCell="C40" sqref="C40"/>
    </sheetView>
  </sheetViews>
  <sheetFormatPr defaultRowHeight="15" x14ac:dyDescent="0.25"/>
  <cols>
    <col min="1" max="14" width="19.7109375" customWidth="1"/>
    <col min="15" max="15" width="15.140625" bestFit="1" customWidth="1"/>
    <col min="16" max="16" width="16.140625" bestFit="1" customWidth="1"/>
    <col min="17" max="21" width="17.7109375" customWidth="1"/>
  </cols>
  <sheetData>
    <row r="1" spans="1:21" x14ac:dyDescent="0.25">
      <c r="A1" t="s">
        <v>43</v>
      </c>
      <c r="B1" s="10">
        <v>20141231</v>
      </c>
    </row>
    <row r="2" spans="1:21" x14ac:dyDescent="0.25">
      <c r="A2" t="s">
        <v>44</v>
      </c>
      <c r="B2" s="10">
        <v>20150505</v>
      </c>
    </row>
    <row r="4" spans="1:21" x14ac:dyDescent="0.25">
      <c r="B4" s="10"/>
      <c r="C4" s="41" t="s">
        <v>45</v>
      </c>
      <c r="D4" s="42"/>
      <c r="E4" s="42"/>
      <c r="F4" s="42"/>
      <c r="G4" s="42"/>
      <c r="H4" s="42"/>
      <c r="I4" s="43"/>
      <c r="J4" s="41" t="s">
        <v>77</v>
      </c>
      <c r="K4" s="42"/>
      <c r="L4" s="42"/>
      <c r="M4" s="42"/>
      <c r="N4" s="43"/>
      <c r="O4" s="41" t="s">
        <v>46</v>
      </c>
      <c r="P4" s="42"/>
      <c r="Q4" s="42"/>
      <c r="R4" s="42"/>
      <c r="S4" s="43"/>
      <c r="T4" s="41" t="s">
        <v>93</v>
      </c>
      <c r="U4" s="43"/>
    </row>
    <row r="5" spans="1:21" x14ac:dyDescent="0.25">
      <c r="A5" t="s">
        <v>47</v>
      </c>
      <c r="B5" s="10" t="s">
        <v>37</v>
      </c>
      <c r="C5" s="10" t="s">
        <v>38</v>
      </c>
      <c r="D5" s="10" t="s">
        <v>35</v>
      </c>
      <c r="E5" s="10" t="s">
        <v>8</v>
      </c>
      <c r="F5" s="10" t="s">
        <v>36</v>
      </c>
      <c r="G5" s="10" t="s">
        <v>9</v>
      </c>
      <c r="H5" s="10" t="s">
        <v>49</v>
      </c>
      <c r="I5" s="10" t="s">
        <v>48</v>
      </c>
      <c r="J5" s="10" t="s">
        <v>73</v>
      </c>
      <c r="K5" s="10" t="s">
        <v>74</v>
      </c>
      <c r="L5" s="10" t="s">
        <v>75</v>
      </c>
      <c r="M5" s="10" t="s">
        <v>76</v>
      </c>
      <c r="N5" s="10" t="s">
        <v>29</v>
      </c>
      <c r="O5" s="10" t="s">
        <v>39</v>
      </c>
      <c r="P5" s="10" t="s">
        <v>40</v>
      </c>
      <c r="Q5" s="10" t="s">
        <v>10</v>
      </c>
      <c r="R5" s="10" t="s">
        <v>28</v>
      </c>
      <c r="S5" s="10" t="s">
        <v>30</v>
      </c>
      <c r="T5" s="10" t="s">
        <v>94</v>
      </c>
      <c r="U5" s="10" t="s">
        <v>95</v>
      </c>
    </row>
    <row r="6" spans="1:21" x14ac:dyDescent="0.25">
      <c r="A6" s="6">
        <v>20150108</v>
      </c>
      <c r="B6" s="10">
        <v>2062.14</v>
      </c>
      <c r="C6" s="11">
        <v>-45723026.526399978</v>
      </c>
      <c r="D6" s="11">
        <v>106063.32259306312</v>
      </c>
      <c r="E6" s="11">
        <v>75698031.875759542</v>
      </c>
      <c r="F6" s="11">
        <v>-143964.43848904967</v>
      </c>
      <c r="G6" s="11">
        <v>-28801896.556400113</v>
      </c>
      <c r="H6" s="11">
        <v>135615.15478700207</v>
      </c>
      <c r="I6" s="11">
        <v>96243.248899971601</v>
      </c>
      <c r="J6" s="11">
        <v>-99742.124022233576</v>
      </c>
      <c r="K6" s="11">
        <v>-75732726.035598949</v>
      </c>
      <c r="L6" s="11">
        <v>78.619702443360197</v>
      </c>
      <c r="M6" s="11">
        <v>484713.9111431638</v>
      </c>
      <c r="N6" s="11">
        <v>42809359.946074978</v>
      </c>
      <c r="O6" s="11">
        <v>31295971.978728566</v>
      </c>
      <c r="P6" s="11">
        <v>8416841.1909600943</v>
      </c>
      <c r="Q6" s="11">
        <v>-62065658.132047378</v>
      </c>
      <c r="R6" s="11">
        <v>-14988993.93928133</v>
      </c>
      <c r="S6" s="11">
        <v>402477.4289096992</v>
      </c>
      <c r="T6" s="19">
        <v>-4239.45968326804</v>
      </c>
      <c r="U6" s="19">
        <v>-247883.86672514034</v>
      </c>
    </row>
    <row r="7" spans="1:21" x14ac:dyDescent="0.25">
      <c r="A7" s="6">
        <v>20141231</v>
      </c>
      <c r="B7" s="10">
        <v>2058.9</v>
      </c>
      <c r="C7" s="11">
        <v>-36574285.358099997</v>
      </c>
      <c r="D7" s="11">
        <v>103457.16710406542</v>
      </c>
      <c r="E7" s="11">
        <v>70096904.222228169</v>
      </c>
      <c r="F7" s="11">
        <v>-153692.26594766974</v>
      </c>
      <c r="G7" s="11">
        <v>-28801896.556400113</v>
      </c>
      <c r="H7" s="11">
        <v>-371675.51925666002</v>
      </c>
      <c r="I7" s="11">
        <v>-82618.63439785855</v>
      </c>
      <c r="J7" s="11">
        <v>-105341.75379358311</v>
      </c>
      <c r="K7" s="11">
        <v>-69745759.829885632</v>
      </c>
      <c r="L7" s="11">
        <v>86.505881964782105</v>
      </c>
      <c r="M7" s="11">
        <v>535101.04797183652</v>
      </c>
      <c r="N7" s="11">
        <v>34524705.546543986</v>
      </c>
      <c r="O7" s="19">
        <v>21575669.458062343</v>
      </c>
      <c r="P7" s="19">
        <v>6178047.287610095</v>
      </c>
      <c r="Q7" s="19">
        <v>-60237891.632303029</v>
      </c>
      <c r="R7" s="19">
        <v>-11051725.031764178</v>
      </c>
      <c r="S7" s="19">
        <v>292556.89821927919</v>
      </c>
      <c r="T7" s="19">
        <v>929029.75645604508</v>
      </c>
      <c r="U7" s="19">
        <v>301102.95272722817</v>
      </c>
    </row>
    <row r="8" spans="1:21" x14ac:dyDescent="0.25">
      <c r="A8" s="6">
        <v>20150116</v>
      </c>
      <c r="B8" s="10">
        <v>2019.42</v>
      </c>
      <c r="C8" s="11">
        <v>-60864399.58039999</v>
      </c>
      <c r="D8" s="11">
        <v>107738.55832332373</v>
      </c>
      <c r="E8" s="11">
        <v>80094782.725196928</v>
      </c>
      <c r="F8" s="11">
        <v>-166296.30679178238</v>
      </c>
      <c r="G8" s="11">
        <v>-28801896.556400113</v>
      </c>
      <c r="H8" s="11">
        <v>-4424624.8252258208</v>
      </c>
      <c r="I8" s="11">
        <v>-30022.498275881724</v>
      </c>
      <c r="J8" s="11">
        <v>-108112.70980451834</v>
      </c>
      <c r="K8" s="11">
        <v>-81275939.942039102</v>
      </c>
      <c r="L8" s="11">
        <v>98.141644226165781</v>
      </c>
      <c r="M8" s="11">
        <v>540969.04448281135</v>
      </c>
      <c r="N8" s="11">
        <v>47884774.511847727</v>
      </c>
      <c r="O8" s="19">
        <v>44513264.039106265</v>
      </c>
      <c r="P8" s="19">
        <v>9860524.8425450753</v>
      </c>
      <c r="Q8" s="19">
        <v>-66705522.729368411</v>
      </c>
      <c r="R8" s="19">
        <v>-16165954.229242608</v>
      </c>
      <c r="S8" s="19">
        <v>444796.76655074203</v>
      </c>
      <c r="T8" s="19">
        <v>4604610.8032798925</v>
      </c>
      <c r="U8" s="19">
        <v>108117.70657062049</v>
      </c>
    </row>
    <row r="9" spans="1:21" x14ac:dyDescent="0.25">
      <c r="A9" s="6">
        <v>20150105</v>
      </c>
      <c r="B9" s="10">
        <v>2020.58</v>
      </c>
      <c r="C9" s="11">
        <v>-50023814.9463</v>
      </c>
      <c r="D9" s="11">
        <v>104849.04358947277</v>
      </c>
      <c r="E9" s="11">
        <v>74079366.161317527</v>
      </c>
      <c r="F9" s="11">
        <v>-164756.2896438241</v>
      </c>
      <c r="G9" s="11">
        <v>-28801896.556400113</v>
      </c>
      <c r="H9" s="11">
        <v>-10402044.150571488</v>
      </c>
      <c r="I9" s="11">
        <v>-84985.627041060812</v>
      </c>
      <c r="J9" s="11">
        <v>-105926.33082701509</v>
      </c>
      <c r="K9" s="11">
        <v>-75205560.127448753</v>
      </c>
      <c r="L9" s="11">
        <v>100.53630331189714</v>
      </c>
      <c r="M9" s="11">
        <v>568808.97256944946</v>
      </c>
      <c r="N9" s="11">
        <v>43838025.597333692</v>
      </c>
      <c r="O9" s="19">
        <v>31306828.729186006</v>
      </c>
      <c r="P9" s="19">
        <v>7362406.8032665513</v>
      </c>
      <c r="Q9" s="19">
        <v>-62078757.536947124</v>
      </c>
      <c r="R9" s="19">
        <v>-13576416.827531667</v>
      </c>
      <c r="S9" s="19">
        <v>389014.04557038052</v>
      </c>
      <c r="T9" s="19">
        <v>11023646.549553907</v>
      </c>
      <c r="U9" s="19">
        <v>40846.520534237308</v>
      </c>
    </row>
    <row r="10" spans="1:21" x14ac:dyDescent="0.25">
      <c r="A10" s="6">
        <v>20150113</v>
      </c>
      <c r="B10" s="10">
        <v>2023.03</v>
      </c>
      <c r="C10" s="11">
        <v>-57144257.832399987</v>
      </c>
      <c r="D10" s="11">
        <v>107816.51061180234</v>
      </c>
      <c r="E10" s="11">
        <v>78832895.8010903</v>
      </c>
      <c r="F10" s="11">
        <v>-177446.4185885191</v>
      </c>
      <c r="G10" s="11">
        <v>-28801896.556400113</v>
      </c>
      <c r="H10" s="11">
        <v>-9524793.0572410915</v>
      </c>
      <c r="I10" s="11">
        <v>-71079.324108143497</v>
      </c>
      <c r="J10" s="11">
        <v>-110278.38426562285</v>
      </c>
      <c r="K10" s="11">
        <v>-71947201.073784113</v>
      </c>
      <c r="L10" s="11">
        <v>97.087087245599818</v>
      </c>
      <c r="M10" s="11">
        <v>542441.36546181631</v>
      </c>
      <c r="N10" s="11">
        <v>45301602.381756254</v>
      </c>
      <c r="O10" s="19">
        <v>40741024.745586008</v>
      </c>
      <c r="P10" s="19">
        <v>7775097.8481164044</v>
      </c>
      <c r="Q10" s="19">
        <v>-66012245.33077731</v>
      </c>
      <c r="R10" s="19">
        <v>-13999701.596382648</v>
      </c>
      <c r="S10" s="19">
        <v>422812.55810978683</v>
      </c>
      <c r="T10" s="19">
        <v>9955410.3414511941</v>
      </c>
      <c r="U10" s="19">
        <v>351970.43519540731</v>
      </c>
    </row>
    <row r="11" spans="1:21" x14ac:dyDescent="0.25">
      <c r="A11" s="6">
        <v>20150122</v>
      </c>
      <c r="B11" s="10">
        <v>2063.15</v>
      </c>
      <c r="C11" s="11">
        <v>-55937088.068300001</v>
      </c>
      <c r="D11" s="11">
        <v>111579.61106547713</v>
      </c>
      <c r="E11" s="11">
        <v>78180788.742307603</v>
      </c>
      <c r="F11" s="11">
        <v>-160181.05863204598</v>
      </c>
      <c r="G11" s="11">
        <v>-28801896.556400113</v>
      </c>
      <c r="H11" s="11">
        <v>743098.29500853049</v>
      </c>
      <c r="I11" s="11">
        <v>188385.89751355845</v>
      </c>
      <c r="J11" s="11">
        <v>-101723.75675118556</v>
      </c>
      <c r="K11" s="11">
        <v>-78499601.49450919</v>
      </c>
      <c r="L11" s="11">
        <v>73.091596266509882</v>
      </c>
      <c r="M11" s="11">
        <v>439895.29784507694</v>
      </c>
      <c r="N11" s="11">
        <v>49338050.731358811</v>
      </c>
      <c r="O11" s="19">
        <v>44384342.51239524</v>
      </c>
      <c r="P11" s="19">
        <v>8016440.1569599705</v>
      </c>
      <c r="Q11" s="19">
        <v>-66780124.446149468</v>
      </c>
      <c r="R11" s="19">
        <v>-14571801.894519446</v>
      </c>
      <c r="S11" s="19">
        <v>422559.9314151064</v>
      </c>
      <c r="T11" s="19">
        <v>-596961.71587622399</v>
      </c>
      <c r="U11" s="19">
        <v>-343418.49302477168</v>
      </c>
    </row>
    <row r="12" spans="1:21" x14ac:dyDescent="0.25">
      <c r="A12" s="6">
        <v>20150127</v>
      </c>
      <c r="B12" s="10">
        <v>2029.55</v>
      </c>
      <c r="C12" s="11">
        <v>-60512326.356700018</v>
      </c>
      <c r="D12" s="11">
        <v>116744.00520044565</v>
      </c>
      <c r="E12" s="11">
        <v>79716999.397134483</v>
      </c>
      <c r="F12" s="11">
        <v>-167215.23688191175</v>
      </c>
      <c r="G12" s="11">
        <v>-28801896.556400113</v>
      </c>
      <c r="H12" s="11">
        <v>-2445282.4260236179</v>
      </c>
      <c r="I12" s="11">
        <v>-63798.357650158097</v>
      </c>
      <c r="J12" s="11">
        <v>-110005.11342215649</v>
      </c>
      <c r="K12" s="11">
        <v>-79721323.58074978</v>
      </c>
      <c r="L12" s="11">
        <v>108.58143628861848</v>
      </c>
      <c r="M12" s="11">
        <v>511099.12467439519</v>
      </c>
      <c r="N12" s="11">
        <v>48797201.339306355</v>
      </c>
      <c r="O12" s="19">
        <v>46598534.400694601</v>
      </c>
      <c r="P12" s="19">
        <v>8299677.6510303691</v>
      </c>
      <c r="Q12" s="19">
        <v>-67185543.217466459</v>
      </c>
      <c r="R12" s="19">
        <v>-15298440.660135949</v>
      </c>
      <c r="S12" s="19">
        <v>425592.37579205376</v>
      </c>
      <c r="T12" s="19">
        <v>2504051.7494418025</v>
      </c>
      <c r="U12" s="19">
        <v>-28752.916362317796</v>
      </c>
    </row>
    <row r="13" spans="1:21" x14ac:dyDescent="0.25">
      <c r="A13" s="6">
        <v>20150130</v>
      </c>
      <c r="B13" s="10">
        <v>1994.99</v>
      </c>
      <c r="C13" s="11">
        <v>-77709561.171599984</v>
      </c>
      <c r="D13" s="11">
        <v>118571.93040370941</v>
      </c>
      <c r="E13" s="11">
        <v>84586820.117773324</v>
      </c>
      <c r="F13" s="11">
        <v>-210064.61106145382</v>
      </c>
      <c r="G13" s="11">
        <v>-28801896.556400113</v>
      </c>
      <c r="H13" s="11">
        <v>-15096337.22618355</v>
      </c>
      <c r="I13" s="11">
        <v>-134650.99336338774</v>
      </c>
      <c r="J13" s="11">
        <v>-122142.54083632148</v>
      </c>
      <c r="K13" s="11">
        <v>-89392500.73115474</v>
      </c>
      <c r="L13" s="11">
        <v>125.76341955651876</v>
      </c>
      <c r="M13" s="11">
        <v>565246.29168067011</v>
      </c>
      <c r="N13" s="11">
        <v>51370711.382158674</v>
      </c>
      <c r="O13" s="19">
        <v>55316437.811958529</v>
      </c>
      <c r="P13" s="19">
        <v>13857422.141288096</v>
      </c>
      <c r="Q13" s="19">
        <v>-64966442.179606661</v>
      </c>
      <c r="R13" s="19">
        <v>-22059564.943980135</v>
      </c>
      <c r="S13" s="19">
        <v>464504.79007997009</v>
      </c>
      <c r="T13" s="19">
        <v>15784415.442611434</v>
      </c>
      <c r="U13" s="19">
        <v>411604.23048417049</v>
      </c>
    </row>
    <row r="14" spans="1:21" x14ac:dyDescent="0.25">
      <c r="A14" s="6">
        <v>20150204</v>
      </c>
      <c r="B14" s="10">
        <v>2041.51</v>
      </c>
      <c r="C14" s="11">
        <v>-64486060.244799986</v>
      </c>
      <c r="D14" s="11">
        <v>114926.69310480356</v>
      </c>
      <c r="E14" s="11">
        <v>83117972.909596235</v>
      </c>
      <c r="F14" s="11">
        <v>-191702.28963857889</v>
      </c>
      <c r="G14" s="11">
        <v>-33638430.231200114</v>
      </c>
      <c r="H14" s="11">
        <v>9639865.2510833982</v>
      </c>
      <c r="I14" s="11">
        <v>235647.44440138829</v>
      </c>
      <c r="J14" s="11">
        <v>-112775.35734081602</v>
      </c>
      <c r="K14" s="11">
        <v>-79376463.445419177</v>
      </c>
      <c r="L14" s="11">
        <v>105.83862223826669</v>
      </c>
      <c r="M14" s="11">
        <v>499455.69512870675</v>
      </c>
      <c r="N14" s="11">
        <v>49059963.689109869</v>
      </c>
      <c r="O14" s="19">
        <v>50580895.572065711</v>
      </c>
      <c r="P14" s="19">
        <v>10869048.056761259</v>
      </c>
      <c r="Q14" s="19">
        <v>-66886266.546453319</v>
      </c>
      <c r="R14" s="19">
        <v>-18305375.366833746</v>
      </c>
      <c r="S14" s="19">
        <v>445415.36064494902</v>
      </c>
      <c r="T14" s="19">
        <v>-9630813.6506979074</v>
      </c>
      <c r="U14" s="19">
        <v>114382.02999093833</v>
      </c>
    </row>
    <row r="15" spans="1:21" x14ac:dyDescent="0.25">
      <c r="A15" s="6">
        <v>20150319</v>
      </c>
      <c r="B15" s="10">
        <v>2089.27</v>
      </c>
      <c r="C15" s="11">
        <v>-57242505.321700007</v>
      </c>
      <c r="D15" s="11">
        <v>119554.3365380764</v>
      </c>
      <c r="E15" s="11">
        <v>81656163.114565134</v>
      </c>
      <c r="F15" s="11">
        <v>-134696.62530273199</v>
      </c>
      <c r="G15" s="11">
        <v>-31652224.228800006</v>
      </c>
      <c r="H15" s="11">
        <v>-12018943.600984981</v>
      </c>
      <c r="I15" s="11">
        <v>-8185.4481027851079</v>
      </c>
      <c r="J15" s="11">
        <v>-116517.74276672515</v>
      </c>
      <c r="K15" s="11">
        <v>-83340186.709997177</v>
      </c>
      <c r="L15" s="11">
        <v>128.85077730509212</v>
      </c>
      <c r="M15" s="11">
        <v>507152.1368551866</v>
      </c>
      <c r="N15" s="11">
        <v>54960840.428350411</v>
      </c>
      <c r="O15" s="19">
        <v>46457926.771872215</v>
      </c>
      <c r="P15" s="19">
        <v>11118586.218506832</v>
      </c>
      <c r="Q15" s="19">
        <v>-71932464.791417211</v>
      </c>
      <c r="R15" s="19">
        <v>-11757161.742526013</v>
      </c>
      <c r="S15" s="19">
        <v>627924.04073450831</v>
      </c>
      <c r="T15" s="19">
        <v>11550805.172044206</v>
      </c>
      <c r="U15" s="19">
        <v>83809.648022609705</v>
      </c>
    </row>
    <row r="16" spans="1:21" x14ac:dyDescent="0.25">
      <c r="A16" s="6">
        <v>20150209</v>
      </c>
      <c r="B16" s="10">
        <v>2046.74</v>
      </c>
      <c r="C16" s="11">
        <v>-49665846.695700005</v>
      </c>
      <c r="D16" s="11">
        <v>107570.86445623636</v>
      </c>
      <c r="E16" s="11">
        <v>78346255.175713509</v>
      </c>
      <c r="F16" s="11">
        <v>-145159.80700588226</v>
      </c>
      <c r="G16" s="11">
        <v>-33638430.231200106</v>
      </c>
      <c r="H16" s="11">
        <v>16722711.957935341</v>
      </c>
      <c r="I16" s="11">
        <v>-84094.651924845108</v>
      </c>
      <c r="J16" s="11">
        <v>-114102.53382089273</v>
      </c>
      <c r="K16" s="11">
        <v>-72879605.735865489</v>
      </c>
      <c r="L16" s="11">
        <v>102.29241742047743</v>
      </c>
      <c r="M16" s="11">
        <v>488197.66090373957</v>
      </c>
      <c r="N16" s="11">
        <v>61851107.269180998</v>
      </c>
      <c r="O16" s="19">
        <v>44696860.062198564</v>
      </c>
      <c r="P16" s="19">
        <v>10254660.146321759</v>
      </c>
      <c r="Q16" s="19">
        <v>-79208893.92119208</v>
      </c>
      <c r="R16" s="19">
        <v>-1677074.9432938911</v>
      </c>
      <c r="S16" s="19">
        <v>693198.66297762468</v>
      </c>
      <c r="T16" s="19">
        <v>-17742496.46682366</v>
      </c>
      <c r="U16" s="19">
        <v>392148.81625189591</v>
      </c>
    </row>
    <row r="17" spans="1:21" x14ac:dyDescent="0.25">
      <c r="A17" s="6">
        <v>20150212</v>
      </c>
      <c r="B17" s="10">
        <v>2088.48</v>
      </c>
      <c r="C17" s="11">
        <v>-44759543.19159998</v>
      </c>
      <c r="D17" s="11">
        <v>107583.47228744626</v>
      </c>
      <c r="E17" s="11">
        <v>76996239.695793062</v>
      </c>
      <c r="F17" s="11">
        <v>-154573.92555201054</v>
      </c>
      <c r="G17" s="11">
        <v>-33638430.231200114</v>
      </c>
      <c r="H17" s="11">
        <v>676539.37808196293</v>
      </c>
      <c r="I17" s="11">
        <v>139145.34832884581</v>
      </c>
      <c r="J17" s="11">
        <v>-102712.38246211443</v>
      </c>
      <c r="K17" s="11">
        <v>-77775970.027062073</v>
      </c>
      <c r="L17" s="11">
        <v>88.114426955067614</v>
      </c>
      <c r="M17" s="11">
        <v>428310.20221430436</v>
      </c>
      <c r="N17" s="11">
        <v>64435733.609916463</v>
      </c>
      <c r="O17" s="19">
        <v>44120300.960857525</v>
      </c>
      <c r="P17" s="19">
        <v>9812158.050774619</v>
      </c>
      <c r="Q17" s="19">
        <v>-79066562.569392294</v>
      </c>
      <c r="R17" s="19">
        <v>-1688358.2709021654</v>
      </c>
      <c r="S17" s="19">
        <v>684736.42376195174</v>
      </c>
      <c r="T17" s="19">
        <v>-371366.21832193097</v>
      </c>
      <c r="U17" s="19">
        <v>-318606.36232317355</v>
      </c>
    </row>
    <row r="18" spans="1:21" x14ac:dyDescent="0.25">
      <c r="A18">
        <v>20150218</v>
      </c>
      <c r="B18">
        <v>2099.6799999999998</v>
      </c>
      <c r="C18" s="19">
        <v>-35587395.490699977</v>
      </c>
      <c r="D18" s="19">
        <v>105055.22278261185</v>
      </c>
      <c r="E18" s="19">
        <v>73901431.985177845</v>
      </c>
      <c r="F18" s="19">
        <v>-137565.11372128129</v>
      </c>
      <c r="G18" s="19">
        <v>-33638430.231200114</v>
      </c>
      <c r="H18" s="19">
        <v>8812537.8794737384</v>
      </c>
      <c r="I18" s="19">
        <v>18548.112076659178</v>
      </c>
      <c r="J18" s="19">
        <v>-106477.24101111172</v>
      </c>
      <c r="K18" s="19">
        <v>-71384448.0992385</v>
      </c>
      <c r="L18" s="19">
        <v>83.35721781259609</v>
      </c>
      <c r="M18" s="19">
        <v>404779.57934659958</v>
      </c>
      <c r="N18" s="19">
        <v>48949078.904105447</v>
      </c>
      <c r="O18" s="19">
        <v>35079177.535326384</v>
      </c>
      <c r="P18" s="19">
        <v>9297548.0197454114</v>
      </c>
      <c r="Q18" s="19">
        <v>-77326299.427371696</v>
      </c>
      <c r="R18" s="19">
        <v>2221575.8864615685</v>
      </c>
      <c r="S18" s="19">
        <v>671445.45938465768</v>
      </c>
      <c r="T18" s="19">
        <v>-8652964.1712297685</v>
      </c>
      <c r="U18" s="19">
        <v>76371.380707339122</v>
      </c>
    </row>
    <row r="19" spans="1:21" x14ac:dyDescent="0.25">
      <c r="A19">
        <v>20150223</v>
      </c>
      <c r="B19">
        <v>2109.66</v>
      </c>
      <c r="C19" s="19">
        <v>-39741028.244599998</v>
      </c>
      <c r="D19" s="19">
        <v>108416.97224342823</v>
      </c>
      <c r="E19" s="19">
        <v>75031535.40108189</v>
      </c>
      <c r="F19" s="19">
        <v>-165132.86482337117</v>
      </c>
      <c r="G19" s="19">
        <v>-33638430.231200114</v>
      </c>
      <c r="H19" s="19">
        <v>-2497200.7511733677</v>
      </c>
      <c r="I19" s="19">
        <v>39028.529804478698</v>
      </c>
      <c r="J19" s="19">
        <v>-108645.26617418422</v>
      </c>
      <c r="K19" s="19">
        <v>-73709216.119334027</v>
      </c>
      <c r="L19" s="19">
        <v>110.81833170058157</v>
      </c>
      <c r="M19" s="19">
        <v>489355.55817125918</v>
      </c>
      <c r="N19" s="19">
        <v>48220697.672106504</v>
      </c>
      <c r="O19" s="19">
        <v>37902139.462463617</v>
      </c>
      <c r="P19" s="19">
        <v>9329067.6432294063</v>
      </c>
      <c r="Q19" s="19">
        <v>-77884339.057442501</v>
      </c>
      <c r="R19" s="19">
        <v>1005791.1259154448</v>
      </c>
      <c r="S19" s="19">
        <v>666852.51373490493</v>
      </c>
      <c r="T19" s="19">
        <v>2430971.3415898578</v>
      </c>
      <c r="U19" s="19">
        <v>-60968.530241196459</v>
      </c>
    </row>
    <row r="20" spans="1:21" x14ac:dyDescent="0.25">
      <c r="A20">
        <v>20150226</v>
      </c>
      <c r="B20">
        <v>2110.7399999999998</v>
      </c>
      <c r="C20" s="19">
        <v>-41735396.881899998</v>
      </c>
      <c r="D20" s="19">
        <v>111500.64778667688</v>
      </c>
      <c r="E20" s="19">
        <v>75547958.059767038</v>
      </c>
      <c r="F20" s="19">
        <v>-162101.67807924747</v>
      </c>
      <c r="G20" s="19">
        <v>-33638430.231200114</v>
      </c>
      <c r="H20" s="19">
        <v>-2925727.6652834453</v>
      </c>
      <c r="I20" s="19">
        <v>67803.34861952551</v>
      </c>
      <c r="J20" s="19">
        <v>-111938.08143411005</v>
      </c>
      <c r="K20" s="19">
        <v>-75097597.328644261</v>
      </c>
      <c r="L20" s="19">
        <v>128.18909064828114</v>
      </c>
      <c r="M20" s="19">
        <v>579871.69987245242</v>
      </c>
      <c r="N20" s="19">
        <v>49361669.513066299</v>
      </c>
      <c r="O20" s="19">
        <v>39730651.947889857</v>
      </c>
      <c r="P20" s="19">
        <v>9270226.3076113071</v>
      </c>
      <c r="Q20" s="19">
        <v>-74095500.744806811</v>
      </c>
      <c r="R20" s="19">
        <v>-330194.66375344351</v>
      </c>
      <c r="S20" s="19">
        <v>663356.5879747658</v>
      </c>
      <c r="T20" s="19">
        <v>2872463.0205332744</v>
      </c>
      <c r="U20" s="19">
        <v>-160844.98101387022</v>
      </c>
    </row>
    <row r="21" spans="1:21" x14ac:dyDescent="0.25">
      <c r="A21">
        <v>20150227</v>
      </c>
      <c r="B21">
        <v>2104.5</v>
      </c>
      <c r="C21" s="19">
        <v>-44929661.527800016</v>
      </c>
      <c r="D21" s="19">
        <v>114519.07355409861</v>
      </c>
      <c r="E21" s="19">
        <v>76706964.954095632</v>
      </c>
      <c r="F21" s="19">
        <v>-161698.02980738878</v>
      </c>
      <c r="G21" s="19">
        <v>-33638430.231200114</v>
      </c>
      <c r="H21" s="19">
        <v>-3212251.739942899</v>
      </c>
      <c r="I21" s="19">
        <v>-19923.205164468316</v>
      </c>
      <c r="J21" s="19">
        <v>-112507.39733871295</v>
      </c>
      <c r="K21" s="19">
        <v>-73012316.662319392</v>
      </c>
      <c r="L21" s="19">
        <v>129.99275840605804</v>
      </c>
      <c r="M21" s="19">
        <v>581995.2360956046</v>
      </c>
      <c r="N21" s="19">
        <v>50793752.015215538</v>
      </c>
      <c r="O21" s="19">
        <v>42900168.720630616</v>
      </c>
      <c r="P21" s="19">
        <v>9581997.919574637</v>
      </c>
      <c r="Q21" s="19">
        <v>-74698406.385974318</v>
      </c>
      <c r="R21" s="19">
        <v>-1907488.7125069499</v>
      </c>
      <c r="S21" s="19">
        <v>666182.6324559832</v>
      </c>
      <c r="T21" s="19">
        <v>3159229.0735145216</v>
      </c>
      <c r="U21" s="19">
        <v>-44123.830407309732</v>
      </c>
    </row>
    <row r="22" spans="1:21" x14ac:dyDescent="0.25">
      <c r="A22">
        <v>20150303</v>
      </c>
      <c r="B22">
        <v>2107.7800000000002</v>
      </c>
      <c r="C22" s="19">
        <v>-36773464.793099999</v>
      </c>
      <c r="D22" s="19">
        <v>113723.28079879284</v>
      </c>
      <c r="E22" s="19">
        <v>73940648.238915473</v>
      </c>
      <c r="F22" s="19">
        <v>-131493.93343830109</v>
      </c>
      <c r="G22" s="19">
        <v>-31652224.228800006</v>
      </c>
      <c r="H22" s="19">
        <v>9200536.6615914479</v>
      </c>
      <c r="I22" s="19">
        <v>-53096.595984366875</v>
      </c>
      <c r="J22" s="19">
        <v>-113869.20287976784</v>
      </c>
      <c r="K22" s="19">
        <v>-72701670.804258302</v>
      </c>
      <c r="L22" s="19">
        <v>130.05758409040567</v>
      </c>
      <c r="M22" s="19">
        <v>566167.31840023352</v>
      </c>
      <c r="N22" s="19">
        <v>51205537.503298864</v>
      </c>
      <c r="O22" s="19">
        <v>33943546.9401014</v>
      </c>
      <c r="P22" s="19">
        <v>-3711958.4493733598</v>
      </c>
      <c r="Q22" s="19">
        <v>-73022724.322145402</v>
      </c>
      <c r="R22" s="19">
        <v>-3413149.6497494075</v>
      </c>
      <c r="S22" s="19">
        <v>665468.97111987323</v>
      </c>
      <c r="T22" s="19">
        <v>-8750713.5138875637</v>
      </c>
      <c r="U22" s="19">
        <v>90948.607740554959</v>
      </c>
    </row>
    <row r="23" spans="1:21" x14ac:dyDescent="0.25">
      <c r="A23">
        <v>20150327</v>
      </c>
      <c r="B23">
        <v>2061.02</v>
      </c>
      <c r="C23" s="19">
        <v>-57273029.655400008</v>
      </c>
      <c r="D23" s="19">
        <v>121814.47467505932</v>
      </c>
      <c r="E23" s="19">
        <v>81540877.859503895</v>
      </c>
      <c r="F23" s="19">
        <v>-69860.176002889872</v>
      </c>
      <c r="G23" s="19">
        <v>-31652224.228800006</v>
      </c>
      <c r="H23" s="19">
        <v>6994185.2034089286</v>
      </c>
      <c r="I23" s="19">
        <v>-65802.21391256756</v>
      </c>
      <c r="J23" s="19">
        <v>-125497.05770628937</v>
      </c>
      <c r="K23" s="19">
        <v>-72939381.709062845</v>
      </c>
      <c r="L23" s="19">
        <v>131.29646898151191</v>
      </c>
      <c r="M23" s="19">
        <v>498596.80996424536</v>
      </c>
      <c r="N23" s="19">
        <v>55335750.150442891</v>
      </c>
      <c r="O23" s="19">
        <v>43165018.645590737</v>
      </c>
      <c r="P23" s="19">
        <v>11542063.727676941</v>
      </c>
      <c r="Q23" s="19">
        <v>-68437593.469620481</v>
      </c>
      <c r="R23" s="19">
        <v>-11754556.27392826</v>
      </c>
      <c r="S23" s="19">
        <v>629886.49037824851</v>
      </c>
      <c r="T23" s="19">
        <v>-6720972.3135016263</v>
      </c>
      <c r="U23" s="19">
        <v>-43217.729118349795</v>
      </c>
    </row>
    <row r="24" spans="1:21" x14ac:dyDescent="0.25">
      <c r="A24">
        <v>20150306</v>
      </c>
      <c r="B24">
        <v>2071.2600000000002</v>
      </c>
      <c r="C24" s="19">
        <v>-34099679.735400006</v>
      </c>
      <c r="D24" s="19">
        <v>116210.23839795589</v>
      </c>
      <c r="E24" s="19">
        <v>72446171.923975945</v>
      </c>
      <c r="F24" s="19">
        <v>-67643.189623713493</v>
      </c>
      <c r="G24" s="19">
        <v>-31652224.228800006</v>
      </c>
      <c r="H24" s="19">
        <v>8928544.3886398245</v>
      </c>
      <c r="I24" s="19">
        <v>-33284.279517996205</v>
      </c>
      <c r="J24" s="19">
        <v>-117251.37028410082</v>
      </c>
      <c r="K24" s="19">
        <v>-63327722.864704162</v>
      </c>
      <c r="L24" s="19">
        <v>137.44512077103943</v>
      </c>
      <c r="M24" s="19">
        <v>579365.09308467503</v>
      </c>
      <c r="N24" s="19">
        <v>50506363.258524708</v>
      </c>
      <c r="O24" s="19">
        <v>28330130.723082457</v>
      </c>
      <c r="P24" s="19">
        <v>9926319.0437505096</v>
      </c>
      <c r="Q24" s="19">
        <v>-78286271.486446172</v>
      </c>
      <c r="R24" s="19">
        <v>1258770.483057213</v>
      </c>
      <c r="S24" s="19">
        <v>648125.1015375976</v>
      </c>
      <c r="T24" s="19">
        <v>-8227206.8390278099</v>
      </c>
      <c r="U24" s="19">
        <v>-274221.97549650841</v>
      </c>
    </row>
    <row r="25" spans="1:21" x14ac:dyDescent="0.25">
      <c r="A25">
        <v>20150311</v>
      </c>
      <c r="B25">
        <v>2040.24</v>
      </c>
      <c r="C25" s="19">
        <v>-48754887.04520002</v>
      </c>
      <c r="D25" s="19">
        <v>120640.5198598206</v>
      </c>
      <c r="E25" s="19">
        <v>78921469.908989936</v>
      </c>
      <c r="F25" s="19">
        <v>-65470.739260703325</v>
      </c>
      <c r="G25" s="19">
        <v>-31652224.228800006</v>
      </c>
      <c r="H25" s="19">
        <v>-11934174.295361815</v>
      </c>
      <c r="I25" s="19">
        <v>-45297.72747146117</v>
      </c>
      <c r="J25" s="19">
        <v>-122175.10683324601</v>
      </c>
      <c r="K25" s="19">
        <v>-79047594.112732992</v>
      </c>
      <c r="L25" s="19">
        <v>146.42020675080747</v>
      </c>
      <c r="M25" s="19">
        <v>604769.21357255871</v>
      </c>
      <c r="N25" s="19">
        <v>53347484.672768116</v>
      </c>
      <c r="O25" s="19">
        <v>38605188.659825772</v>
      </c>
      <c r="P25" s="19">
        <v>9222700.8239661194</v>
      </c>
      <c r="Q25" s="19">
        <v>-75802564.674895391</v>
      </c>
      <c r="R25" s="19">
        <v>-4418898.6833072221</v>
      </c>
      <c r="S25" s="19">
        <v>636952.84364050394</v>
      </c>
      <c r="T25" s="19">
        <v>11594958.084461454</v>
      </c>
      <c r="U25" s="19">
        <v>153764.49458590787</v>
      </c>
    </row>
    <row r="26" spans="1:21" x14ac:dyDescent="0.25">
      <c r="A26">
        <v>20150316</v>
      </c>
      <c r="B26">
        <v>2081.19</v>
      </c>
      <c r="C26" s="19">
        <v>-47941255.506099999</v>
      </c>
      <c r="D26" s="19">
        <v>117953.67556071281</v>
      </c>
      <c r="E26" s="19">
        <v>78748222.573439598</v>
      </c>
      <c r="F26" s="19">
        <v>-76311.683426618576</v>
      </c>
      <c r="G26" s="19">
        <v>-31652224.228800006</v>
      </c>
      <c r="H26" s="19">
        <v>-3505069.1014798521</v>
      </c>
      <c r="I26" s="19">
        <v>44689.014960134242</v>
      </c>
      <c r="J26" s="19">
        <v>-114593.28324293961</v>
      </c>
      <c r="K26" s="19">
        <v>-74889437.653898373</v>
      </c>
      <c r="L26" s="19">
        <v>132.6367998006796</v>
      </c>
      <c r="M26" s="19">
        <v>533517.93269438262</v>
      </c>
      <c r="N26" s="19">
        <v>52994782.365543932</v>
      </c>
      <c r="O26" s="19">
        <v>42085489.749158017</v>
      </c>
      <c r="P26" s="19">
        <v>9783228.9167704601</v>
      </c>
      <c r="Q26" s="19">
        <v>-76469544.572202057</v>
      </c>
      <c r="R26" s="19">
        <v>-4579125.8375701448</v>
      </c>
      <c r="S26" s="19">
        <v>642203.9674377183</v>
      </c>
      <c r="T26" s="19">
        <v>3626386.5089956452</v>
      </c>
      <c r="U26" s="19">
        <v>11404.73810903282</v>
      </c>
    </row>
    <row r="27" spans="1:21" x14ac:dyDescent="0.25">
      <c r="A27">
        <v>20150324</v>
      </c>
      <c r="B27">
        <v>2091.5</v>
      </c>
      <c r="C27" s="19">
        <v>-60335781.916699991</v>
      </c>
      <c r="D27" s="19">
        <v>122089.04552960396</v>
      </c>
      <c r="E27" s="19">
        <v>82718640.24673757</v>
      </c>
      <c r="F27" s="19">
        <v>-146816.57161569595</v>
      </c>
      <c r="G27" s="19">
        <v>-31652224.228800006</v>
      </c>
      <c r="H27" s="19">
        <v>-5448862.4971312108</v>
      </c>
      <c r="I27" s="19">
        <v>2435.1423559614218</v>
      </c>
      <c r="J27" s="19">
        <v>-118593.43192765476</v>
      </c>
      <c r="K27" s="19">
        <v>-80968171.909294143</v>
      </c>
      <c r="L27" s="19">
        <v>123.89922398888041</v>
      </c>
      <c r="M27" s="19">
        <v>479161.48955904529</v>
      </c>
      <c r="N27" s="19">
        <v>55943976.625650659</v>
      </c>
      <c r="O27" s="19">
        <v>48703489.696341798</v>
      </c>
      <c r="P27" s="19">
        <v>12966018.321322</v>
      </c>
      <c r="Q27" s="19">
        <v>-69564047.111920521</v>
      </c>
      <c r="R27" s="19">
        <v>-15489927.941906823</v>
      </c>
      <c r="S27" s="19">
        <v>628840.44361064909</v>
      </c>
      <c r="T27" s="19">
        <v>5187259.8269021139</v>
      </c>
      <c r="U27" s="19">
        <v>-172589.30383674332</v>
      </c>
    </row>
    <row r="28" spans="1:21" x14ac:dyDescent="0.25">
      <c r="A28">
        <v>20150331</v>
      </c>
      <c r="B28">
        <v>2067.89</v>
      </c>
      <c r="C28" s="19">
        <v>-56746312.347199991</v>
      </c>
      <c r="D28" s="19">
        <v>123157.39038324356</v>
      </c>
      <c r="E28" s="19">
        <v>81462998.318160415</v>
      </c>
      <c r="F28" s="19">
        <v>-85856.345146656036</v>
      </c>
      <c r="G28" s="19">
        <v>-31652224.228800006</v>
      </c>
      <c r="H28" s="19">
        <v>-490349.08062758949</v>
      </c>
      <c r="I28" s="19">
        <v>-8405.3647226279882</v>
      </c>
      <c r="J28" s="19">
        <v>-120991.69559589493</v>
      </c>
      <c r="K28" s="19">
        <v>-76660461.900711074</v>
      </c>
      <c r="L28" s="19">
        <v>129.58147464061796</v>
      </c>
      <c r="M28" s="19">
        <v>488879.59382681036</v>
      </c>
      <c r="N28" s="19">
        <v>55932464.885882802</v>
      </c>
      <c r="O28" s="19">
        <v>43158735.486721866</v>
      </c>
      <c r="P28" s="19">
        <v>11767365.045526061</v>
      </c>
      <c r="Q28" s="19">
        <v>-68375390.606044695</v>
      </c>
      <c r="R28" s="19">
        <v>-11958889.699657733</v>
      </c>
      <c r="S28" s="19">
        <v>634178.01689027087</v>
      </c>
      <c r="T28" s="19">
        <v>644804.19508779189</v>
      </c>
      <c r="U28" s="19">
        <v>247283.97446791528</v>
      </c>
    </row>
    <row r="29" spans="1:21" x14ac:dyDescent="0.25">
      <c r="A29">
        <v>20150401</v>
      </c>
      <c r="B29">
        <v>2059.69</v>
      </c>
      <c r="C29" s="19">
        <v>-63105627.373299994</v>
      </c>
      <c r="D29" s="19">
        <v>123812.54218029976</v>
      </c>
      <c r="E29" s="19">
        <v>83141602.246023536</v>
      </c>
      <c r="F29" s="19">
        <v>-90614.097450256348</v>
      </c>
      <c r="G29" s="19">
        <v>-31652224.228800006</v>
      </c>
      <c r="H29" s="19">
        <v>-5543042.9908892559</v>
      </c>
      <c r="I29" s="19">
        <v>-6135.9165523605179</v>
      </c>
      <c r="J29" s="19">
        <v>-123798.55589694784</v>
      </c>
      <c r="K29" s="19">
        <v>-80331431.780696347</v>
      </c>
      <c r="L29" s="19">
        <v>129.94498344892153</v>
      </c>
      <c r="M29" s="19">
        <v>481494.53023574798</v>
      </c>
      <c r="N29" s="19">
        <v>56957931.255247846</v>
      </c>
      <c r="O29" s="19">
        <v>47920165.068058111</v>
      </c>
      <c r="P29" s="19">
        <v>12570293.575874891</v>
      </c>
      <c r="Q29" s="19">
        <v>-69356233.572397441</v>
      </c>
      <c r="R29" s="19">
        <v>-14655015.23370906</v>
      </c>
      <c r="S29" s="19">
        <v>626614.85169727751</v>
      </c>
      <c r="T29" s="19">
        <v>5199535.7896801159</v>
      </c>
      <c r="U29" s="19">
        <v>-192541.6946688286</v>
      </c>
    </row>
    <row r="30" spans="1:21" x14ac:dyDescent="0.25">
      <c r="A30">
        <v>20150410</v>
      </c>
      <c r="B30">
        <v>2102.06</v>
      </c>
      <c r="C30" s="19">
        <v>-50993205.673500016</v>
      </c>
      <c r="D30" s="19">
        <v>123933.53430327773</v>
      </c>
      <c r="E30" s="19">
        <v>79277421.204071134</v>
      </c>
      <c r="F30" s="19">
        <v>-101946.77512314916</v>
      </c>
      <c r="G30" s="19">
        <v>-33048751.361200005</v>
      </c>
      <c r="H30" s="19">
        <v>4112641.9513007244</v>
      </c>
      <c r="I30" s="19">
        <v>37080.044011820493</v>
      </c>
      <c r="J30" s="19">
        <v>-122363.23242067192</v>
      </c>
      <c r="K30" s="19">
        <v>-75911005.165233403</v>
      </c>
      <c r="L30" s="19">
        <v>118.22335715848112</v>
      </c>
      <c r="M30" s="19">
        <v>390740.17218157032</v>
      </c>
      <c r="N30" s="19">
        <v>56118960.886423483</v>
      </c>
      <c r="O30" s="19">
        <v>41513844.254321009</v>
      </c>
      <c r="P30" s="19">
        <v>11318920.120116042</v>
      </c>
      <c r="Q30" s="19">
        <v>-68012079.847000524</v>
      </c>
      <c r="R30" s="19">
        <v>-11560567.1194972</v>
      </c>
      <c r="S30" s="19">
        <v>618531.50671620993</v>
      </c>
      <c r="T30" s="19">
        <v>-3903130.9219468464</v>
      </c>
      <c r="U30" s="19">
        <v>-139409.89253185259</v>
      </c>
    </row>
    <row r="31" spans="1:21" x14ac:dyDescent="0.25">
      <c r="A31">
        <v>20150407</v>
      </c>
      <c r="B31">
        <v>2076.33</v>
      </c>
      <c r="C31" s="19">
        <v>-57741544.147999987</v>
      </c>
      <c r="D31" s="19">
        <v>126344.62591993809</v>
      </c>
      <c r="E31" s="19">
        <v>81497409.378284514</v>
      </c>
      <c r="F31" s="19">
        <v>-93817.254019379616</v>
      </c>
      <c r="G31" s="19">
        <v>-33048751.361200005</v>
      </c>
      <c r="H31" s="19">
        <v>2759328.2299000174</v>
      </c>
      <c r="I31" s="19">
        <v>-29749.984488079048</v>
      </c>
      <c r="J31" s="19">
        <v>-121083.55503402522</v>
      </c>
      <c r="K31" s="19">
        <v>-78554968.929760501</v>
      </c>
      <c r="L31" s="19">
        <v>124.07468724709001</v>
      </c>
      <c r="M31" s="19">
        <v>439182.57696783426</v>
      </c>
      <c r="N31" s="19">
        <v>56836895.821133398</v>
      </c>
      <c r="O31" s="19">
        <v>44876873.913164578</v>
      </c>
      <c r="P31" s="19">
        <v>12224903.697100941</v>
      </c>
      <c r="Q31" s="19">
        <v>-68690619.11760512</v>
      </c>
      <c r="R31" s="19">
        <v>-13545500.012246467</v>
      </c>
      <c r="S31" s="19">
        <v>626934.7458053492</v>
      </c>
      <c r="T31" s="19">
        <v>-3135315.7396421982</v>
      </c>
      <c r="U31" s="19">
        <v>2291.284553302412</v>
      </c>
    </row>
    <row r="32" spans="1:21" x14ac:dyDescent="0.25">
      <c r="A32">
        <v>20150420</v>
      </c>
      <c r="B32">
        <v>2100.4</v>
      </c>
      <c r="C32" s="19">
        <v>-57040355.633600011</v>
      </c>
      <c r="D32" s="19">
        <v>130216.45312178135</v>
      </c>
      <c r="E32" s="19">
        <v>83554878.002659768</v>
      </c>
      <c r="F32" s="19">
        <v>-100352.77888423204</v>
      </c>
      <c r="G32" s="19">
        <v>-33048751.361200005</v>
      </c>
      <c r="H32" s="19">
        <v>-871912.22232142545</v>
      </c>
      <c r="I32" s="19">
        <v>-27503.473334093276</v>
      </c>
      <c r="J32" s="19">
        <v>-126318.56500306148</v>
      </c>
      <c r="K32" s="19">
        <v>-79578460.706881106</v>
      </c>
      <c r="L32" s="19">
        <v>118.45935412476854</v>
      </c>
      <c r="M32" s="19">
        <v>365487.06080327218</v>
      </c>
      <c r="N32" s="19">
        <v>58390905.811707459</v>
      </c>
      <c r="O32" s="19">
        <v>44510049.059671678</v>
      </c>
      <c r="P32" s="19">
        <v>10934097.630442221</v>
      </c>
      <c r="Q32" s="19">
        <v>-66840922.963238351</v>
      </c>
      <c r="R32" s="19">
        <v>-14631781.420081839</v>
      </c>
      <c r="S32" s="19">
        <v>584389.21417300811</v>
      </c>
      <c r="T32" s="19">
        <v>1098527.147246287</v>
      </c>
      <c r="U32" s="19">
        <v>46487.642926906323</v>
      </c>
    </row>
    <row r="33" spans="1:21" x14ac:dyDescent="0.25">
      <c r="A33">
        <v>20150415</v>
      </c>
      <c r="B33">
        <v>2106.63</v>
      </c>
      <c r="C33" s="19">
        <v>-54666424.208200023</v>
      </c>
      <c r="D33" s="19">
        <v>125192.92783975601</v>
      </c>
      <c r="E33" s="19">
        <v>82964714.546329319</v>
      </c>
      <c r="F33" s="19">
        <v>-122192.10625398159</v>
      </c>
      <c r="G33" s="19">
        <v>-33048751.361200005</v>
      </c>
      <c r="H33" s="19">
        <v>-4548388.5976201352</v>
      </c>
      <c r="I33" s="19">
        <v>-12140.794986134168</v>
      </c>
      <c r="J33" s="19">
        <v>-125712.50865940239</v>
      </c>
      <c r="K33" s="19">
        <v>-80966151.117002234</v>
      </c>
      <c r="L33" s="19">
        <v>115.58728071533959</v>
      </c>
      <c r="M33" s="19">
        <v>372789.3103934704</v>
      </c>
      <c r="N33" s="19">
        <v>57961598.615033314</v>
      </c>
      <c r="O33" s="19">
        <v>43511104.429670289</v>
      </c>
      <c r="P33" s="19">
        <v>11051328.99730747</v>
      </c>
      <c r="Q33" s="19">
        <v>-66634098.648370109</v>
      </c>
      <c r="R33" s="19">
        <v>-14115187.065512493</v>
      </c>
      <c r="S33" s="19">
        <v>597273.82553095906</v>
      </c>
      <c r="T33" s="19">
        <v>4563122.3795488514</v>
      </c>
      <c r="U33" s="19">
        <v>64677.53392339532</v>
      </c>
    </row>
    <row r="34" spans="1:21" x14ac:dyDescent="0.25">
      <c r="A34">
        <v>20150428</v>
      </c>
      <c r="B34">
        <v>2114.7600000000002</v>
      </c>
      <c r="C34" s="19">
        <v>-44874651.577100009</v>
      </c>
      <c r="D34" s="19">
        <v>123576.61389005184</v>
      </c>
      <c r="E34" s="19">
        <v>79784145.818544894</v>
      </c>
      <c r="F34" s="19">
        <v>-35601.68759727478</v>
      </c>
      <c r="G34" s="19">
        <v>-33048751.361200005</v>
      </c>
      <c r="H34" s="19">
        <v>5906955.7851619776</v>
      </c>
      <c r="I34" s="19">
        <v>-8512.8932955849377</v>
      </c>
      <c r="J34" s="19">
        <v>-125833.61750436285</v>
      </c>
      <c r="K34" s="19">
        <v>-71840448.009234428</v>
      </c>
      <c r="L34" s="19">
        <v>113.84395890020943</v>
      </c>
      <c r="M34" s="19">
        <v>332257.93552957097</v>
      </c>
      <c r="N34" s="19">
        <v>57458777.188553646</v>
      </c>
      <c r="O34" s="19">
        <v>36101711.733873777</v>
      </c>
      <c r="P34" s="19">
        <v>9173433.3651248105</v>
      </c>
      <c r="Q34" s="19">
        <v>-63369852.381099202</v>
      </c>
      <c r="R34" s="19">
        <v>-10405190.066634052</v>
      </c>
      <c r="S34" s="19">
        <v>574303.13579925708</v>
      </c>
      <c r="T34" s="19">
        <v>-5479194.3232559655</v>
      </c>
      <c r="U34" s="19">
        <v>77360.520039072348</v>
      </c>
    </row>
    <row r="35" spans="1:21" x14ac:dyDescent="0.25">
      <c r="A35">
        <v>20150430</v>
      </c>
      <c r="B35">
        <v>2085.5100000000002</v>
      </c>
      <c r="C35" s="19">
        <v>-44803745.299300022</v>
      </c>
      <c r="D35" s="19">
        <v>127803.3135369122</v>
      </c>
      <c r="E35" s="19">
        <v>79725937.002933025</v>
      </c>
      <c r="F35" s="19">
        <v>2941.8600276112556</v>
      </c>
      <c r="G35" s="19">
        <v>-33048751.361200005</v>
      </c>
      <c r="H35" s="19">
        <v>3354735.7775179087</v>
      </c>
      <c r="I35" s="19">
        <v>-9570.1089464321012</v>
      </c>
      <c r="J35" s="19">
        <v>-126522.30105295224</v>
      </c>
      <c r="K35" s="19">
        <v>-70509769.449676588</v>
      </c>
      <c r="L35" s="19">
        <v>112.53133142531473</v>
      </c>
      <c r="M35" s="19">
        <v>348244.97443885065</v>
      </c>
      <c r="N35" s="19">
        <v>57268606.128011353</v>
      </c>
      <c r="O35" s="19">
        <v>35805321.856942244</v>
      </c>
      <c r="P35" s="19">
        <v>8489770.9203985296</v>
      </c>
      <c r="Q35" s="19">
        <v>-66748403.096492551</v>
      </c>
      <c r="R35" s="19">
        <v>-7336210.2713131895</v>
      </c>
      <c r="S35" s="19">
        <v>574372.14701323421</v>
      </c>
      <c r="T35" s="19">
        <v>-3060970.1053706985</v>
      </c>
      <c r="U35" s="19">
        <v>50649.102715453577</v>
      </c>
    </row>
    <row r="36" spans="1:21" x14ac:dyDescent="0.25">
      <c r="A36">
        <v>20150423</v>
      </c>
      <c r="B36">
        <v>2112.9299999999998</v>
      </c>
      <c r="C36" s="19">
        <v>-49429981.795300007</v>
      </c>
      <c r="D36" s="19">
        <v>126599.42672276497</v>
      </c>
      <c r="E36" s="19">
        <v>81389434.319775224</v>
      </c>
      <c r="F36" s="19">
        <v>-81241.563766598701</v>
      </c>
      <c r="G36" s="19">
        <v>-33048751.361200005</v>
      </c>
      <c r="H36" s="19">
        <v>4490873.9007614469</v>
      </c>
      <c r="I36" s="19">
        <v>3765.2562681049262</v>
      </c>
      <c r="J36" s="19">
        <v>-128604.63995402698</v>
      </c>
      <c r="K36" s="19">
        <v>-77767363.90038237</v>
      </c>
      <c r="L36" s="19">
        <v>116.35023853726301</v>
      </c>
      <c r="M36" s="19">
        <v>347401.98571129754</v>
      </c>
      <c r="N36" s="19">
        <v>57745415.320880853</v>
      </c>
      <c r="O36" s="19">
        <v>40978197.383145988</v>
      </c>
      <c r="P36" s="19">
        <v>10250028.82572113</v>
      </c>
      <c r="Q36" s="19">
        <v>-64405178.055387966</v>
      </c>
      <c r="R36" s="19">
        <v>-13486092.262446646</v>
      </c>
      <c r="S36" s="19">
        <v>574690.65679499239</v>
      </c>
      <c r="T36" s="19">
        <v>-4002540.6445089905</v>
      </c>
      <c r="U36" s="19">
        <v>67184.859292721929</v>
      </c>
    </row>
    <row r="37" spans="1:21" x14ac:dyDescent="0.25">
      <c r="A37">
        <v>20150501</v>
      </c>
      <c r="B37">
        <v>2108.29</v>
      </c>
      <c r="C37" s="19">
        <v>-36762723.44380001</v>
      </c>
      <c r="D37" s="19">
        <v>125367.57087135315</v>
      </c>
      <c r="E37" s="19">
        <v>77180346.858534396</v>
      </c>
      <c r="F37" s="19">
        <v>41754.184986919165</v>
      </c>
      <c r="G37" s="19">
        <v>-33048751.361200005</v>
      </c>
      <c r="H37" s="19">
        <v>6866896.1092456141</v>
      </c>
      <c r="I37" s="19">
        <v>-692.95162817398182</v>
      </c>
      <c r="J37" s="19">
        <v>-125339.52024766436</v>
      </c>
      <c r="K37" s="19">
        <v>-69831612.852743432</v>
      </c>
      <c r="L37" s="19">
        <v>116.44501070602104</v>
      </c>
      <c r="M37" s="19">
        <v>327591.80175296305</v>
      </c>
      <c r="N37" s="19">
        <v>56288645.730576068</v>
      </c>
      <c r="O37" s="19">
        <v>30731870.266253613</v>
      </c>
      <c r="P37" s="19">
        <v>7911182.4220123608</v>
      </c>
      <c r="Q37" s="19">
        <v>-67778388.083227649</v>
      </c>
      <c r="R37" s="19">
        <v>-4049238.0737967612</v>
      </c>
      <c r="S37" s="19">
        <v>568417.34814013657</v>
      </c>
      <c r="T37" s="19">
        <v>-6317988.4637035038</v>
      </c>
      <c r="U37" s="19">
        <v>-58159.173951530836</v>
      </c>
    </row>
    <row r="38" spans="1:21" x14ac:dyDescent="0.25"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</row>
    <row r="39" spans="1:21" x14ac:dyDescent="0.25"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</row>
    <row r="40" spans="1:21" x14ac:dyDescent="0.25"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</row>
    <row r="41" spans="1:21" x14ac:dyDescent="0.25"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</row>
    <row r="42" spans="1:21" x14ac:dyDescent="0.25"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</row>
    <row r="43" spans="1:21" x14ac:dyDescent="0.25"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</row>
    <row r="44" spans="1:21" x14ac:dyDescent="0.25"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</row>
    <row r="45" spans="1:21" x14ac:dyDescent="0.25"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</row>
    <row r="46" spans="1:21" x14ac:dyDescent="0.25"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</row>
    <row r="47" spans="1:21" x14ac:dyDescent="0.25"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</row>
    <row r="48" spans="1:21" x14ac:dyDescent="0.25"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</row>
    <row r="49" spans="3:21" x14ac:dyDescent="0.25"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</row>
    <row r="50" spans="3:21" x14ac:dyDescent="0.25"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</row>
    <row r="51" spans="3:21" x14ac:dyDescent="0.25"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</row>
    <row r="52" spans="3:21" x14ac:dyDescent="0.25"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</row>
    <row r="53" spans="3:21" x14ac:dyDescent="0.25"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</row>
    <row r="54" spans="3:21" x14ac:dyDescent="0.25"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</row>
    <row r="55" spans="3:21" x14ac:dyDescent="0.25"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</row>
    <row r="56" spans="3:21" x14ac:dyDescent="0.25"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</row>
    <row r="57" spans="3:21" x14ac:dyDescent="0.25"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</row>
    <row r="58" spans="3:21" x14ac:dyDescent="0.25"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</row>
    <row r="59" spans="3:21" x14ac:dyDescent="0.25"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</row>
    <row r="60" spans="3:21" x14ac:dyDescent="0.25"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</row>
    <row r="61" spans="3:21" x14ac:dyDescent="0.25"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</row>
    <row r="62" spans="3:21" x14ac:dyDescent="0.25"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</row>
    <row r="63" spans="3:21" x14ac:dyDescent="0.25"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</row>
    <row r="64" spans="3:21" x14ac:dyDescent="0.25"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</row>
    <row r="65" spans="3:21" x14ac:dyDescent="0.25"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</row>
    <row r="66" spans="3:21" x14ac:dyDescent="0.25"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</row>
    <row r="67" spans="3:21" x14ac:dyDescent="0.25"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</row>
    <row r="68" spans="3:21" x14ac:dyDescent="0.25"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</row>
    <row r="69" spans="3:21" x14ac:dyDescent="0.25"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</row>
    <row r="70" spans="3:21" x14ac:dyDescent="0.25"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</row>
    <row r="71" spans="3:21" x14ac:dyDescent="0.25"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</row>
    <row r="72" spans="3:21" x14ac:dyDescent="0.25"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</row>
    <row r="73" spans="3:21" x14ac:dyDescent="0.25"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</row>
    <row r="74" spans="3:21" x14ac:dyDescent="0.25"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</row>
    <row r="75" spans="3:21" x14ac:dyDescent="0.25"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</row>
    <row r="76" spans="3:21" x14ac:dyDescent="0.25"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</row>
    <row r="77" spans="3:21" x14ac:dyDescent="0.25"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</row>
    <row r="78" spans="3:21" x14ac:dyDescent="0.25"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</row>
    <row r="79" spans="3:21" x14ac:dyDescent="0.25"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</row>
    <row r="80" spans="3:21" x14ac:dyDescent="0.25"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</row>
    <row r="81" spans="3:21" x14ac:dyDescent="0.25"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</row>
    <row r="82" spans="3:21" x14ac:dyDescent="0.25"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</row>
    <row r="83" spans="3:21" x14ac:dyDescent="0.25"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19"/>
    </row>
    <row r="84" spans="3:21" x14ac:dyDescent="0.25"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</row>
    <row r="85" spans="3:21" x14ac:dyDescent="0.25"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9"/>
    </row>
    <row r="86" spans="3:21" x14ac:dyDescent="0.25"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</row>
    <row r="87" spans="3:21" x14ac:dyDescent="0.25"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/>
    </row>
    <row r="88" spans="3:21" x14ac:dyDescent="0.25"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</row>
    <row r="89" spans="3:21" x14ac:dyDescent="0.25"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19"/>
    </row>
    <row r="90" spans="3:21" x14ac:dyDescent="0.25"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/>
    </row>
    <row r="91" spans="3:21" x14ac:dyDescent="0.25"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19"/>
    </row>
    <row r="92" spans="3:21" x14ac:dyDescent="0.25"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/>
    </row>
    <row r="93" spans="3:21" x14ac:dyDescent="0.25"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</row>
    <row r="94" spans="3:21" x14ac:dyDescent="0.25"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</row>
    <row r="95" spans="3:21" x14ac:dyDescent="0.25"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19"/>
    </row>
    <row r="96" spans="3:21" x14ac:dyDescent="0.25"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</row>
    <row r="97" spans="3:21" x14ac:dyDescent="0.25"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/>
    </row>
    <row r="98" spans="3:21" x14ac:dyDescent="0.25"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</row>
    <row r="99" spans="3:21" x14ac:dyDescent="0.25"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19"/>
    </row>
    <row r="100" spans="3:21" x14ac:dyDescent="0.25"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</row>
    <row r="101" spans="3:21" x14ac:dyDescent="0.25"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</row>
    <row r="102" spans="3:21" x14ac:dyDescent="0.25"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</row>
    <row r="103" spans="3:21" x14ac:dyDescent="0.25"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</row>
    <row r="104" spans="3:21" x14ac:dyDescent="0.25"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</row>
    <row r="105" spans="3:21" x14ac:dyDescent="0.25"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</row>
    <row r="106" spans="3:21" x14ac:dyDescent="0.25"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</row>
    <row r="107" spans="3:21" x14ac:dyDescent="0.25"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</row>
    <row r="108" spans="3:21" x14ac:dyDescent="0.25"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</row>
    <row r="109" spans="3:21" x14ac:dyDescent="0.25"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</row>
    <row r="110" spans="3:21" x14ac:dyDescent="0.25"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</row>
    <row r="111" spans="3:21" x14ac:dyDescent="0.25"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</row>
    <row r="112" spans="3:21" x14ac:dyDescent="0.25"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</row>
    <row r="113" spans="3:21" x14ac:dyDescent="0.25"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</row>
    <row r="114" spans="3:21" x14ac:dyDescent="0.25"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</row>
    <row r="115" spans="3:21" x14ac:dyDescent="0.25"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</row>
    <row r="116" spans="3:21" x14ac:dyDescent="0.25"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</row>
    <row r="117" spans="3:21" x14ac:dyDescent="0.25"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</row>
    <row r="118" spans="3:21" x14ac:dyDescent="0.25"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</row>
    <row r="119" spans="3:21" x14ac:dyDescent="0.25"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19"/>
    </row>
    <row r="120" spans="3:21" x14ac:dyDescent="0.25"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</row>
    <row r="121" spans="3:21" x14ac:dyDescent="0.25"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19"/>
    </row>
    <row r="122" spans="3:21" x14ac:dyDescent="0.25"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</row>
    <row r="123" spans="3:21" x14ac:dyDescent="0.25"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</row>
    <row r="124" spans="3:21" x14ac:dyDescent="0.25"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/>
    </row>
    <row r="125" spans="3:21" x14ac:dyDescent="0.25"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19"/>
    </row>
    <row r="126" spans="3:21" x14ac:dyDescent="0.25"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</row>
    <row r="127" spans="3:21" x14ac:dyDescent="0.25"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19"/>
    </row>
    <row r="128" spans="3:21" x14ac:dyDescent="0.25"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9"/>
    </row>
    <row r="129" spans="3:21" x14ac:dyDescent="0.25"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  <c r="Q129" s="19"/>
      <c r="R129" s="19"/>
      <c r="S129" s="19"/>
      <c r="T129" s="19"/>
      <c r="U129" s="19"/>
    </row>
    <row r="130" spans="3:21" x14ac:dyDescent="0.25"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19"/>
    </row>
    <row r="131" spans="3:21" x14ac:dyDescent="0.25"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  <c r="Q131" s="19"/>
      <c r="R131" s="19"/>
      <c r="S131" s="19"/>
      <c r="T131" s="19"/>
      <c r="U131" s="19"/>
    </row>
    <row r="132" spans="3:21" x14ac:dyDescent="0.25"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19"/>
    </row>
    <row r="133" spans="3:21" x14ac:dyDescent="0.25"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19"/>
    </row>
    <row r="134" spans="3:21" x14ac:dyDescent="0.25"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  <c r="Q134" s="19"/>
      <c r="R134" s="19"/>
      <c r="S134" s="19"/>
      <c r="T134" s="19"/>
      <c r="U134" s="19"/>
    </row>
    <row r="135" spans="3:21" x14ac:dyDescent="0.25"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/>
      <c r="Q135" s="19"/>
      <c r="R135" s="19"/>
      <c r="S135" s="19"/>
      <c r="T135" s="19"/>
      <c r="U135" s="19"/>
    </row>
    <row r="136" spans="3:21" x14ac:dyDescent="0.25"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19"/>
    </row>
    <row r="137" spans="3:21" x14ac:dyDescent="0.25"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  <c r="Q137" s="19"/>
      <c r="R137" s="19"/>
      <c r="S137" s="19"/>
      <c r="T137" s="19"/>
      <c r="U137" s="19"/>
    </row>
    <row r="138" spans="3:21" x14ac:dyDescent="0.25"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19"/>
    </row>
    <row r="139" spans="3:21" x14ac:dyDescent="0.25"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  <c r="Q139" s="19"/>
      <c r="R139" s="19"/>
      <c r="S139" s="19"/>
      <c r="T139" s="19"/>
      <c r="U139" s="19"/>
    </row>
    <row r="140" spans="3:21" x14ac:dyDescent="0.25"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19"/>
    </row>
    <row r="141" spans="3:21" x14ac:dyDescent="0.25"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19"/>
      <c r="T141" s="19"/>
      <c r="U141" s="19"/>
    </row>
    <row r="142" spans="3:21" x14ac:dyDescent="0.25"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19"/>
    </row>
    <row r="143" spans="3:21" x14ac:dyDescent="0.25"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19"/>
    </row>
    <row r="144" spans="3:21" x14ac:dyDescent="0.25"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19"/>
    </row>
    <row r="145" spans="3:21" x14ac:dyDescent="0.25"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19"/>
    </row>
    <row r="146" spans="3:21" x14ac:dyDescent="0.25"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19"/>
    </row>
    <row r="147" spans="3:21" x14ac:dyDescent="0.25"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19"/>
    </row>
    <row r="148" spans="3:21" x14ac:dyDescent="0.25"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19"/>
    </row>
    <row r="149" spans="3:21" x14ac:dyDescent="0.25"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19"/>
    </row>
    <row r="150" spans="3:21" x14ac:dyDescent="0.25"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19"/>
    </row>
    <row r="151" spans="3:21" x14ac:dyDescent="0.25"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19"/>
    </row>
    <row r="152" spans="3:21" x14ac:dyDescent="0.25"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19"/>
    </row>
    <row r="153" spans="3:21" x14ac:dyDescent="0.25"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  <c r="Q153" s="19"/>
      <c r="R153" s="19"/>
      <c r="S153" s="19"/>
      <c r="T153" s="19"/>
      <c r="U153" s="19"/>
    </row>
    <row r="154" spans="3:21" x14ac:dyDescent="0.25"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19"/>
    </row>
    <row r="155" spans="3:21" x14ac:dyDescent="0.25"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  <c r="Q155" s="19"/>
      <c r="R155" s="19"/>
      <c r="S155" s="19"/>
      <c r="T155" s="19"/>
      <c r="U155" s="19"/>
    </row>
    <row r="156" spans="3:21" x14ac:dyDescent="0.25"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19"/>
    </row>
    <row r="157" spans="3:21" x14ac:dyDescent="0.25"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  <c r="Q157" s="19"/>
      <c r="R157" s="19"/>
      <c r="S157" s="19"/>
      <c r="T157" s="19"/>
      <c r="U157" s="19"/>
    </row>
    <row r="158" spans="3:21" x14ac:dyDescent="0.25"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  <c r="Q158" s="19"/>
      <c r="R158" s="19"/>
      <c r="S158" s="19"/>
      <c r="T158" s="19"/>
      <c r="U158" s="19"/>
    </row>
    <row r="159" spans="3:21" x14ac:dyDescent="0.25"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19"/>
      <c r="O159" s="19"/>
      <c r="P159" s="19"/>
      <c r="Q159" s="19"/>
      <c r="R159" s="19"/>
      <c r="S159" s="19"/>
      <c r="T159" s="19"/>
      <c r="U159" s="19"/>
    </row>
    <row r="160" spans="3:21" x14ac:dyDescent="0.25"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19"/>
    </row>
    <row r="161" spans="3:21" x14ac:dyDescent="0.25"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19"/>
    </row>
    <row r="162" spans="3:21" x14ac:dyDescent="0.25"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19"/>
    </row>
    <row r="163" spans="3:21" x14ac:dyDescent="0.25"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19"/>
      <c r="Q163" s="19"/>
      <c r="R163" s="19"/>
      <c r="S163" s="19"/>
      <c r="T163" s="19"/>
      <c r="U163" s="19"/>
    </row>
    <row r="164" spans="3:21" x14ac:dyDescent="0.25"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  <c r="Q164" s="19"/>
      <c r="R164" s="19"/>
      <c r="S164" s="19"/>
      <c r="T164" s="19"/>
      <c r="U164" s="19"/>
    </row>
    <row r="165" spans="3:21" x14ac:dyDescent="0.25"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  <c r="Q165" s="19"/>
      <c r="R165" s="19"/>
      <c r="S165" s="19"/>
      <c r="T165" s="19"/>
      <c r="U165" s="19"/>
    </row>
    <row r="166" spans="3:21" x14ac:dyDescent="0.25"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19"/>
    </row>
    <row r="167" spans="3:21" x14ac:dyDescent="0.25"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19"/>
      <c r="O167" s="19"/>
      <c r="P167" s="19"/>
      <c r="Q167" s="19"/>
      <c r="R167" s="19"/>
      <c r="S167" s="19"/>
      <c r="T167" s="19"/>
      <c r="U167" s="19"/>
    </row>
    <row r="168" spans="3:21" x14ac:dyDescent="0.25"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19"/>
    </row>
    <row r="169" spans="3:21" x14ac:dyDescent="0.25"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19"/>
      <c r="O169" s="19"/>
      <c r="P169" s="19"/>
      <c r="Q169" s="19"/>
      <c r="R169" s="19"/>
      <c r="S169" s="19"/>
      <c r="T169" s="19"/>
      <c r="U169" s="19"/>
    </row>
    <row r="170" spans="3:21" x14ac:dyDescent="0.25"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19"/>
    </row>
    <row r="171" spans="3:21" x14ac:dyDescent="0.25"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19"/>
      <c r="O171" s="19"/>
      <c r="P171" s="19"/>
      <c r="Q171" s="19"/>
      <c r="R171" s="19"/>
      <c r="S171" s="19"/>
      <c r="T171" s="19"/>
      <c r="U171" s="19"/>
    </row>
    <row r="172" spans="3:21" x14ac:dyDescent="0.25"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19"/>
    </row>
    <row r="173" spans="3:21" x14ac:dyDescent="0.25"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19"/>
      <c r="O173" s="19"/>
      <c r="P173" s="19"/>
      <c r="Q173" s="19"/>
      <c r="R173" s="19"/>
      <c r="S173" s="19"/>
      <c r="T173" s="19"/>
      <c r="U173" s="19"/>
    </row>
    <row r="174" spans="3:21" x14ac:dyDescent="0.25"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  <c r="Q174" s="19"/>
      <c r="R174" s="19"/>
      <c r="S174" s="19"/>
      <c r="T174" s="19"/>
      <c r="U174" s="19"/>
    </row>
    <row r="175" spans="3:21" x14ac:dyDescent="0.25"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/>
      <c r="Q175" s="19"/>
      <c r="R175" s="19"/>
      <c r="S175" s="19"/>
      <c r="T175" s="19"/>
      <c r="U175" s="19"/>
    </row>
    <row r="176" spans="3:21" x14ac:dyDescent="0.25"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  <c r="Q176" s="19"/>
      <c r="R176" s="19"/>
      <c r="S176" s="19"/>
      <c r="T176" s="19"/>
      <c r="U176" s="19"/>
    </row>
    <row r="177" spans="3:21" x14ac:dyDescent="0.25"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  <c r="N177" s="19"/>
      <c r="O177" s="19"/>
      <c r="P177" s="19"/>
      <c r="Q177" s="19"/>
      <c r="R177" s="19"/>
      <c r="S177" s="19"/>
      <c r="T177" s="19"/>
      <c r="U177" s="19"/>
    </row>
    <row r="178" spans="3:21" x14ac:dyDescent="0.25"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  <c r="Q178" s="19"/>
      <c r="R178" s="19"/>
      <c r="S178" s="19"/>
      <c r="T178" s="19"/>
      <c r="U178" s="19"/>
    </row>
    <row r="179" spans="3:21" x14ac:dyDescent="0.25"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  <c r="N179" s="19"/>
      <c r="O179" s="19"/>
      <c r="P179" s="19"/>
      <c r="Q179" s="19"/>
      <c r="R179" s="19"/>
      <c r="S179" s="19"/>
      <c r="T179" s="19"/>
      <c r="U179" s="19"/>
    </row>
    <row r="180" spans="3:21" x14ac:dyDescent="0.25"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  <c r="Q180" s="19"/>
      <c r="R180" s="19"/>
      <c r="S180" s="19"/>
      <c r="T180" s="19"/>
      <c r="U180" s="19"/>
    </row>
    <row r="181" spans="3:21" x14ac:dyDescent="0.25"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19"/>
      <c r="Q181" s="19"/>
      <c r="R181" s="19"/>
      <c r="S181" s="19"/>
      <c r="T181" s="19"/>
      <c r="U181" s="19"/>
    </row>
    <row r="182" spans="3:21" x14ac:dyDescent="0.25"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  <c r="Q182" s="19"/>
      <c r="R182" s="19"/>
      <c r="S182" s="19"/>
      <c r="T182" s="19"/>
      <c r="U182" s="19"/>
    </row>
    <row r="183" spans="3:21" x14ac:dyDescent="0.25"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  <c r="N183" s="19"/>
      <c r="O183" s="19"/>
      <c r="P183" s="19"/>
      <c r="Q183" s="19"/>
      <c r="R183" s="19"/>
      <c r="S183" s="19"/>
      <c r="T183" s="19"/>
      <c r="U183" s="19"/>
    </row>
    <row r="184" spans="3:21" x14ac:dyDescent="0.25"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  <c r="Q184" s="19"/>
      <c r="R184" s="19"/>
      <c r="S184" s="19"/>
      <c r="T184" s="19"/>
      <c r="U184" s="19"/>
    </row>
    <row r="185" spans="3:21" x14ac:dyDescent="0.25"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19"/>
      <c r="T185" s="19"/>
      <c r="U185" s="19"/>
    </row>
    <row r="186" spans="3:21" x14ac:dyDescent="0.25"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19"/>
      <c r="T186" s="19"/>
      <c r="U186" s="19"/>
    </row>
    <row r="187" spans="3:21" x14ac:dyDescent="0.25"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19"/>
      <c r="T187" s="19"/>
      <c r="U187" s="19"/>
    </row>
    <row r="188" spans="3:21" x14ac:dyDescent="0.25"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19"/>
      <c r="T188" s="19"/>
      <c r="U188" s="19"/>
    </row>
    <row r="189" spans="3:21" x14ac:dyDescent="0.25"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19"/>
      <c r="T189" s="19"/>
      <c r="U189" s="19"/>
    </row>
    <row r="190" spans="3:21" x14ac:dyDescent="0.25"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19"/>
      <c r="T190" s="19"/>
      <c r="U190" s="19"/>
    </row>
    <row r="191" spans="3:21" x14ac:dyDescent="0.25"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19"/>
      <c r="T191" s="19"/>
      <c r="U191" s="19"/>
    </row>
    <row r="192" spans="3:21" x14ac:dyDescent="0.25"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19"/>
      <c r="T192" s="19"/>
      <c r="U192" s="19"/>
    </row>
    <row r="193" spans="3:21" x14ac:dyDescent="0.25"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19"/>
      <c r="T193" s="19"/>
      <c r="U193" s="19"/>
    </row>
    <row r="194" spans="3:21" x14ac:dyDescent="0.25"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19"/>
      <c r="T194" s="19"/>
      <c r="U194" s="19"/>
    </row>
    <row r="195" spans="3:21" x14ac:dyDescent="0.25"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19"/>
      <c r="T195" s="19"/>
      <c r="U195" s="19"/>
    </row>
    <row r="196" spans="3:21" x14ac:dyDescent="0.25"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19"/>
      <c r="T196" s="19"/>
      <c r="U196" s="19"/>
    </row>
    <row r="197" spans="3:21" x14ac:dyDescent="0.25"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19"/>
      <c r="T197" s="19"/>
      <c r="U197" s="19"/>
    </row>
    <row r="198" spans="3:21" x14ac:dyDescent="0.25"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19"/>
      <c r="T198" s="19"/>
      <c r="U198" s="19"/>
    </row>
    <row r="199" spans="3:21" x14ac:dyDescent="0.25"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19"/>
      <c r="T199" s="19"/>
      <c r="U199" s="19"/>
    </row>
    <row r="200" spans="3:21" x14ac:dyDescent="0.25"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19"/>
      <c r="T200" s="19"/>
      <c r="U200" s="19"/>
    </row>
  </sheetData>
  <sortState ref="A6:A200">
    <sortCondition ref="A5"/>
  </sortState>
  <mergeCells count="4">
    <mergeCell ref="C4:I4"/>
    <mergeCell ref="J4:N4"/>
    <mergeCell ref="O4:S4"/>
    <mergeCell ref="T4:U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ImportGreekUSL_Click">
                <anchor moveWithCells="1" sizeWithCells="1">
                  <from>
                    <xdr:col>3</xdr:col>
                    <xdr:colOff>95250</xdr:colOff>
                    <xdr:row>0</xdr:row>
                    <xdr:rowOff>47625</xdr:rowOff>
                  </from>
                  <to>
                    <xdr:col>3</xdr:col>
                    <xdr:colOff>1200150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RefreshUSL_Click">
                <anchor moveWithCells="1" sizeWithCells="1">
                  <from>
                    <xdr:col>2</xdr:col>
                    <xdr:colOff>190500</xdr:colOff>
                    <xdr:row>0</xdr:row>
                    <xdr:rowOff>47625</xdr:rowOff>
                  </from>
                  <to>
                    <xdr:col>2</xdr:col>
                    <xdr:colOff>1295400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U200"/>
  <sheetViews>
    <sheetView workbookViewId="0">
      <selection sqref="A1:A1048576"/>
    </sheetView>
  </sheetViews>
  <sheetFormatPr defaultRowHeight="15" x14ac:dyDescent="0.25"/>
  <cols>
    <col min="1" max="1" width="19.28515625" style="6" customWidth="1"/>
    <col min="2" max="13" width="19.28515625" customWidth="1"/>
    <col min="14" max="14" width="13.85546875" bestFit="1" customWidth="1"/>
    <col min="15" max="15" width="15.28515625" bestFit="1" customWidth="1"/>
    <col min="16" max="16" width="16.28515625" bestFit="1" customWidth="1"/>
    <col min="17" max="22" width="16.42578125" customWidth="1"/>
  </cols>
  <sheetData>
    <row r="1" spans="1:21" x14ac:dyDescent="0.25">
      <c r="A1" s="6" t="s">
        <v>43</v>
      </c>
      <c r="B1" s="10">
        <v>20141231</v>
      </c>
    </row>
    <row r="2" spans="1:21" x14ac:dyDescent="0.25">
      <c r="A2" s="6" t="s">
        <v>44</v>
      </c>
      <c r="B2" s="10">
        <v>20150505</v>
      </c>
    </row>
    <row r="4" spans="1:21" x14ac:dyDescent="0.25">
      <c r="B4" s="10"/>
      <c r="C4" s="41" t="s">
        <v>45</v>
      </c>
      <c r="D4" s="42"/>
      <c r="E4" s="42"/>
      <c r="F4" s="42"/>
      <c r="G4" s="42"/>
      <c r="H4" s="42"/>
      <c r="I4" s="43"/>
      <c r="J4" s="41" t="s">
        <v>77</v>
      </c>
      <c r="K4" s="42"/>
      <c r="L4" s="42"/>
      <c r="M4" s="42"/>
      <c r="N4" s="43"/>
      <c r="O4" s="41" t="s">
        <v>46</v>
      </c>
      <c r="P4" s="42"/>
      <c r="Q4" s="42"/>
      <c r="R4" s="42"/>
      <c r="S4" s="43"/>
      <c r="T4" s="41" t="s">
        <v>93</v>
      </c>
      <c r="U4" s="43"/>
    </row>
    <row r="5" spans="1:21" x14ac:dyDescent="0.25">
      <c r="A5" s="6" t="s">
        <v>47</v>
      </c>
      <c r="B5" s="10" t="s">
        <v>37</v>
      </c>
      <c r="C5" s="10" t="s">
        <v>38</v>
      </c>
      <c r="D5" s="10" t="s">
        <v>35</v>
      </c>
      <c r="E5" s="10" t="s">
        <v>8</v>
      </c>
      <c r="F5" s="10" t="s">
        <v>36</v>
      </c>
      <c r="G5" s="10" t="s">
        <v>9</v>
      </c>
      <c r="H5" s="10" t="s">
        <v>49</v>
      </c>
      <c r="I5" s="10" t="s">
        <v>48</v>
      </c>
      <c r="J5" s="10" t="s">
        <v>73</v>
      </c>
      <c r="K5" s="10" t="s">
        <v>74</v>
      </c>
      <c r="L5" s="10" t="s">
        <v>75</v>
      </c>
      <c r="M5" s="10" t="s">
        <v>76</v>
      </c>
      <c r="N5" s="10" t="s">
        <v>29</v>
      </c>
      <c r="O5" s="10" t="s">
        <v>39</v>
      </c>
      <c r="P5" s="10" t="s">
        <v>40</v>
      </c>
      <c r="Q5" s="10" t="s">
        <v>10</v>
      </c>
      <c r="R5" s="10" t="s">
        <v>28</v>
      </c>
      <c r="S5" s="10" t="s">
        <v>30</v>
      </c>
      <c r="T5" s="10" t="s">
        <v>94</v>
      </c>
      <c r="U5" s="10" t="s">
        <v>95</v>
      </c>
    </row>
    <row r="6" spans="1:21" x14ac:dyDescent="0.25">
      <c r="A6" s="6">
        <v>20150415</v>
      </c>
      <c r="B6" s="10">
        <v>2106.63</v>
      </c>
      <c r="C6" s="11">
        <v>-197293128.22640002</v>
      </c>
      <c r="D6" s="11">
        <v>30548.309172153473</v>
      </c>
      <c r="E6" s="11">
        <v>91529439.14385587</v>
      </c>
      <c r="F6" s="11">
        <v>-3445148.0940240026</v>
      </c>
      <c r="G6" s="11">
        <v>-33752621.327599645</v>
      </c>
      <c r="H6" s="11">
        <v>-5187678.217358429</v>
      </c>
      <c r="I6" s="11">
        <v>-466313.92436498374</v>
      </c>
      <c r="J6" s="11">
        <v>-30764.097129814731</v>
      </c>
      <c r="K6" s="11">
        <v>-91250003.206063867</v>
      </c>
      <c r="L6" s="11">
        <v>129.55881099405059</v>
      </c>
      <c r="M6" s="11">
        <v>2969989.8621107512</v>
      </c>
      <c r="N6" s="11">
        <v>39844461.705963954</v>
      </c>
      <c r="O6" s="11">
        <v>64150406.767577097</v>
      </c>
      <c r="P6" s="11">
        <v>0</v>
      </c>
      <c r="Q6" s="11">
        <v>-89007788.574128136</v>
      </c>
      <c r="R6" s="11">
        <v>-11684723.909337953</v>
      </c>
      <c r="S6" s="11">
        <v>289964.285294823</v>
      </c>
      <c r="T6" s="19">
        <v>5713212.1085734088</v>
      </c>
      <c r="U6" s="19">
        <v>266739.73192778818</v>
      </c>
    </row>
    <row r="7" spans="1:21" x14ac:dyDescent="0.25">
      <c r="A7" s="6">
        <v>20141231</v>
      </c>
      <c r="B7" s="10">
        <v>2058.9</v>
      </c>
      <c r="C7" s="11">
        <v>-182059454.53140002</v>
      </c>
      <c r="D7" s="11">
        <v>36709.952598571777</v>
      </c>
      <c r="E7" s="11">
        <v>87740115.127978057</v>
      </c>
      <c r="F7" s="11">
        <v>-3458872.5803322792</v>
      </c>
      <c r="G7" s="11">
        <v>-32311433.389200032</v>
      </c>
      <c r="H7" s="11">
        <v>-970932.40725367761</v>
      </c>
      <c r="I7" s="11">
        <v>-1610755.8519202953</v>
      </c>
      <c r="J7" s="11">
        <v>-37409.307855037478</v>
      </c>
      <c r="K7" s="11">
        <v>-87733149.431190342</v>
      </c>
      <c r="L7" s="11">
        <v>200.07711064177781</v>
      </c>
      <c r="M7" s="11">
        <v>3342393.9049717532</v>
      </c>
      <c r="N7" s="11">
        <v>40973701.925027646</v>
      </c>
      <c r="O7" s="19">
        <v>25588521.033633031</v>
      </c>
      <c r="P7" s="19">
        <v>6889389.1204008227</v>
      </c>
      <c r="Q7" s="19">
        <v>-74371341.72436136</v>
      </c>
      <c r="R7" s="19">
        <v>-13796435.461837713</v>
      </c>
      <c r="S7" s="19">
        <v>330907.06544633763</v>
      </c>
      <c r="T7" s="19">
        <v>1136528.9984709199</v>
      </c>
      <c r="U7" s="19">
        <v>913625.78342411038</v>
      </c>
    </row>
    <row r="8" spans="1:21" x14ac:dyDescent="0.25">
      <c r="A8" s="6">
        <v>20150113</v>
      </c>
      <c r="B8" s="10">
        <v>2023.03</v>
      </c>
      <c r="C8" s="11">
        <v>-208462497.88170004</v>
      </c>
      <c r="D8" s="11">
        <v>50461.279518842697</v>
      </c>
      <c r="E8" s="11">
        <v>93944831.796602577</v>
      </c>
      <c r="F8" s="11">
        <v>-3673035.4178498387</v>
      </c>
      <c r="G8" s="11">
        <v>-32311433.389200032</v>
      </c>
      <c r="H8" s="11">
        <v>-11565193.950526552</v>
      </c>
      <c r="I8" s="11">
        <v>-1425267.8174600732</v>
      </c>
      <c r="J8" s="11">
        <v>-47097.097543974931</v>
      </c>
      <c r="K8" s="11">
        <v>-95336651.551627427</v>
      </c>
      <c r="L8" s="11">
        <v>225.06217914490617</v>
      </c>
      <c r="M8" s="11">
        <v>3932915.7206191188</v>
      </c>
      <c r="N8" s="11">
        <v>42145161.064317673</v>
      </c>
      <c r="O8" s="19">
        <v>50209324.292888537</v>
      </c>
      <c r="P8" s="19">
        <v>6408726.8245873535</v>
      </c>
      <c r="Q8" s="19">
        <v>-81146451.673837215</v>
      </c>
      <c r="R8" s="19">
        <v>-11512255.008671224</v>
      </c>
      <c r="S8" s="19">
        <v>342837.76212672313</v>
      </c>
      <c r="T8" s="19">
        <v>11979218.467710143</v>
      </c>
      <c r="U8" s="19">
        <v>527435.5949238633</v>
      </c>
    </row>
    <row r="9" spans="1:21" x14ac:dyDescent="0.25">
      <c r="A9" s="6">
        <v>20150105</v>
      </c>
      <c r="B9" s="10">
        <v>2020.58</v>
      </c>
      <c r="C9" s="11">
        <v>-197909802.1205</v>
      </c>
      <c r="D9" s="11">
        <v>48040.27360534668</v>
      </c>
      <c r="E9" s="11">
        <v>91610949.654144138</v>
      </c>
      <c r="F9" s="11">
        <v>-3600573.0479346514</v>
      </c>
      <c r="G9" s="11">
        <v>-32311433.389200032</v>
      </c>
      <c r="H9" s="11">
        <v>-13355159.358363662</v>
      </c>
      <c r="I9" s="11">
        <v>-1501221.0794273459</v>
      </c>
      <c r="J9" s="11">
        <v>-44996.713892389882</v>
      </c>
      <c r="K9" s="11">
        <v>-94265424.696182355</v>
      </c>
      <c r="L9" s="11">
        <v>217.24274927379733</v>
      </c>
      <c r="M9" s="11">
        <v>3479597.6356350221</v>
      </c>
      <c r="N9" s="11">
        <v>39996749.555663645</v>
      </c>
      <c r="O9" s="19">
        <v>39784102.152009979</v>
      </c>
      <c r="P9" s="19">
        <v>6866795.5304512391</v>
      </c>
      <c r="Q9" s="19">
        <v>-79348963.626549423</v>
      </c>
      <c r="R9" s="19">
        <v>-12309068.075751171</v>
      </c>
      <c r="S9" s="19">
        <v>331876.45954921911</v>
      </c>
      <c r="T9" s="19">
        <v>13796965.435903745</v>
      </c>
      <c r="U9" s="19">
        <v>683878.81684937829</v>
      </c>
    </row>
    <row r="10" spans="1:21" x14ac:dyDescent="0.25">
      <c r="A10" s="6">
        <v>20150108</v>
      </c>
      <c r="B10" s="10">
        <v>2062.14</v>
      </c>
      <c r="C10" s="11">
        <v>-195762575.16749996</v>
      </c>
      <c r="D10" s="11">
        <v>37829.175634622574</v>
      </c>
      <c r="E10" s="11">
        <v>90961126.751622587</v>
      </c>
      <c r="F10" s="11">
        <v>-3570218.1335485578</v>
      </c>
      <c r="G10" s="11">
        <v>-32311433.389200032</v>
      </c>
      <c r="H10" s="11">
        <v>-36996.964882496126</v>
      </c>
      <c r="I10" s="11">
        <v>1720840.9587122756</v>
      </c>
      <c r="J10" s="11">
        <v>-55646.077265339067</v>
      </c>
      <c r="K10" s="11">
        <v>-92648921.476099893</v>
      </c>
      <c r="L10" s="11">
        <v>203.6276539056019</v>
      </c>
      <c r="M10" s="11">
        <v>3749904.7489891006</v>
      </c>
      <c r="N10" s="11">
        <v>40042846.580708414</v>
      </c>
      <c r="O10" s="19">
        <v>39772959.690344572</v>
      </c>
      <c r="P10" s="19">
        <v>6836900.3144507017</v>
      </c>
      <c r="Q10" s="19">
        <v>-79347006.420362189</v>
      </c>
      <c r="R10" s="19">
        <v>-12713506.589477731</v>
      </c>
      <c r="S10" s="19">
        <v>330223.40130871919</v>
      </c>
      <c r="T10" s="19">
        <v>141713.9263482368</v>
      </c>
      <c r="U10" s="19">
        <v>-187325.90348239997</v>
      </c>
    </row>
    <row r="11" spans="1:21" x14ac:dyDescent="0.25">
      <c r="A11" s="6">
        <v>20150212</v>
      </c>
      <c r="B11" s="10">
        <v>2088.48</v>
      </c>
      <c r="C11" s="11">
        <v>-188343273.28250003</v>
      </c>
      <c r="D11" s="11">
        <v>27509.862361192703</v>
      </c>
      <c r="E11" s="11">
        <v>89351053.873495728</v>
      </c>
      <c r="F11" s="11">
        <v>-3416939.7220886946</v>
      </c>
      <c r="G11" s="11">
        <v>-36070541.548000216</v>
      </c>
      <c r="H11" s="11">
        <v>662094.94080751587</v>
      </c>
      <c r="I11" s="11">
        <v>3099712.9225934488</v>
      </c>
      <c r="J11" s="11">
        <v>-26886.588691859357</v>
      </c>
      <c r="K11" s="11">
        <v>-89191371.722360149</v>
      </c>
      <c r="L11" s="11">
        <v>189.34290173418071</v>
      </c>
      <c r="M11" s="11">
        <v>3458458.8815593612</v>
      </c>
      <c r="N11" s="11">
        <v>52401754.247294322</v>
      </c>
      <c r="O11" s="19">
        <v>48276332.398331679</v>
      </c>
      <c r="P11" s="19">
        <v>8186329.0475487811</v>
      </c>
      <c r="Q11" s="19">
        <v>-86298827.041745856</v>
      </c>
      <c r="R11" s="19">
        <v>-2695182.9212296768</v>
      </c>
      <c r="S11" s="19">
        <v>547665.66854680935</v>
      </c>
      <c r="T11" s="19">
        <v>-422762.66988625191</v>
      </c>
      <c r="U11" s="19">
        <v>-2055187.7392567999</v>
      </c>
    </row>
    <row r="12" spans="1:21" x14ac:dyDescent="0.25">
      <c r="A12" s="6">
        <v>20150116</v>
      </c>
      <c r="B12" s="10">
        <v>2019.42</v>
      </c>
      <c r="C12" s="11">
        <v>-214475058.48119998</v>
      </c>
      <c r="D12" s="11">
        <v>49919.295655012131</v>
      </c>
      <c r="E12" s="11">
        <v>95383445.066405356</v>
      </c>
      <c r="F12" s="11">
        <v>-3745474.1392610073</v>
      </c>
      <c r="G12" s="11">
        <v>-32311433.389200032</v>
      </c>
      <c r="H12" s="11">
        <v>-5328671.6964120371</v>
      </c>
      <c r="I12" s="11">
        <v>-735258.09208600316</v>
      </c>
      <c r="J12" s="11">
        <v>-52261.207702288171</v>
      </c>
      <c r="K12" s="11">
        <v>-96521150.574280977</v>
      </c>
      <c r="L12" s="11">
        <v>227.31337880143701</v>
      </c>
      <c r="M12" s="11">
        <v>3966130.1605665507</v>
      </c>
      <c r="N12" s="11">
        <v>42201672.745732658</v>
      </c>
      <c r="O12" s="19">
        <v>54315427.189183563</v>
      </c>
      <c r="P12" s="19">
        <v>8058562.3790516071</v>
      </c>
      <c r="Q12" s="19">
        <v>-80973930.445891589</v>
      </c>
      <c r="R12" s="19">
        <v>-13123092.506517863</v>
      </c>
      <c r="S12" s="19">
        <v>356146.55772426748</v>
      </c>
      <c r="T12" s="19">
        <v>5563235.5012237597</v>
      </c>
      <c r="U12" s="19">
        <v>869345.83092935826</v>
      </c>
    </row>
    <row r="13" spans="1:21" x14ac:dyDescent="0.25">
      <c r="A13" s="6">
        <v>20150122</v>
      </c>
      <c r="B13" s="10">
        <v>2063.15</v>
      </c>
      <c r="C13" s="11">
        <v>-206852532.93090004</v>
      </c>
      <c r="D13" s="11">
        <v>37256.419885873795</v>
      </c>
      <c r="E13" s="11">
        <v>93750806.545014501</v>
      </c>
      <c r="F13" s="11">
        <v>-3574009.384747386</v>
      </c>
      <c r="G13" s="11">
        <v>-32311433.389200032</v>
      </c>
      <c r="H13" s="11">
        <v>1213936.6867196411</v>
      </c>
      <c r="I13" s="11">
        <v>4191183.2250848301</v>
      </c>
      <c r="J13" s="11">
        <v>-37294.444359577537</v>
      </c>
      <c r="K13" s="11">
        <v>-94581830.231927931</v>
      </c>
      <c r="L13" s="11">
        <v>204.00698838659838</v>
      </c>
      <c r="M13" s="11">
        <v>3664106.2587546874</v>
      </c>
      <c r="N13" s="11">
        <v>42955740.967829332</v>
      </c>
      <c r="O13" s="19">
        <v>53595105.880828321</v>
      </c>
      <c r="P13" s="19">
        <v>7167002.981652311</v>
      </c>
      <c r="Q13" s="19">
        <v>-80999705.441678077</v>
      </c>
      <c r="R13" s="19">
        <v>-12591885.838110076</v>
      </c>
      <c r="S13" s="19">
        <v>347383.7074591812</v>
      </c>
      <c r="T13" s="19">
        <v>-916837.90825905453</v>
      </c>
      <c r="U13" s="19">
        <v>-2026518.6618091366</v>
      </c>
    </row>
    <row r="14" spans="1:21" x14ac:dyDescent="0.25">
      <c r="A14" s="6">
        <v>20150127</v>
      </c>
      <c r="B14" s="10">
        <v>2029.55</v>
      </c>
      <c r="C14" s="11">
        <v>-212236249.35750002</v>
      </c>
      <c r="D14" s="11">
        <v>48537.123461484909</v>
      </c>
      <c r="E14" s="11">
        <v>94805862.95873791</v>
      </c>
      <c r="F14" s="11">
        <v>-3628264.281973958</v>
      </c>
      <c r="G14" s="11">
        <v>-32311433.389200032</v>
      </c>
      <c r="H14" s="11">
        <v>-2927096.7336695269</v>
      </c>
      <c r="I14" s="11">
        <v>-1326815.2817611969</v>
      </c>
      <c r="J14" s="11">
        <v>-42752.275477637202</v>
      </c>
      <c r="K14" s="11">
        <v>-95269127.758290768</v>
      </c>
      <c r="L14" s="11">
        <v>219.57422133394911</v>
      </c>
      <c r="M14" s="11">
        <v>3759558.2337536728</v>
      </c>
      <c r="N14" s="11">
        <v>42481872.127540484</v>
      </c>
      <c r="O14" s="19">
        <v>56348937.51923956</v>
      </c>
      <c r="P14" s="19">
        <v>7377751.8856655108</v>
      </c>
      <c r="Q14" s="19">
        <v>-81468905.477076933</v>
      </c>
      <c r="R14" s="19">
        <v>-13199744.243117128</v>
      </c>
      <c r="S14" s="19">
        <v>348700.98078621028</v>
      </c>
      <c r="T14" s="19">
        <v>3014872.8846330279</v>
      </c>
      <c r="U14" s="19">
        <v>62826.967347527716</v>
      </c>
    </row>
    <row r="15" spans="1:21" x14ac:dyDescent="0.25">
      <c r="A15" s="6">
        <v>20150130</v>
      </c>
      <c r="B15" s="10">
        <v>1994.99</v>
      </c>
      <c r="C15" s="11">
        <v>-233607750.38099998</v>
      </c>
      <c r="D15" s="11">
        <v>58994.288638830185</v>
      </c>
      <c r="E15" s="11">
        <v>100033248.70669138</v>
      </c>
      <c r="F15" s="11">
        <v>-3864120.0756269097</v>
      </c>
      <c r="G15" s="11">
        <v>-32311433.389200032</v>
      </c>
      <c r="H15" s="11">
        <v>-18120655.420500599</v>
      </c>
      <c r="I15" s="11">
        <v>-2916364.1544866422</v>
      </c>
      <c r="J15" s="11">
        <v>-60485.681305787934</v>
      </c>
      <c r="K15" s="11">
        <v>-103703008.11311528</v>
      </c>
      <c r="L15" s="11">
        <v>242.33578553687047</v>
      </c>
      <c r="M15" s="11">
        <v>3998595.6583681125</v>
      </c>
      <c r="N15" s="11">
        <v>44637399.22435388</v>
      </c>
      <c r="O15" s="19">
        <v>69667656.469377995</v>
      </c>
      <c r="P15" s="19">
        <v>11566796.901740029</v>
      </c>
      <c r="Q15" s="19">
        <v>-80939200.41734542</v>
      </c>
      <c r="R15" s="19">
        <v>-18226016.456265353</v>
      </c>
      <c r="S15" s="19">
        <v>365165.2872059276</v>
      </c>
      <c r="T15" s="19">
        <v>18646154.457108237</v>
      </c>
      <c r="U15" s="19">
        <v>1297470.3261669506</v>
      </c>
    </row>
    <row r="16" spans="1:21" x14ac:dyDescent="0.25">
      <c r="A16" s="6">
        <v>20150319</v>
      </c>
      <c r="B16" s="10">
        <v>2089.27</v>
      </c>
      <c r="C16" s="11">
        <v>-197827249.26359999</v>
      </c>
      <c r="D16" s="11">
        <v>33863.14141869545</v>
      </c>
      <c r="E16" s="11">
        <v>91734580.482084394</v>
      </c>
      <c r="F16" s="11">
        <v>-3413110.2056397796</v>
      </c>
      <c r="G16" s="11">
        <v>-33230220.382400155</v>
      </c>
      <c r="H16" s="11">
        <v>-13356774.589471227</v>
      </c>
      <c r="I16" s="11">
        <v>-505894.49680240371</v>
      </c>
      <c r="J16" s="11">
        <v>-34271.987362246131</v>
      </c>
      <c r="K16" s="11">
        <v>-94340963.611065432</v>
      </c>
      <c r="L16" s="11">
        <v>181.38068476013973</v>
      </c>
      <c r="M16" s="11">
        <v>3111914.8360039736</v>
      </c>
      <c r="N16" s="11">
        <v>38585124.159676149</v>
      </c>
      <c r="O16" s="19">
        <v>61288724.278670855</v>
      </c>
      <c r="P16" s="19">
        <v>0</v>
      </c>
      <c r="Q16" s="19">
        <v>-89137006.897737354</v>
      </c>
      <c r="R16" s="19">
        <v>-11591670.337146413</v>
      </c>
      <c r="S16" s="19">
        <v>300840.39551342279</v>
      </c>
      <c r="T16" s="19">
        <v>13766423.858916393</v>
      </c>
      <c r="U16" s="19">
        <v>477401.47333129635</v>
      </c>
    </row>
    <row r="17" spans="1:21" x14ac:dyDescent="0.25">
      <c r="A17" s="6">
        <v>20150204</v>
      </c>
      <c r="B17" s="10">
        <v>2041.51</v>
      </c>
      <c r="C17" s="11">
        <v>-216375754.80310002</v>
      </c>
      <c r="D17" s="11">
        <v>46206.696962594986</v>
      </c>
      <c r="E17" s="11">
        <v>95845266.541114926</v>
      </c>
      <c r="F17" s="11">
        <v>-3686547.5838942528</v>
      </c>
      <c r="G17" s="11">
        <v>-36070541.548000216</v>
      </c>
      <c r="H17" s="11">
        <v>9210299.2518309262</v>
      </c>
      <c r="I17" s="11">
        <v>3189211.1695469874</v>
      </c>
      <c r="J17" s="11">
        <v>-47624.864035478371</v>
      </c>
      <c r="K17" s="11">
        <v>-95205326.528386012</v>
      </c>
      <c r="L17" s="11">
        <v>216.28569050653675</v>
      </c>
      <c r="M17" s="11">
        <v>3765985.4473401355</v>
      </c>
      <c r="N17" s="11">
        <v>42530934.330273874</v>
      </c>
      <c r="O17" s="19">
        <v>60403306.547822177</v>
      </c>
      <c r="P17" s="19">
        <v>9202040.0117895585</v>
      </c>
      <c r="Q17" s="19">
        <v>-79243934.927065015</v>
      </c>
      <c r="R17" s="19">
        <v>-15176143.489971716</v>
      </c>
      <c r="S17" s="19">
        <v>356090.66824478691</v>
      </c>
      <c r="T17" s="19">
        <v>-11333285.706099601</v>
      </c>
      <c r="U17" s="19">
        <v>486704.82420744182</v>
      </c>
    </row>
    <row r="18" spans="1:21" x14ac:dyDescent="0.25">
      <c r="A18" s="6">
        <v>20150209</v>
      </c>
      <c r="B18">
        <v>2046.74</v>
      </c>
      <c r="C18" s="19">
        <v>-193537345.37760001</v>
      </c>
      <c r="D18" s="19">
        <v>38205.380739092827</v>
      </c>
      <c r="E18" s="19">
        <v>90373467.924491286</v>
      </c>
      <c r="F18" s="19">
        <v>-3528693.8642529249</v>
      </c>
      <c r="G18" s="19">
        <v>-36070541.548000216</v>
      </c>
      <c r="H18" s="19">
        <v>20789257.530452877</v>
      </c>
      <c r="I18" s="19">
        <v>-1589480.6365267166</v>
      </c>
      <c r="J18" s="19">
        <v>-44961.530087759442</v>
      </c>
      <c r="K18" s="19">
        <v>-87062522.437243998</v>
      </c>
      <c r="L18" s="19">
        <v>210.43652138853093</v>
      </c>
      <c r="M18" s="19">
        <v>3729465.8650271781</v>
      </c>
      <c r="N18" s="19">
        <v>50303774.39936702</v>
      </c>
      <c r="O18" s="19">
        <v>48904920.385281354</v>
      </c>
      <c r="P18" s="19">
        <v>8581288.5105232075</v>
      </c>
      <c r="Q18" s="19">
        <v>-86443668.421827391</v>
      </c>
      <c r="R18" s="19">
        <v>-2759269.0582264909</v>
      </c>
      <c r="S18" s="19">
        <v>554529.16640204634</v>
      </c>
      <c r="T18" s="19">
        <v>-20323900.448782898</v>
      </c>
      <c r="U18" s="19">
        <v>2320446.4709779345</v>
      </c>
    </row>
    <row r="19" spans="1:21" x14ac:dyDescent="0.25">
      <c r="A19" s="6">
        <v>20150218</v>
      </c>
      <c r="B19">
        <v>2099.6799999999998</v>
      </c>
      <c r="C19" s="19">
        <v>-176972132.60840005</v>
      </c>
      <c r="D19" s="19">
        <v>27536.002658367157</v>
      </c>
      <c r="E19" s="19">
        <v>86292963.452515513</v>
      </c>
      <c r="F19" s="19">
        <v>-3321288.5955818295</v>
      </c>
      <c r="G19" s="19">
        <v>-36070541.548000216</v>
      </c>
      <c r="H19" s="19">
        <v>10391288.362476597</v>
      </c>
      <c r="I19" s="19">
        <v>455505.06666967494</v>
      </c>
      <c r="J19" s="19">
        <v>-24309.81930579061</v>
      </c>
      <c r="K19" s="19">
        <v>-83267089.002824381</v>
      </c>
      <c r="L19" s="19">
        <v>184.11083288965656</v>
      </c>
      <c r="M19" s="19">
        <v>3379461.7942004111</v>
      </c>
      <c r="N19" s="19">
        <v>43727517.78192126</v>
      </c>
      <c r="O19" s="19">
        <v>38302789.666653886</v>
      </c>
      <c r="P19" s="19">
        <v>7545920.1914836001</v>
      </c>
      <c r="Q19" s="19">
        <v>-84450845.228898928</v>
      </c>
      <c r="R19" s="19">
        <v>638087.08538823877</v>
      </c>
      <c r="S19" s="19">
        <v>536122.51591535914</v>
      </c>
      <c r="T19" s="19">
        <v>-9831021.2389325742</v>
      </c>
      <c r="U19" s="19">
        <v>20160.802761692459</v>
      </c>
    </row>
    <row r="20" spans="1:21" x14ac:dyDescent="0.25">
      <c r="A20" s="6">
        <v>20150223</v>
      </c>
      <c r="B20">
        <v>2109.66</v>
      </c>
      <c r="C20" s="19">
        <v>-181267812.82069999</v>
      </c>
      <c r="D20" s="19">
        <v>25708.385955572128</v>
      </c>
      <c r="E20" s="19">
        <v>87697879.763167858</v>
      </c>
      <c r="F20" s="19">
        <v>-3339483.8749133348</v>
      </c>
      <c r="G20" s="19">
        <v>-36070541.548000216</v>
      </c>
      <c r="H20" s="19">
        <v>-2671462.4861729667</v>
      </c>
      <c r="I20" s="19">
        <v>825829.2871126174</v>
      </c>
      <c r="J20" s="19">
        <v>-24469.995906524462</v>
      </c>
      <c r="K20" s="19">
        <v>-84683150.088561624</v>
      </c>
      <c r="L20" s="19">
        <v>178.22242510717805</v>
      </c>
      <c r="M20" s="19">
        <v>3279239.3402666287</v>
      </c>
      <c r="N20" s="19">
        <v>45313245.624334864</v>
      </c>
      <c r="O20" s="19">
        <v>43284418.909112677</v>
      </c>
      <c r="P20" s="19">
        <v>7626349.6399186691</v>
      </c>
      <c r="Q20" s="19">
        <v>-88130465.646381021</v>
      </c>
      <c r="R20" s="19">
        <v>-429079.66702759912</v>
      </c>
      <c r="S20" s="19">
        <v>533249.88392104756</v>
      </c>
      <c r="T20" s="19">
        <v>2665386.1070307577</v>
      </c>
      <c r="U20" s="19">
        <v>-404086.02805506234</v>
      </c>
    </row>
    <row r="21" spans="1:21" x14ac:dyDescent="0.25">
      <c r="A21" s="6">
        <v>20150226</v>
      </c>
      <c r="B21">
        <v>2110.7399999999998</v>
      </c>
      <c r="C21" s="19">
        <v>-182887661.53190002</v>
      </c>
      <c r="D21" s="19">
        <v>25454.612277507782</v>
      </c>
      <c r="E21" s="19">
        <v>88158245.019282877</v>
      </c>
      <c r="F21" s="19">
        <v>-3299789.5987587571</v>
      </c>
      <c r="G21" s="19">
        <v>-36070541.548000216</v>
      </c>
      <c r="H21" s="19">
        <v>-3335473.4925118922</v>
      </c>
      <c r="I21" s="19">
        <v>1315250.0233172104</v>
      </c>
      <c r="J21" s="19">
        <v>-22933.732716889062</v>
      </c>
      <c r="K21" s="19">
        <v>-88712703.537374914</v>
      </c>
      <c r="L21" s="19">
        <v>175.84769301298797</v>
      </c>
      <c r="M21" s="19">
        <v>3184627.9681692733</v>
      </c>
      <c r="N21" s="19">
        <v>46328035.839419082</v>
      </c>
      <c r="O21" s="19">
        <v>46836890.988959342</v>
      </c>
      <c r="P21" s="19">
        <v>7651308.5448396541</v>
      </c>
      <c r="Q21" s="19">
        <v>-88768033.52610442</v>
      </c>
      <c r="R21" s="19">
        <v>-1527553.1931186281</v>
      </c>
      <c r="S21" s="19">
        <v>530798.30190268008</v>
      </c>
      <c r="T21" s="19">
        <v>3481348.5365989031</v>
      </c>
      <c r="U21" s="19">
        <v>-1410589.3132076301</v>
      </c>
    </row>
    <row r="22" spans="1:21" x14ac:dyDescent="0.25">
      <c r="A22" s="6">
        <v>20150227</v>
      </c>
      <c r="B22">
        <v>2104.5</v>
      </c>
      <c r="C22" s="19">
        <v>-186837848.49160001</v>
      </c>
      <c r="D22" s="19">
        <v>27230.129172563553</v>
      </c>
      <c r="E22" s="19">
        <v>89236138.625137329</v>
      </c>
      <c r="F22" s="19">
        <v>-3352297.0389060974</v>
      </c>
      <c r="G22" s="19">
        <v>-36070541.548000216</v>
      </c>
      <c r="H22" s="19">
        <v>-3697300.2676990288</v>
      </c>
      <c r="I22" s="19">
        <v>-411828.53594441671</v>
      </c>
      <c r="J22" s="19">
        <v>-26770.519759838058</v>
      </c>
      <c r="K22" s="19">
        <v>-90765038.391213298</v>
      </c>
      <c r="L22" s="19">
        <v>178.94007503749219</v>
      </c>
      <c r="M22" s="19">
        <v>3216332.6334748315</v>
      </c>
      <c r="N22" s="19">
        <v>47404500.943413898</v>
      </c>
      <c r="O22" s="19">
        <v>50641209.767628059</v>
      </c>
      <c r="P22" s="19">
        <v>7894899.3825397706</v>
      </c>
      <c r="Q22" s="19">
        <v>-89465174.467914388</v>
      </c>
      <c r="R22" s="19">
        <v>-2743875.0510705044</v>
      </c>
      <c r="S22" s="19">
        <v>531205.44352597196</v>
      </c>
      <c r="T22" s="19">
        <v>3923420.2818660187</v>
      </c>
      <c r="U22" s="19">
        <v>37572.175332239698</v>
      </c>
    </row>
    <row r="23" spans="1:21" x14ac:dyDescent="0.25">
      <c r="A23" s="6">
        <v>20150303</v>
      </c>
      <c r="B23">
        <v>2107.7800000000002</v>
      </c>
      <c r="C23" s="19">
        <v>-175241269.33090001</v>
      </c>
      <c r="D23" s="19">
        <v>27415.308934688568</v>
      </c>
      <c r="E23" s="19">
        <v>86001656.277374387</v>
      </c>
      <c r="F23" s="19">
        <v>-3229895.4728506804</v>
      </c>
      <c r="G23" s="19">
        <v>-33230220.382400155</v>
      </c>
      <c r="H23" s="19">
        <v>13249479.913920693</v>
      </c>
      <c r="I23" s="19">
        <v>62720.601055753148</v>
      </c>
      <c r="J23" s="19">
        <v>-26353.423259513365</v>
      </c>
      <c r="K23" s="19">
        <v>-89541069.687805817</v>
      </c>
      <c r="L23" s="19">
        <v>176.65368628903025</v>
      </c>
      <c r="M23" s="19">
        <v>3182663.9903446082</v>
      </c>
      <c r="N23" s="19">
        <v>38458645.949416727</v>
      </c>
      <c r="O23" s="19">
        <v>39802382.89410919</v>
      </c>
      <c r="P23" s="19">
        <v>2.9318102116835811E-8</v>
      </c>
      <c r="Q23" s="19">
        <v>-87521636.683584914</v>
      </c>
      <c r="R23" s="19">
        <v>-7739999.9999993993</v>
      </c>
      <c r="S23" s="19">
        <v>773076.99305902934</v>
      </c>
      <c r="T23" s="19">
        <v>-10838270.120210759</v>
      </c>
      <c r="U23" s="19">
        <v>363273.56468977977</v>
      </c>
    </row>
    <row r="24" spans="1:21" x14ac:dyDescent="0.25">
      <c r="A24" s="6">
        <v>20150306</v>
      </c>
      <c r="B24">
        <v>2071.2600000000002</v>
      </c>
      <c r="C24" s="19">
        <v>-167840766.60499999</v>
      </c>
      <c r="D24" s="19">
        <v>38135.943504095078</v>
      </c>
      <c r="E24" s="19">
        <v>83585904.797917366</v>
      </c>
      <c r="F24" s="19">
        <v>-3153125.6537515223</v>
      </c>
      <c r="G24" s="19">
        <v>-33230220.382400155</v>
      </c>
      <c r="H24" s="19">
        <v>10606276.442965474</v>
      </c>
      <c r="I24" s="19">
        <v>-600958.86583678739</v>
      </c>
      <c r="J24" s="19">
        <v>-31432.156312566956</v>
      </c>
      <c r="K24" s="19">
        <v>-81453063.468380809</v>
      </c>
      <c r="L24" s="19">
        <v>191.93702669929789</v>
      </c>
      <c r="M24" s="19">
        <v>3247313.2982267924</v>
      </c>
      <c r="N24" s="19">
        <v>38127060.604093246</v>
      </c>
      <c r="O24" s="19">
        <v>29275773.873779487</v>
      </c>
      <c r="P24" s="19">
        <v>0</v>
      </c>
      <c r="Q24" s="19">
        <v>-85637967.216513336</v>
      </c>
      <c r="R24" s="19">
        <v>-5771566.59867761</v>
      </c>
      <c r="S24" s="19">
        <v>206352.96140427314</v>
      </c>
      <c r="T24" s="19">
        <v>-9858537.0447679609</v>
      </c>
      <c r="U24" s="19">
        <v>-1320365.9017700481</v>
      </c>
    </row>
    <row r="25" spans="1:21" x14ac:dyDescent="0.25">
      <c r="A25" s="6">
        <v>20150311</v>
      </c>
      <c r="B25">
        <v>2040.24</v>
      </c>
      <c r="C25" s="19">
        <v>-185061189.97759998</v>
      </c>
      <c r="D25" s="19">
        <v>46741.645849943161</v>
      </c>
      <c r="E25" s="19">
        <v>87884198.743818998</v>
      </c>
      <c r="F25" s="19">
        <v>-3354135.2948307991</v>
      </c>
      <c r="G25" s="19">
        <v>-33230220.382400155</v>
      </c>
      <c r="H25" s="19">
        <v>-13251868.940795772</v>
      </c>
      <c r="I25" s="19">
        <v>-2175863.425295976</v>
      </c>
      <c r="J25" s="19">
        <v>-44990.758544167547</v>
      </c>
      <c r="K25" s="19">
        <v>-88927824.598354295</v>
      </c>
      <c r="L25" s="19">
        <v>207.73636624170544</v>
      </c>
      <c r="M25" s="19">
        <v>3389213.1892014169</v>
      </c>
      <c r="N25" s="19">
        <v>38263416.077512257</v>
      </c>
      <c r="O25" s="19">
        <v>43341026.37155734</v>
      </c>
      <c r="P25" s="19">
        <v>0</v>
      </c>
      <c r="Q25" s="19">
        <v>-88241976.630943105</v>
      </c>
      <c r="R25" s="19">
        <v>-7917235.6663818751</v>
      </c>
      <c r="S25" s="19">
        <v>248290.44019666826</v>
      </c>
      <c r="T25" s="19">
        <v>13469449.358937686</v>
      </c>
      <c r="U25" s="19">
        <v>839276.2632530604</v>
      </c>
    </row>
    <row r="26" spans="1:21" x14ac:dyDescent="0.25">
      <c r="A26" s="6">
        <v>20150316</v>
      </c>
      <c r="B26">
        <v>2081.19</v>
      </c>
      <c r="C26" s="19">
        <v>-184234306.09539998</v>
      </c>
      <c r="D26" s="19">
        <v>36209.963064432144</v>
      </c>
      <c r="E26" s="19">
        <v>88079195.06572032</v>
      </c>
      <c r="F26" s="19">
        <v>-3276699.9558137059</v>
      </c>
      <c r="G26" s="19">
        <v>-33230220.382400155</v>
      </c>
      <c r="H26" s="19">
        <v>-3985394.4037668491</v>
      </c>
      <c r="I26" s="19">
        <v>2497313.094086003</v>
      </c>
      <c r="J26" s="19">
        <v>-37702.025168569191</v>
      </c>
      <c r="K26" s="19">
        <v>-89612152.683189034</v>
      </c>
      <c r="L26" s="19">
        <v>186.91513216343645</v>
      </c>
      <c r="M26" s="19">
        <v>3163803.7519791927</v>
      </c>
      <c r="N26" s="19">
        <v>37704842.450378999</v>
      </c>
      <c r="O26" s="19">
        <v>47504933.916989923</v>
      </c>
      <c r="P26" s="19">
        <v>0</v>
      </c>
      <c r="Q26" s="19">
        <v>-88966957.45594804</v>
      </c>
      <c r="R26" s="19">
        <v>-8098870.8453326439</v>
      </c>
      <c r="S26" s="19">
        <v>250060.54373348717</v>
      </c>
      <c r="T26" s="19">
        <v>4456228.5447616437</v>
      </c>
      <c r="U26" s="19">
        <v>-1036034.7442266548</v>
      </c>
    </row>
    <row r="27" spans="1:21" x14ac:dyDescent="0.25">
      <c r="A27" s="6">
        <v>20150324</v>
      </c>
      <c r="B27">
        <v>2091.5</v>
      </c>
      <c r="C27" s="19">
        <v>-203437530.8766</v>
      </c>
      <c r="D27" s="19">
        <v>34273.364557743073</v>
      </c>
      <c r="E27" s="19">
        <v>93144024.34593612</v>
      </c>
      <c r="F27" s="19">
        <v>-3473996.3476215005</v>
      </c>
      <c r="G27" s="19">
        <v>-33230220.382400155</v>
      </c>
      <c r="H27" s="19">
        <v>-6377099.7732527489</v>
      </c>
      <c r="I27" s="19">
        <v>-20262.180521808168</v>
      </c>
      <c r="J27" s="19">
        <v>-30648.676590717674</v>
      </c>
      <c r="K27" s="19">
        <v>-94475392.998040169</v>
      </c>
      <c r="L27" s="19">
        <v>155.49091014151873</v>
      </c>
      <c r="M27" s="19">
        <v>3107352.2763047637</v>
      </c>
      <c r="N27" s="19">
        <v>38137216.315861769</v>
      </c>
      <c r="O27" s="19">
        <v>67528190.050870061</v>
      </c>
      <c r="P27" s="19">
        <v>0</v>
      </c>
      <c r="Q27" s="19">
        <v>-90077580.06623207</v>
      </c>
      <c r="R27" s="19">
        <v>-13259195.256432375</v>
      </c>
      <c r="S27" s="19">
        <v>317607.72935164568</v>
      </c>
      <c r="T27" s="19">
        <v>6220227.4855953641</v>
      </c>
      <c r="U27" s="19">
        <v>-238958.35425627138</v>
      </c>
    </row>
    <row r="28" spans="1:21" x14ac:dyDescent="0.25">
      <c r="A28" s="6">
        <v>20150327</v>
      </c>
      <c r="B28">
        <v>2061.02</v>
      </c>
      <c r="C28" s="19">
        <v>-198724508.368</v>
      </c>
      <c r="D28" s="19">
        <v>44166.908542394638</v>
      </c>
      <c r="E28" s="19">
        <v>91565670.387529522</v>
      </c>
      <c r="F28" s="19">
        <v>-3456585.7048255205</v>
      </c>
      <c r="G28" s="19">
        <v>-33230220.382400155</v>
      </c>
      <c r="H28" s="19">
        <v>7951002.1428395705</v>
      </c>
      <c r="I28" s="19">
        <v>-1490226.9158589356</v>
      </c>
      <c r="J28" s="19">
        <v>-35143.574250123849</v>
      </c>
      <c r="K28" s="19">
        <v>-90236276.843100905</v>
      </c>
      <c r="L28" s="19">
        <v>142.23762780926876</v>
      </c>
      <c r="M28" s="19">
        <v>3184870.7745221108</v>
      </c>
      <c r="N28" s="19">
        <v>36614939.823539026</v>
      </c>
      <c r="O28" s="19">
        <v>60056811.647497796</v>
      </c>
      <c r="P28" s="19">
        <v>0</v>
      </c>
      <c r="Q28" s="19">
        <v>-88755536.353784934</v>
      </c>
      <c r="R28" s="19">
        <v>-11584440.704777362</v>
      </c>
      <c r="S28" s="19">
        <v>296626.769726142</v>
      </c>
      <c r="T28" s="19">
        <v>-8216078.3586732373</v>
      </c>
      <c r="U28" s="19">
        <v>457796.02906683908</v>
      </c>
    </row>
    <row r="29" spans="1:21" x14ac:dyDescent="0.25">
      <c r="A29" s="6">
        <v>20150401</v>
      </c>
      <c r="B29">
        <v>2059.69</v>
      </c>
      <c r="C29" s="19">
        <v>-206124357.55659997</v>
      </c>
      <c r="D29" s="19">
        <v>45294.630593061447</v>
      </c>
      <c r="E29" s="19">
        <v>93488891.676152498</v>
      </c>
      <c r="F29" s="19">
        <v>-3556118.5404180288</v>
      </c>
      <c r="G29" s="19">
        <v>-33230220.382400155</v>
      </c>
      <c r="H29" s="19">
        <v>-6217909.0219493695</v>
      </c>
      <c r="I29" s="19">
        <v>-265204.78163864161</v>
      </c>
      <c r="J29" s="19">
        <v>-43404.936154021991</v>
      </c>
      <c r="K29" s="19">
        <v>-93556888.298411936</v>
      </c>
      <c r="L29" s="19">
        <v>142.77430170387163</v>
      </c>
      <c r="M29" s="19">
        <v>3175900.5997075872</v>
      </c>
      <c r="N29" s="19">
        <v>41968659.342243627</v>
      </c>
      <c r="O29" s="19">
        <v>66899843.18149291</v>
      </c>
      <c r="P29" s="19">
        <v>0</v>
      </c>
      <c r="Q29" s="19">
        <v>-89801407.794529229</v>
      </c>
      <c r="R29" s="19">
        <v>-12830494.548466254</v>
      </c>
      <c r="S29" s="19">
        <v>309705.36022315122</v>
      </c>
      <c r="T29" s="19">
        <v>6014642.3845752748</v>
      </c>
      <c r="U29" s="19">
        <v>-838837.42548497999</v>
      </c>
    </row>
    <row r="30" spans="1:21" x14ac:dyDescent="0.25">
      <c r="A30" s="6">
        <v>20150331</v>
      </c>
      <c r="B30">
        <v>2067.89</v>
      </c>
      <c r="C30" s="19">
        <v>-199285213.97620001</v>
      </c>
      <c r="D30" s="19">
        <v>44001.396006345749</v>
      </c>
      <c r="E30" s="19">
        <v>91740162.889051169</v>
      </c>
      <c r="F30" s="19">
        <v>-3495864.7016496658</v>
      </c>
      <c r="G30" s="19">
        <v>-33230220.382400155</v>
      </c>
      <c r="H30" s="19">
        <v>-775892.03169138974</v>
      </c>
      <c r="I30" s="19">
        <v>-435498.13162921346</v>
      </c>
      <c r="J30" s="19">
        <v>-43849.287242868224</v>
      </c>
      <c r="K30" s="19">
        <v>-91164475.032283098</v>
      </c>
      <c r="L30" s="19">
        <v>140.24542255508845</v>
      </c>
      <c r="M30" s="19">
        <v>3180787.8189888387</v>
      </c>
      <c r="N30" s="19">
        <v>36740738.268245868</v>
      </c>
      <c r="O30" s="19">
        <v>60791729.354179874</v>
      </c>
      <c r="P30" s="19">
        <v>0</v>
      </c>
      <c r="Q30" s="19">
        <v>-88722698.350753933</v>
      </c>
      <c r="R30" s="19">
        <v>-11494366.124115789</v>
      </c>
      <c r="S30" s="19">
        <v>294752.29061757569</v>
      </c>
      <c r="T30" s="19">
        <v>1210707.2738055298</v>
      </c>
      <c r="U30" s="19">
        <v>955467.8675007734</v>
      </c>
    </row>
    <row r="31" spans="1:21" x14ac:dyDescent="0.25">
      <c r="A31" s="6">
        <v>20150407</v>
      </c>
      <c r="B31">
        <v>2076.33</v>
      </c>
      <c r="C31" s="19">
        <v>-200123107.37709999</v>
      </c>
      <c r="D31" s="19">
        <v>42987.011362791061</v>
      </c>
      <c r="E31" s="19">
        <v>92017125.592271924</v>
      </c>
      <c r="F31" s="19">
        <v>-3489681.6934629679</v>
      </c>
      <c r="G31" s="19">
        <v>-33752621.327599645</v>
      </c>
      <c r="H31" s="19">
        <v>2599081.0209013424</v>
      </c>
      <c r="I31" s="19">
        <v>1229857.2216252033</v>
      </c>
      <c r="J31" s="19">
        <v>-42956.640227521573</v>
      </c>
      <c r="K31" s="19">
        <v>-91542481.304666117</v>
      </c>
      <c r="L31" s="19">
        <v>138.32081724611353</v>
      </c>
      <c r="M31" s="19">
        <v>3103908.5225000666</v>
      </c>
      <c r="N31" s="19">
        <v>40895225.142717764</v>
      </c>
      <c r="O31" s="19">
        <v>63359064.215855874</v>
      </c>
      <c r="P31" s="19">
        <v>0</v>
      </c>
      <c r="Q31" s="19">
        <v>-89035442.287458569</v>
      </c>
      <c r="R31" s="19">
        <v>-11934100.145921236</v>
      </c>
      <c r="S31" s="19">
        <v>297026.78969353146</v>
      </c>
      <c r="T31" s="19">
        <v>-3387686.4460302782</v>
      </c>
      <c r="U31" s="19">
        <v>-30227.897401903145</v>
      </c>
    </row>
    <row r="32" spans="1:21" x14ac:dyDescent="0.25">
      <c r="A32" s="6">
        <v>20150410</v>
      </c>
      <c r="B32">
        <v>2102.06</v>
      </c>
      <c r="C32" s="19">
        <v>-191466588.66649997</v>
      </c>
      <c r="D32" s="19">
        <v>30977.441898822784</v>
      </c>
      <c r="E32" s="19">
        <v>89943036.741091669</v>
      </c>
      <c r="F32" s="19">
        <v>-3368917.3694953918</v>
      </c>
      <c r="G32" s="19">
        <v>-33752621.327599645</v>
      </c>
      <c r="H32" s="19">
        <v>4738494.8658915423</v>
      </c>
      <c r="I32" s="19">
        <v>1501053.3154501468</v>
      </c>
      <c r="J32" s="19">
        <v>-38561.305089714529</v>
      </c>
      <c r="K32" s="19">
        <v>-89744214.665475234</v>
      </c>
      <c r="L32" s="19">
        <v>130.13007500194274</v>
      </c>
      <c r="M32" s="19">
        <v>2978847.2988959597</v>
      </c>
      <c r="N32" s="19">
        <v>40227481.877518654</v>
      </c>
      <c r="O32" s="19">
        <v>58977430.548742235</v>
      </c>
      <c r="P32" s="19">
        <v>0</v>
      </c>
      <c r="Q32" s="19">
        <v>-88228208.105560884</v>
      </c>
      <c r="R32" s="19">
        <v>-11029617.738980776</v>
      </c>
      <c r="S32" s="19">
        <v>283517.4341001836</v>
      </c>
      <c r="T32" s="19">
        <v>-4604879.2265549265</v>
      </c>
      <c r="U32" s="19">
        <v>-177501.04731191491</v>
      </c>
    </row>
    <row r="33" spans="1:21" x14ac:dyDescent="0.25">
      <c r="A33" s="6">
        <v>20150423</v>
      </c>
      <c r="B33">
        <v>2112.9299999999998</v>
      </c>
      <c r="C33" s="19">
        <v>-192621611.13799998</v>
      </c>
      <c r="D33" s="19">
        <v>29987.250844240189</v>
      </c>
      <c r="E33" s="19">
        <v>90009173.523005664</v>
      </c>
      <c r="F33" s="19">
        <v>-3429438.5807502866</v>
      </c>
      <c r="G33" s="19">
        <v>-33752621.327599645</v>
      </c>
      <c r="H33" s="19">
        <v>4948747.9787565302</v>
      </c>
      <c r="I33" s="19">
        <v>139738.66072967756</v>
      </c>
      <c r="J33" s="19">
        <v>-31880.275366258691</v>
      </c>
      <c r="K33" s="19">
        <v>-90161318.255481929</v>
      </c>
      <c r="L33" s="19">
        <v>127.84468568561395</v>
      </c>
      <c r="M33" s="19">
        <v>2958514.6179159936</v>
      </c>
      <c r="N33" s="19">
        <v>44119871.11292325</v>
      </c>
      <c r="O33" s="19">
        <v>60683792.736380428</v>
      </c>
      <c r="P33" s="19">
        <v>0</v>
      </c>
      <c r="Q33" s="19">
        <v>-88351615.692039698</v>
      </c>
      <c r="R33" s="19">
        <v>-11424096.69035444</v>
      </c>
      <c r="S33" s="19">
        <v>282887.19191504514</v>
      </c>
      <c r="T33" s="19">
        <v>-4418784.9621542115</v>
      </c>
      <c r="U33" s="19">
        <v>678610.60771231481</v>
      </c>
    </row>
    <row r="34" spans="1:21" x14ac:dyDescent="0.25">
      <c r="A34" s="6">
        <v>20150420</v>
      </c>
      <c r="B34">
        <v>2100.4</v>
      </c>
      <c r="C34" s="19">
        <v>-199366136.21930003</v>
      </c>
      <c r="D34" s="19">
        <v>33448.545051574707</v>
      </c>
      <c r="E34" s="19">
        <v>91887737.423640132</v>
      </c>
      <c r="F34" s="19">
        <v>-3488598.5581287146</v>
      </c>
      <c r="G34" s="19">
        <v>-33752621.327599645</v>
      </c>
      <c r="H34" s="19">
        <v>-869984.73790416261</v>
      </c>
      <c r="I34" s="19">
        <v>-895716.43370549812</v>
      </c>
      <c r="J34" s="19">
        <v>-32147.732735529455</v>
      </c>
      <c r="K34" s="19">
        <v>-91782791.782625109</v>
      </c>
      <c r="L34" s="19">
        <v>131.73951332150659</v>
      </c>
      <c r="M34" s="19">
        <v>2998127.027671752</v>
      </c>
      <c r="N34" s="19">
        <v>40554654.303951837</v>
      </c>
      <c r="O34" s="19">
        <v>65321740.108905576</v>
      </c>
      <c r="P34" s="19">
        <v>0</v>
      </c>
      <c r="Q34" s="19">
        <v>-89169490.489273041</v>
      </c>
      <c r="R34" s="19">
        <v>-11974560.421260586</v>
      </c>
      <c r="S34" s="19">
        <v>290865.95568460261</v>
      </c>
      <c r="T34" s="19">
        <v>1441035.7038876452</v>
      </c>
      <c r="U34" s="19">
        <v>477216.72462188738</v>
      </c>
    </row>
    <row r="35" spans="1:21" x14ac:dyDescent="0.25">
      <c r="A35" s="6">
        <v>20150428</v>
      </c>
      <c r="B35">
        <v>2114.7600000000002</v>
      </c>
      <c r="C35" s="19">
        <v>-187152409.21649998</v>
      </c>
      <c r="D35" s="19">
        <v>31556.425321340561</v>
      </c>
      <c r="E35" s="19">
        <v>88424687.262787849</v>
      </c>
      <c r="F35" s="19">
        <v>-3416841.1023944616</v>
      </c>
      <c r="G35" s="19">
        <v>-33752621.327599645</v>
      </c>
      <c r="H35" s="19">
        <v>6400859.0511894198</v>
      </c>
      <c r="I35" s="19">
        <v>-445262.06733504211</v>
      </c>
      <c r="J35" s="19">
        <v>-29640.934929117437</v>
      </c>
      <c r="K35" s="19">
        <v>-87198013.343887568</v>
      </c>
      <c r="L35" s="19">
        <v>126.64290930882969</v>
      </c>
      <c r="M35" s="19">
        <v>2943727.4708765661</v>
      </c>
      <c r="N35" s="19">
        <v>43329268.421804145</v>
      </c>
      <c r="O35" s="19">
        <v>54508600.279895671</v>
      </c>
      <c r="P35" s="19">
        <v>0</v>
      </c>
      <c r="Q35" s="19">
        <v>-87131228.999798745</v>
      </c>
      <c r="R35" s="19">
        <v>-9659687.9008715972</v>
      </c>
      <c r="S35" s="19">
        <v>257332.18533654959</v>
      </c>
      <c r="T35" s="19">
        <v>-6748982.3871605657</v>
      </c>
      <c r="U35" s="19">
        <v>771120.61627022934</v>
      </c>
    </row>
    <row r="36" spans="1:21" x14ac:dyDescent="0.25">
      <c r="A36" s="6">
        <v>20150430</v>
      </c>
      <c r="B36">
        <v>2085.5100000000002</v>
      </c>
      <c r="C36" s="19">
        <v>-183814636.5855</v>
      </c>
      <c r="D36" s="19">
        <v>41276.579507708549</v>
      </c>
      <c r="E36" s="19">
        <v>87299359.227972269</v>
      </c>
      <c r="F36" s="19">
        <v>-3397602.6271260977</v>
      </c>
      <c r="G36" s="19">
        <v>-33752621.327599645</v>
      </c>
      <c r="H36" s="19">
        <v>3698936.4327761522</v>
      </c>
      <c r="I36" s="19">
        <v>-963309.30356824247</v>
      </c>
      <c r="J36" s="19">
        <v>-35236.452092870386</v>
      </c>
      <c r="K36" s="19">
        <v>-85680448.757522449</v>
      </c>
      <c r="L36" s="19">
        <v>134.41725045175906</v>
      </c>
      <c r="M36" s="19">
        <v>3023443.1265267595</v>
      </c>
      <c r="N36" s="19">
        <v>48643166.333781481</v>
      </c>
      <c r="O36" s="19">
        <v>50961507.935255289</v>
      </c>
      <c r="P36" s="19">
        <v>0</v>
      </c>
      <c r="Q36" s="19">
        <v>-86481681.674761146</v>
      </c>
      <c r="R36" s="19">
        <v>-8297083.5949119413</v>
      </c>
      <c r="S36" s="19">
        <v>235721.09480457866</v>
      </c>
      <c r="T36" s="19">
        <v>-3073538.7788606412</v>
      </c>
      <c r="U36" s="19">
        <v>-41599.534855516737</v>
      </c>
    </row>
    <row r="37" spans="1:21" x14ac:dyDescent="0.25">
      <c r="A37" s="6">
        <v>20150501</v>
      </c>
      <c r="B37">
        <v>2108.29</v>
      </c>
      <c r="C37" s="19">
        <v>-175233717.68369997</v>
      </c>
      <c r="D37" s="19">
        <v>35509.47606754303</v>
      </c>
      <c r="E37" s="19">
        <v>85077233.471044123</v>
      </c>
      <c r="F37" s="19">
        <v>-3316010.2731109858</v>
      </c>
      <c r="G37" s="19">
        <v>-33752621.327599645</v>
      </c>
      <c r="H37" s="19">
        <v>7536966.9622046547</v>
      </c>
      <c r="I37" s="19">
        <v>840163.61707724666</v>
      </c>
      <c r="J37" s="19">
        <v>-38617.188687457689</v>
      </c>
      <c r="K37" s="19">
        <v>-83544188.563563243</v>
      </c>
      <c r="L37" s="19">
        <v>128.88636479840602</v>
      </c>
      <c r="M37" s="19">
        <v>2958990.2321100207</v>
      </c>
      <c r="N37" s="19">
        <v>55965107.306399345</v>
      </c>
      <c r="O37" s="19">
        <v>39843510.36151322</v>
      </c>
      <c r="P37" s="19">
        <v>0</v>
      </c>
      <c r="Q37" s="19">
        <v>-78279686.690122664</v>
      </c>
      <c r="R37" s="19">
        <v>-6971988.9682899769</v>
      </c>
      <c r="S37" s="19">
        <v>211585.15836290453</v>
      </c>
      <c r="T37" s="19">
        <v>-7318923.5874888301</v>
      </c>
      <c r="U37" s="19">
        <v>-69706.019785776851</v>
      </c>
    </row>
    <row r="38" spans="1:21" x14ac:dyDescent="0.25"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</row>
    <row r="39" spans="1:21" x14ac:dyDescent="0.25"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</row>
    <row r="40" spans="1:21" x14ac:dyDescent="0.25"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</row>
    <row r="41" spans="1:21" x14ac:dyDescent="0.25"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</row>
    <row r="42" spans="1:21" x14ac:dyDescent="0.25"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</row>
    <row r="43" spans="1:21" x14ac:dyDescent="0.25"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</row>
    <row r="44" spans="1:21" x14ac:dyDescent="0.25"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</row>
    <row r="45" spans="1:21" x14ac:dyDescent="0.25"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</row>
    <row r="46" spans="1:21" x14ac:dyDescent="0.25"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</row>
    <row r="47" spans="1:21" x14ac:dyDescent="0.25"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</row>
    <row r="48" spans="1:21" x14ac:dyDescent="0.25"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</row>
    <row r="49" spans="3:21" x14ac:dyDescent="0.25"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</row>
    <row r="50" spans="3:21" x14ac:dyDescent="0.25"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</row>
    <row r="51" spans="3:21" x14ac:dyDescent="0.25"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</row>
    <row r="52" spans="3:21" x14ac:dyDescent="0.25"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</row>
    <row r="53" spans="3:21" x14ac:dyDescent="0.25"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</row>
    <row r="54" spans="3:21" x14ac:dyDescent="0.25"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</row>
    <row r="55" spans="3:21" x14ac:dyDescent="0.25"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</row>
    <row r="56" spans="3:21" x14ac:dyDescent="0.25"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</row>
    <row r="57" spans="3:21" x14ac:dyDescent="0.25"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</row>
    <row r="58" spans="3:21" x14ac:dyDescent="0.25"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</row>
    <row r="59" spans="3:21" x14ac:dyDescent="0.25"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</row>
    <row r="60" spans="3:21" x14ac:dyDescent="0.25"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</row>
    <row r="61" spans="3:21" x14ac:dyDescent="0.25"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</row>
    <row r="62" spans="3:21" x14ac:dyDescent="0.25"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</row>
    <row r="63" spans="3:21" x14ac:dyDescent="0.25"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</row>
    <row r="64" spans="3:21" x14ac:dyDescent="0.25"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</row>
    <row r="65" spans="3:21" x14ac:dyDescent="0.25"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</row>
    <row r="66" spans="3:21" x14ac:dyDescent="0.25"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</row>
    <row r="67" spans="3:21" x14ac:dyDescent="0.25"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</row>
    <row r="68" spans="3:21" x14ac:dyDescent="0.25"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</row>
    <row r="69" spans="3:21" x14ac:dyDescent="0.25"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</row>
    <row r="70" spans="3:21" x14ac:dyDescent="0.25"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</row>
    <row r="71" spans="3:21" x14ac:dyDescent="0.25"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</row>
    <row r="72" spans="3:21" x14ac:dyDescent="0.25"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</row>
    <row r="73" spans="3:21" x14ac:dyDescent="0.25"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</row>
    <row r="74" spans="3:21" x14ac:dyDescent="0.25"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</row>
    <row r="75" spans="3:21" x14ac:dyDescent="0.25"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</row>
    <row r="76" spans="3:21" x14ac:dyDescent="0.25"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</row>
    <row r="77" spans="3:21" x14ac:dyDescent="0.25"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</row>
    <row r="78" spans="3:21" x14ac:dyDescent="0.25"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</row>
    <row r="79" spans="3:21" x14ac:dyDescent="0.25"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</row>
    <row r="80" spans="3:21" x14ac:dyDescent="0.25"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</row>
    <row r="81" spans="3:21" x14ac:dyDescent="0.25"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</row>
    <row r="82" spans="3:21" x14ac:dyDescent="0.25"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</row>
    <row r="83" spans="3:21" x14ac:dyDescent="0.25"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19"/>
    </row>
    <row r="84" spans="3:21" x14ac:dyDescent="0.25"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</row>
    <row r="85" spans="3:21" x14ac:dyDescent="0.25"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9"/>
    </row>
    <row r="86" spans="3:21" x14ac:dyDescent="0.25"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</row>
    <row r="87" spans="3:21" x14ac:dyDescent="0.25"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/>
    </row>
    <row r="88" spans="3:21" x14ac:dyDescent="0.25"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</row>
    <row r="89" spans="3:21" x14ac:dyDescent="0.25"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19"/>
    </row>
    <row r="90" spans="3:21" x14ac:dyDescent="0.25"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/>
    </row>
    <row r="91" spans="3:21" x14ac:dyDescent="0.25"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19"/>
    </row>
    <row r="92" spans="3:21" x14ac:dyDescent="0.25"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/>
    </row>
    <row r="93" spans="3:21" x14ac:dyDescent="0.25"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</row>
    <row r="94" spans="3:21" x14ac:dyDescent="0.25"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</row>
    <row r="95" spans="3:21" x14ac:dyDescent="0.25"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19"/>
    </row>
    <row r="96" spans="3:21" x14ac:dyDescent="0.25"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</row>
    <row r="97" spans="3:21" x14ac:dyDescent="0.25"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/>
    </row>
    <row r="98" spans="3:21" x14ac:dyDescent="0.25"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</row>
    <row r="99" spans="3:21" x14ac:dyDescent="0.25"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19"/>
    </row>
    <row r="100" spans="3:21" x14ac:dyDescent="0.25"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</row>
    <row r="101" spans="3:21" x14ac:dyDescent="0.25"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</row>
    <row r="102" spans="3:21" x14ac:dyDescent="0.25"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</row>
    <row r="103" spans="3:21" x14ac:dyDescent="0.25"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</row>
    <row r="104" spans="3:21" x14ac:dyDescent="0.25"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</row>
    <row r="105" spans="3:21" x14ac:dyDescent="0.25"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</row>
    <row r="106" spans="3:21" x14ac:dyDescent="0.25"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</row>
    <row r="107" spans="3:21" x14ac:dyDescent="0.25"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</row>
    <row r="108" spans="3:21" x14ac:dyDescent="0.25"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</row>
    <row r="109" spans="3:21" x14ac:dyDescent="0.25"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</row>
    <row r="110" spans="3:21" x14ac:dyDescent="0.25"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</row>
    <row r="111" spans="3:21" x14ac:dyDescent="0.25"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</row>
    <row r="112" spans="3:21" x14ac:dyDescent="0.25"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</row>
    <row r="113" spans="3:21" x14ac:dyDescent="0.25"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</row>
    <row r="114" spans="3:21" x14ac:dyDescent="0.25"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</row>
    <row r="115" spans="3:21" x14ac:dyDescent="0.25"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</row>
    <row r="116" spans="3:21" x14ac:dyDescent="0.25"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</row>
    <row r="117" spans="3:21" x14ac:dyDescent="0.25"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</row>
    <row r="118" spans="3:21" x14ac:dyDescent="0.25"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</row>
    <row r="119" spans="3:21" x14ac:dyDescent="0.25"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19"/>
    </row>
    <row r="120" spans="3:21" x14ac:dyDescent="0.25"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</row>
    <row r="121" spans="3:21" x14ac:dyDescent="0.25"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19"/>
    </row>
    <row r="122" spans="3:21" x14ac:dyDescent="0.25"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</row>
    <row r="123" spans="3:21" x14ac:dyDescent="0.25"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</row>
    <row r="124" spans="3:21" x14ac:dyDescent="0.25"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/>
    </row>
    <row r="125" spans="3:21" x14ac:dyDescent="0.25"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19"/>
    </row>
    <row r="126" spans="3:21" x14ac:dyDescent="0.25"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</row>
    <row r="127" spans="3:21" x14ac:dyDescent="0.25"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19"/>
    </row>
    <row r="128" spans="3:21" x14ac:dyDescent="0.25"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9"/>
    </row>
    <row r="129" spans="3:21" x14ac:dyDescent="0.25"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  <c r="Q129" s="19"/>
      <c r="R129" s="19"/>
      <c r="S129" s="19"/>
      <c r="T129" s="19"/>
      <c r="U129" s="19"/>
    </row>
    <row r="130" spans="3:21" x14ac:dyDescent="0.25"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19"/>
    </row>
    <row r="131" spans="3:21" x14ac:dyDescent="0.25"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  <c r="Q131" s="19"/>
      <c r="R131" s="19"/>
      <c r="S131" s="19"/>
      <c r="T131" s="19"/>
      <c r="U131" s="19"/>
    </row>
    <row r="132" spans="3:21" x14ac:dyDescent="0.25"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19"/>
    </row>
    <row r="133" spans="3:21" x14ac:dyDescent="0.25"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19"/>
    </row>
    <row r="134" spans="3:21" x14ac:dyDescent="0.25"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  <c r="Q134" s="19"/>
      <c r="R134" s="19"/>
      <c r="S134" s="19"/>
      <c r="T134" s="19"/>
      <c r="U134" s="19"/>
    </row>
    <row r="135" spans="3:21" x14ac:dyDescent="0.25"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/>
      <c r="Q135" s="19"/>
      <c r="R135" s="19"/>
      <c r="S135" s="19"/>
      <c r="T135" s="19"/>
      <c r="U135" s="19"/>
    </row>
    <row r="136" spans="3:21" x14ac:dyDescent="0.25"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19"/>
    </row>
    <row r="137" spans="3:21" x14ac:dyDescent="0.25"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  <c r="Q137" s="19"/>
      <c r="R137" s="19"/>
      <c r="S137" s="19"/>
      <c r="T137" s="19"/>
      <c r="U137" s="19"/>
    </row>
    <row r="138" spans="3:21" x14ac:dyDescent="0.25"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19"/>
    </row>
    <row r="139" spans="3:21" x14ac:dyDescent="0.25"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  <c r="Q139" s="19"/>
      <c r="R139" s="19"/>
      <c r="S139" s="19"/>
      <c r="T139" s="19"/>
      <c r="U139" s="19"/>
    </row>
    <row r="140" spans="3:21" x14ac:dyDescent="0.25"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19"/>
    </row>
    <row r="141" spans="3:21" x14ac:dyDescent="0.25"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19"/>
      <c r="T141" s="19"/>
      <c r="U141" s="19"/>
    </row>
    <row r="142" spans="3:21" x14ac:dyDescent="0.25"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19"/>
    </row>
    <row r="143" spans="3:21" x14ac:dyDescent="0.25"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19"/>
    </row>
    <row r="144" spans="3:21" x14ac:dyDescent="0.25"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19"/>
    </row>
    <row r="145" spans="3:21" x14ac:dyDescent="0.25"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19"/>
    </row>
    <row r="146" spans="3:21" x14ac:dyDescent="0.25"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19"/>
    </row>
    <row r="147" spans="3:21" x14ac:dyDescent="0.25"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19"/>
    </row>
    <row r="148" spans="3:21" x14ac:dyDescent="0.25"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19"/>
    </row>
    <row r="149" spans="3:21" x14ac:dyDescent="0.25"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19"/>
    </row>
    <row r="150" spans="3:21" x14ac:dyDescent="0.25"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19"/>
    </row>
    <row r="151" spans="3:21" x14ac:dyDescent="0.25"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19"/>
    </row>
    <row r="152" spans="3:21" x14ac:dyDescent="0.25"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19"/>
    </row>
    <row r="153" spans="3:21" x14ac:dyDescent="0.25"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  <c r="Q153" s="19"/>
      <c r="R153" s="19"/>
      <c r="S153" s="19"/>
      <c r="T153" s="19"/>
      <c r="U153" s="19"/>
    </row>
    <row r="154" spans="3:21" x14ac:dyDescent="0.25"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19"/>
    </row>
    <row r="155" spans="3:21" x14ac:dyDescent="0.25"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  <c r="Q155" s="19"/>
      <c r="R155" s="19"/>
      <c r="S155" s="19"/>
      <c r="T155" s="19"/>
      <c r="U155" s="19"/>
    </row>
    <row r="156" spans="3:21" x14ac:dyDescent="0.25"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19"/>
    </row>
    <row r="157" spans="3:21" x14ac:dyDescent="0.25"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  <c r="Q157" s="19"/>
      <c r="R157" s="19"/>
      <c r="S157" s="19"/>
      <c r="T157" s="19"/>
      <c r="U157" s="19"/>
    </row>
    <row r="158" spans="3:21" x14ac:dyDescent="0.25"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  <c r="Q158" s="19"/>
      <c r="R158" s="19"/>
      <c r="S158" s="19"/>
      <c r="T158" s="19"/>
      <c r="U158" s="19"/>
    </row>
    <row r="159" spans="3:21" x14ac:dyDescent="0.25"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19"/>
      <c r="O159" s="19"/>
      <c r="P159" s="19"/>
      <c r="Q159" s="19"/>
      <c r="R159" s="19"/>
      <c r="S159" s="19"/>
      <c r="T159" s="19"/>
      <c r="U159" s="19"/>
    </row>
    <row r="160" spans="3:21" x14ac:dyDescent="0.25"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19"/>
    </row>
    <row r="161" spans="3:21" x14ac:dyDescent="0.25"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19"/>
    </row>
    <row r="162" spans="3:21" x14ac:dyDescent="0.25"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19"/>
    </row>
    <row r="163" spans="3:21" x14ac:dyDescent="0.25"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19"/>
      <c r="Q163" s="19"/>
      <c r="R163" s="19"/>
      <c r="S163" s="19"/>
      <c r="T163" s="19"/>
      <c r="U163" s="19"/>
    </row>
    <row r="164" spans="3:21" x14ac:dyDescent="0.25"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  <c r="Q164" s="19"/>
      <c r="R164" s="19"/>
      <c r="S164" s="19"/>
      <c r="T164" s="19"/>
      <c r="U164" s="19"/>
    </row>
    <row r="165" spans="3:21" x14ac:dyDescent="0.25"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  <c r="Q165" s="19"/>
      <c r="R165" s="19"/>
      <c r="S165" s="19"/>
      <c r="T165" s="19"/>
      <c r="U165" s="19"/>
    </row>
    <row r="166" spans="3:21" x14ac:dyDescent="0.25"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19"/>
    </row>
    <row r="167" spans="3:21" x14ac:dyDescent="0.25"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19"/>
      <c r="O167" s="19"/>
      <c r="P167" s="19"/>
      <c r="Q167" s="19"/>
      <c r="R167" s="19"/>
      <c r="S167" s="19"/>
      <c r="T167" s="19"/>
      <c r="U167" s="19"/>
    </row>
    <row r="168" spans="3:21" x14ac:dyDescent="0.25"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19"/>
    </row>
    <row r="169" spans="3:21" x14ac:dyDescent="0.25"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19"/>
      <c r="O169" s="19"/>
      <c r="P169" s="19"/>
      <c r="Q169" s="19"/>
      <c r="R169" s="19"/>
      <c r="S169" s="19"/>
      <c r="T169" s="19"/>
      <c r="U169" s="19"/>
    </row>
    <row r="170" spans="3:21" x14ac:dyDescent="0.25"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19"/>
    </row>
    <row r="171" spans="3:21" x14ac:dyDescent="0.25"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19"/>
      <c r="O171" s="19"/>
      <c r="P171" s="19"/>
      <c r="Q171" s="19"/>
      <c r="R171" s="19"/>
      <c r="S171" s="19"/>
      <c r="T171" s="19"/>
      <c r="U171" s="19"/>
    </row>
    <row r="172" spans="3:21" x14ac:dyDescent="0.25"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19"/>
    </row>
    <row r="173" spans="3:21" x14ac:dyDescent="0.25"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19"/>
      <c r="O173" s="19"/>
      <c r="P173" s="19"/>
      <c r="Q173" s="19"/>
      <c r="R173" s="19"/>
      <c r="S173" s="19"/>
      <c r="T173" s="19"/>
      <c r="U173" s="19"/>
    </row>
    <row r="174" spans="3:21" x14ac:dyDescent="0.25"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  <c r="Q174" s="19"/>
      <c r="R174" s="19"/>
      <c r="S174" s="19"/>
      <c r="T174" s="19"/>
      <c r="U174" s="19"/>
    </row>
    <row r="175" spans="3:21" x14ac:dyDescent="0.25"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/>
      <c r="Q175" s="19"/>
      <c r="R175" s="19"/>
      <c r="S175" s="19"/>
      <c r="T175" s="19"/>
      <c r="U175" s="19"/>
    </row>
    <row r="176" spans="3:21" x14ac:dyDescent="0.25"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  <c r="Q176" s="19"/>
      <c r="R176" s="19"/>
      <c r="S176" s="19"/>
      <c r="T176" s="19"/>
      <c r="U176" s="19"/>
    </row>
    <row r="177" spans="3:21" x14ac:dyDescent="0.25"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  <c r="N177" s="19"/>
      <c r="O177" s="19"/>
      <c r="P177" s="19"/>
      <c r="Q177" s="19"/>
      <c r="R177" s="19"/>
      <c r="S177" s="19"/>
      <c r="T177" s="19"/>
      <c r="U177" s="19"/>
    </row>
    <row r="178" spans="3:21" x14ac:dyDescent="0.25"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  <c r="Q178" s="19"/>
      <c r="R178" s="19"/>
      <c r="S178" s="19"/>
      <c r="T178" s="19"/>
      <c r="U178" s="19"/>
    </row>
    <row r="179" spans="3:21" x14ac:dyDescent="0.25"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  <c r="N179" s="19"/>
      <c r="O179" s="19"/>
      <c r="P179" s="19"/>
      <c r="Q179" s="19"/>
      <c r="R179" s="19"/>
      <c r="S179" s="19"/>
      <c r="T179" s="19"/>
      <c r="U179" s="19"/>
    </row>
    <row r="180" spans="3:21" x14ac:dyDescent="0.25"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  <c r="Q180" s="19"/>
      <c r="R180" s="19"/>
      <c r="S180" s="19"/>
      <c r="T180" s="19"/>
      <c r="U180" s="19"/>
    </row>
    <row r="181" spans="3:21" x14ac:dyDescent="0.25"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19"/>
      <c r="Q181" s="19"/>
      <c r="R181" s="19"/>
      <c r="S181" s="19"/>
      <c r="T181" s="19"/>
      <c r="U181" s="19"/>
    </row>
    <row r="182" spans="3:21" x14ac:dyDescent="0.25"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  <c r="Q182" s="19"/>
      <c r="R182" s="19"/>
      <c r="S182" s="19"/>
      <c r="T182" s="19"/>
      <c r="U182" s="19"/>
    </row>
    <row r="183" spans="3:21" x14ac:dyDescent="0.25"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  <c r="N183" s="19"/>
      <c r="O183" s="19"/>
      <c r="P183" s="19"/>
      <c r="Q183" s="19"/>
      <c r="R183" s="19"/>
      <c r="S183" s="19"/>
      <c r="T183" s="19"/>
      <c r="U183" s="19"/>
    </row>
    <row r="184" spans="3:21" x14ac:dyDescent="0.25"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  <c r="Q184" s="19"/>
      <c r="R184" s="19"/>
      <c r="S184" s="19"/>
      <c r="T184" s="19"/>
      <c r="U184" s="19"/>
    </row>
    <row r="185" spans="3:21" x14ac:dyDescent="0.25"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19"/>
      <c r="T185" s="19"/>
      <c r="U185" s="19"/>
    </row>
    <row r="186" spans="3:21" x14ac:dyDescent="0.25"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19"/>
      <c r="T186" s="19"/>
      <c r="U186" s="19"/>
    </row>
    <row r="187" spans="3:21" x14ac:dyDescent="0.25"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19"/>
      <c r="T187" s="19"/>
      <c r="U187" s="19"/>
    </row>
    <row r="188" spans="3:21" x14ac:dyDescent="0.25"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19"/>
      <c r="T188" s="19"/>
      <c r="U188" s="19"/>
    </row>
    <row r="189" spans="3:21" x14ac:dyDescent="0.25"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19"/>
      <c r="T189" s="19"/>
      <c r="U189" s="19"/>
    </row>
    <row r="190" spans="3:21" x14ac:dyDescent="0.25"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19"/>
      <c r="T190" s="19"/>
      <c r="U190" s="19"/>
    </row>
    <row r="191" spans="3:21" x14ac:dyDescent="0.25"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19"/>
      <c r="T191" s="19"/>
      <c r="U191" s="19"/>
    </row>
    <row r="192" spans="3:21" x14ac:dyDescent="0.25"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19"/>
      <c r="T192" s="19"/>
      <c r="U192" s="19"/>
    </row>
    <row r="193" spans="3:21" x14ac:dyDescent="0.25"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19"/>
      <c r="T193" s="19"/>
      <c r="U193" s="19"/>
    </row>
    <row r="194" spans="3:21" x14ac:dyDescent="0.25"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19"/>
      <c r="T194" s="19"/>
      <c r="U194" s="19"/>
    </row>
    <row r="195" spans="3:21" x14ac:dyDescent="0.25"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19"/>
      <c r="T195" s="19"/>
      <c r="U195" s="19"/>
    </row>
    <row r="196" spans="3:21" x14ac:dyDescent="0.25"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19"/>
      <c r="T196" s="19"/>
      <c r="U196" s="19"/>
    </row>
    <row r="197" spans="3:21" x14ac:dyDescent="0.25"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19"/>
      <c r="T197" s="19"/>
      <c r="U197" s="19"/>
    </row>
    <row r="198" spans="3:21" x14ac:dyDescent="0.25"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19"/>
      <c r="T198" s="19"/>
      <c r="U198" s="19"/>
    </row>
    <row r="199" spans="3:21" x14ac:dyDescent="0.25"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19"/>
      <c r="T199" s="19"/>
      <c r="U199" s="19"/>
    </row>
    <row r="200" spans="3:21" x14ac:dyDescent="0.25"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19"/>
      <c r="T200" s="19"/>
      <c r="U200" s="19"/>
    </row>
  </sheetData>
  <sortState ref="A6:A200">
    <sortCondition ref="A5"/>
  </sortState>
  <mergeCells count="4">
    <mergeCell ref="C4:I4"/>
    <mergeCell ref="J4:N4"/>
    <mergeCell ref="O4:S4"/>
    <mergeCell ref="T4:U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ImportGreekVALICGMWB_Click">
                <anchor moveWithCells="1" sizeWithCells="1">
                  <from>
                    <xdr:col>3</xdr:col>
                    <xdr:colOff>180975</xdr:colOff>
                    <xdr:row>0</xdr:row>
                    <xdr:rowOff>47625</xdr:rowOff>
                  </from>
                  <to>
                    <xdr:col>4</xdr:col>
                    <xdr:colOff>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RefreshVALICGMWB_Click">
                <anchor moveWithCells="1" sizeWithCells="1">
                  <from>
                    <xdr:col>2</xdr:col>
                    <xdr:colOff>247650</xdr:colOff>
                    <xdr:row>0</xdr:row>
                    <xdr:rowOff>47625</xdr:rowOff>
                  </from>
                  <to>
                    <xdr:col>3</xdr:col>
                    <xdr:colOff>66675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U37"/>
  <sheetViews>
    <sheetView workbookViewId="0">
      <selection sqref="A1:A1048576"/>
    </sheetView>
  </sheetViews>
  <sheetFormatPr defaultRowHeight="15" x14ac:dyDescent="0.25"/>
  <cols>
    <col min="1" max="1" width="18.140625" style="6" customWidth="1"/>
    <col min="2" max="13" width="18.140625" customWidth="1"/>
    <col min="14" max="14" width="12.7109375" bestFit="1" customWidth="1"/>
    <col min="15" max="15" width="15.28515625" bestFit="1" customWidth="1"/>
    <col min="16" max="16" width="16.28515625" bestFit="1" customWidth="1"/>
    <col min="17" max="21" width="19.140625" customWidth="1"/>
  </cols>
  <sheetData>
    <row r="1" spans="1:21" x14ac:dyDescent="0.25">
      <c r="A1" s="6" t="s">
        <v>43</v>
      </c>
      <c r="B1" s="10">
        <v>20141231</v>
      </c>
    </row>
    <row r="2" spans="1:21" x14ac:dyDescent="0.25">
      <c r="A2" s="6" t="s">
        <v>44</v>
      </c>
      <c r="B2" s="10">
        <v>20150505</v>
      </c>
    </row>
    <row r="4" spans="1:21" x14ac:dyDescent="0.25">
      <c r="B4" s="10"/>
      <c r="C4" s="41" t="s">
        <v>45</v>
      </c>
      <c r="D4" s="42"/>
      <c r="E4" s="42"/>
      <c r="F4" s="42"/>
      <c r="G4" s="42"/>
      <c r="H4" s="42"/>
      <c r="I4" s="43"/>
      <c r="J4" s="41" t="s">
        <v>77</v>
      </c>
      <c r="K4" s="42"/>
      <c r="L4" s="42"/>
      <c r="M4" s="42"/>
      <c r="N4" s="43"/>
      <c r="O4" s="41" t="s">
        <v>46</v>
      </c>
      <c r="P4" s="42"/>
      <c r="Q4" s="42"/>
      <c r="R4" s="42"/>
      <c r="S4" s="43"/>
      <c r="T4" s="41" t="s">
        <v>93</v>
      </c>
      <c r="U4" s="43"/>
    </row>
    <row r="5" spans="1:21" x14ac:dyDescent="0.25">
      <c r="A5" s="6" t="s">
        <v>47</v>
      </c>
      <c r="B5" s="10" t="s">
        <v>37</v>
      </c>
      <c r="C5" s="10" t="s">
        <v>38</v>
      </c>
      <c r="D5" s="10" t="s">
        <v>35</v>
      </c>
      <c r="E5" s="10" t="s">
        <v>8</v>
      </c>
      <c r="F5" s="10" t="s">
        <v>36</v>
      </c>
      <c r="G5" s="10" t="s">
        <v>9</v>
      </c>
      <c r="H5" s="10" t="s">
        <v>49</v>
      </c>
      <c r="I5" s="10" t="s">
        <v>48</v>
      </c>
      <c r="J5" s="10" t="s">
        <v>73</v>
      </c>
      <c r="K5" s="10" t="s">
        <v>74</v>
      </c>
      <c r="L5" s="10" t="s">
        <v>75</v>
      </c>
      <c r="M5" s="10" t="s">
        <v>76</v>
      </c>
      <c r="N5" s="10" t="s">
        <v>29</v>
      </c>
      <c r="O5" s="10" t="s">
        <v>39</v>
      </c>
      <c r="P5" s="10" t="s">
        <v>40</v>
      </c>
      <c r="Q5" s="10" t="s">
        <v>10</v>
      </c>
      <c r="R5" s="10" t="s">
        <v>28</v>
      </c>
      <c r="S5" s="10" t="s">
        <v>30</v>
      </c>
      <c r="T5" s="10" t="s">
        <v>94</v>
      </c>
      <c r="U5" s="10" t="s">
        <v>95</v>
      </c>
    </row>
    <row r="6" spans="1:21" x14ac:dyDescent="0.25">
      <c r="A6" s="6">
        <v>20141231</v>
      </c>
      <c r="B6" s="10">
        <v>2058.9</v>
      </c>
      <c r="C6" s="11">
        <v>-117296417.4579</v>
      </c>
      <c r="D6" s="11">
        <v>60074.331424713135</v>
      </c>
      <c r="E6" s="11">
        <v>87069953.900425434</v>
      </c>
      <c r="F6" s="11">
        <v>-812415.96569728851</v>
      </c>
      <c r="G6" s="11">
        <v>-36117412.37439993</v>
      </c>
      <c r="H6" s="11">
        <v>-952065.11579661525</v>
      </c>
      <c r="I6" s="11">
        <v>-429003.46889526088</v>
      </c>
      <c r="J6" s="11">
        <v>-57394.51642145036</v>
      </c>
      <c r="K6" s="11">
        <v>-86944509.771059319</v>
      </c>
      <c r="L6" s="11">
        <v>71.444627523221556</v>
      </c>
      <c r="M6" s="11">
        <v>1234861.5137793515</v>
      </c>
      <c r="N6" s="11">
        <v>50517032.203271352</v>
      </c>
      <c r="O6" s="11">
        <v>24425399.485373661</v>
      </c>
      <c r="P6" s="11">
        <v>10334083.680601234</v>
      </c>
      <c r="Q6" s="11">
        <v>-73190812.223698214</v>
      </c>
      <c r="R6" s="11">
        <v>-20694653.192756575</v>
      </c>
      <c r="S6" s="11">
        <v>496360.59816950647</v>
      </c>
      <c r="T6" s="19">
        <v>1027974.1143934658</v>
      </c>
      <c r="U6" s="19">
        <v>376606.13317612186</v>
      </c>
    </row>
    <row r="7" spans="1:21" x14ac:dyDescent="0.25">
      <c r="A7" s="6">
        <v>20150105</v>
      </c>
      <c r="B7" s="10">
        <v>2020.58</v>
      </c>
      <c r="C7" s="11">
        <v>-132632885.09560001</v>
      </c>
      <c r="D7" s="11">
        <v>66346.01344871521</v>
      </c>
      <c r="E7" s="11">
        <v>91003412.128569603</v>
      </c>
      <c r="F7" s="11">
        <v>-832884.01957988739</v>
      </c>
      <c r="G7" s="11">
        <v>-36117412.37439993</v>
      </c>
      <c r="H7" s="11">
        <v>-13279124.220660398</v>
      </c>
      <c r="I7" s="11">
        <v>-422642.61032209237</v>
      </c>
      <c r="J7" s="11">
        <v>-63012.309295735169</v>
      </c>
      <c r="K7" s="11">
        <v>-95383462.28428334</v>
      </c>
      <c r="L7" s="11">
        <v>78.166250673406523</v>
      </c>
      <c r="M7" s="11">
        <v>1289581.6307885468</v>
      </c>
      <c r="N7" s="11">
        <v>57576922.421886019</v>
      </c>
      <c r="O7" s="19">
        <v>37283778.865928181</v>
      </c>
      <c r="P7" s="19">
        <v>11977794.746583216</v>
      </c>
      <c r="Q7" s="19">
        <v>-78261986.79074274</v>
      </c>
      <c r="R7" s="19">
        <v>-21229745.319742471</v>
      </c>
      <c r="S7" s="19">
        <v>497564.19508366752</v>
      </c>
      <c r="T7" s="19">
        <v>13720196.780934487</v>
      </c>
      <c r="U7" s="19">
        <v>231149.27106733443</v>
      </c>
    </row>
    <row r="8" spans="1:21" x14ac:dyDescent="0.25">
      <c r="A8" s="6">
        <v>20150108</v>
      </c>
      <c r="B8" s="10">
        <v>2062.14</v>
      </c>
      <c r="C8" s="11">
        <v>-129513173.83240001</v>
      </c>
      <c r="D8" s="11">
        <v>61159.423543930054</v>
      </c>
      <c r="E8" s="11">
        <v>90680288.35857296</v>
      </c>
      <c r="F8" s="11">
        <v>-811481.78305339813</v>
      </c>
      <c r="G8" s="11">
        <v>-36117412.37439993</v>
      </c>
      <c r="H8" s="11">
        <v>-5077.9218295324245</v>
      </c>
      <c r="I8" s="11">
        <v>504421.9261004476</v>
      </c>
      <c r="J8" s="11">
        <v>-62860.669936232778</v>
      </c>
      <c r="K8" s="11">
        <v>-92525581.571220949</v>
      </c>
      <c r="L8" s="11">
        <v>70.267430001719177</v>
      </c>
      <c r="M8" s="11">
        <v>1218808.2954197528</v>
      </c>
      <c r="N8" s="11">
        <v>56944305.259746142</v>
      </c>
      <c r="O8" s="19">
        <v>37490677.271525167</v>
      </c>
      <c r="P8" s="19">
        <v>12303424.197188761</v>
      </c>
      <c r="Q8" s="19">
        <v>-78252867.50909999</v>
      </c>
      <c r="R8" s="19">
        <v>-22055712.38122946</v>
      </c>
      <c r="S8" s="19">
        <v>497267.9546424087</v>
      </c>
      <c r="T8" s="19">
        <v>229739.43669839756</v>
      </c>
      <c r="U8" s="19">
        <v>-37947.783936916931</v>
      </c>
    </row>
    <row r="9" spans="1:21" x14ac:dyDescent="0.25">
      <c r="A9" s="6">
        <v>20150113</v>
      </c>
      <c r="B9" s="10">
        <v>2023.03</v>
      </c>
      <c r="C9" s="11">
        <v>-143304798.04359999</v>
      </c>
      <c r="D9" s="11">
        <v>69045.735260009766</v>
      </c>
      <c r="E9" s="11">
        <v>93951746.395134926</v>
      </c>
      <c r="F9" s="11">
        <v>-848576.42969560623</v>
      </c>
      <c r="G9" s="11">
        <v>-36117412.37439993</v>
      </c>
      <c r="H9" s="11">
        <v>-11421874.419985844</v>
      </c>
      <c r="I9" s="11">
        <v>-414006.11691556877</v>
      </c>
      <c r="J9" s="11">
        <v>-64542.175720126055</v>
      </c>
      <c r="K9" s="11">
        <v>-96293789.577677652</v>
      </c>
      <c r="L9" s="11">
        <v>78.026974848843821</v>
      </c>
      <c r="M9" s="11">
        <v>1281577.9454467075</v>
      </c>
      <c r="N9" s="11">
        <v>53338656.361528285</v>
      </c>
      <c r="O9" s="19">
        <v>51729908.000742905</v>
      </c>
      <c r="P9" s="19">
        <v>9791110.426453298</v>
      </c>
      <c r="Q9" s="19">
        <v>-86061928.217147827</v>
      </c>
      <c r="R9" s="19">
        <v>-17588167.374359414</v>
      </c>
      <c r="S9" s="19">
        <v>523779.91436028044</v>
      </c>
      <c r="T9" s="19">
        <v>12054053.642819725</v>
      </c>
      <c r="U9" s="19">
        <v>190112.38867799641</v>
      </c>
    </row>
    <row r="10" spans="1:21" x14ac:dyDescent="0.25">
      <c r="A10" s="6">
        <v>20150116</v>
      </c>
      <c r="B10" s="10">
        <v>2019.42</v>
      </c>
      <c r="C10" s="11">
        <v>-147474003.83570004</v>
      </c>
      <c r="D10" s="11">
        <v>70060.164596557617</v>
      </c>
      <c r="E10" s="11">
        <v>95136123.302226543</v>
      </c>
      <c r="F10" s="11">
        <v>-836680.98985242844</v>
      </c>
      <c r="G10" s="11">
        <v>-36117412.37439993</v>
      </c>
      <c r="H10" s="11">
        <v>-5260098.1320295865</v>
      </c>
      <c r="I10" s="11">
        <v>-163914.28835897468</v>
      </c>
      <c r="J10" s="11">
        <v>-69790.292556284912</v>
      </c>
      <c r="K10" s="11">
        <v>-97315179.040047899</v>
      </c>
      <c r="L10" s="11">
        <v>78.799402685769422</v>
      </c>
      <c r="M10" s="11">
        <v>1293912.2032393548</v>
      </c>
      <c r="N10" s="11">
        <v>57182779.840992607</v>
      </c>
      <c r="O10" s="19">
        <v>55479135.512086995</v>
      </c>
      <c r="P10" s="19">
        <v>12311692.523551857</v>
      </c>
      <c r="Q10" s="19">
        <v>-85295988.91942744</v>
      </c>
      <c r="R10" s="19">
        <v>-20049169.107181247</v>
      </c>
      <c r="S10" s="19">
        <v>544112.79652320431</v>
      </c>
      <c r="T10" s="19">
        <v>5544812.0461531999</v>
      </c>
      <c r="U10" s="19">
        <v>332991.34946810658</v>
      </c>
    </row>
    <row r="11" spans="1:21" x14ac:dyDescent="0.25">
      <c r="A11" s="6">
        <v>20150122</v>
      </c>
      <c r="B11" s="10">
        <v>2063.15</v>
      </c>
      <c r="C11" s="10">
        <v>-142580409.5977</v>
      </c>
      <c r="D11" s="10">
        <v>64026.04282951355</v>
      </c>
      <c r="E11" s="10">
        <v>93812280.505518913</v>
      </c>
      <c r="F11" s="10">
        <v>-836236.01276445389</v>
      </c>
      <c r="G11" s="10">
        <v>-36117412.37439993</v>
      </c>
      <c r="H11" s="11">
        <v>801154.61025152996</v>
      </c>
      <c r="I11" s="11">
        <v>1030525.9046494481</v>
      </c>
      <c r="J11" s="10">
        <v>-65511.34796112102</v>
      </c>
      <c r="K11" s="10">
        <v>-94450660.998594657</v>
      </c>
      <c r="L11" s="10">
        <v>70.208316986402991</v>
      </c>
      <c r="M11" s="10">
        <v>1188801.7765101735</v>
      </c>
      <c r="N11" s="10">
        <v>59139576.732615702</v>
      </c>
      <c r="O11">
        <v>54912894.978113048</v>
      </c>
      <c r="P11">
        <v>10949587.888636664</v>
      </c>
      <c r="Q11">
        <v>-85385338.07909365</v>
      </c>
      <c r="R11">
        <v>-19237603.36378105</v>
      </c>
      <c r="S11">
        <v>530725.10861822031</v>
      </c>
      <c r="T11">
        <v>-179474.82754310477</v>
      </c>
      <c r="U11">
        <v>-671742.11188872473</v>
      </c>
    </row>
    <row r="12" spans="1:21" x14ac:dyDescent="0.25">
      <c r="A12" s="6">
        <v>20150127</v>
      </c>
      <c r="B12" s="10">
        <v>2029.55</v>
      </c>
      <c r="C12" s="10">
        <v>-147724305.34150001</v>
      </c>
      <c r="D12" s="10">
        <v>72031.533554077148</v>
      </c>
      <c r="E12" s="10">
        <v>94973278.876288414</v>
      </c>
      <c r="F12" s="10">
        <v>-806064.84926509857</v>
      </c>
      <c r="G12" s="10">
        <v>-36117412.37439993</v>
      </c>
      <c r="H12" s="11">
        <v>-2899412.4828976048</v>
      </c>
      <c r="I12" s="11">
        <v>-357286.91933384584</v>
      </c>
      <c r="J12" s="10">
        <v>-66324.481144606441</v>
      </c>
      <c r="K12" s="10">
        <v>-95773695.181642905</v>
      </c>
      <c r="L12" s="10">
        <v>75.710748368259317</v>
      </c>
      <c r="M12" s="10">
        <v>1221514.9042216763</v>
      </c>
      <c r="N12" s="10">
        <v>58321745.702399351</v>
      </c>
      <c r="O12">
        <v>57739526.779645458</v>
      </c>
      <c r="P12">
        <v>11271565.380879445</v>
      </c>
      <c r="Q12">
        <v>-85894181.732872933</v>
      </c>
      <c r="R12">
        <v>-20166275.926986862</v>
      </c>
      <c r="S12">
        <v>532737.60953452345</v>
      </c>
      <c r="T12">
        <v>2746403.0300988844</v>
      </c>
      <c r="U12">
        <v>16997.640632776638</v>
      </c>
    </row>
    <row r="13" spans="1:21" x14ac:dyDescent="0.25">
      <c r="A13" s="6">
        <v>20150130</v>
      </c>
      <c r="B13" s="10">
        <v>1994.99</v>
      </c>
      <c r="C13" s="10">
        <v>-168416085.7617</v>
      </c>
      <c r="D13" s="10">
        <v>78675.901067733765</v>
      </c>
      <c r="E13" s="10">
        <v>100095704.37009907</v>
      </c>
      <c r="F13" s="10">
        <v>-869407.32522678375</v>
      </c>
      <c r="G13" s="10">
        <v>-36117412.37439993</v>
      </c>
      <c r="H13" s="11">
        <v>-17962033.134842318</v>
      </c>
      <c r="I13" s="11">
        <v>-709170.10826571239</v>
      </c>
      <c r="J13" s="10">
        <v>-76115.118757748685</v>
      </c>
      <c r="K13" s="10">
        <v>-107021324.90429133</v>
      </c>
      <c r="L13" s="10">
        <v>84.037459513094007</v>
      </c>
      <c r="M13" s="10">
        <v>1302448.2037767046</v>
      </c>
      <c r="N13" s="10">
        <v>60161369.081243888</v>
      </c>
      <c r="O13">
        <v>68521683.090490744</v>
      </c>
      <c r="P13">
        <v>17671495.266549245</v>
      </c>
      <c r="Q13">
        <v>-82393387.668764874</v>
      </c>
      <c r="R13">
        <v>-27845302.919297229</v>
      </c>
      <c r="S13">
        <v>557891.4110091005</v>
      </c>
      <c r="T13">
        <v>19465308.449785613</v>
      </c>
      <c r="U13">
        <v>413636.11812671385</v>
      </c>
    </row>
    <row r="14" spans="1:21" x14ac:dyDescent="0.25">
      <c r="A14" s="6">
        <v>20150204</v>
      </c>
      <c r="B14" s="10">
        <v>2041.51</v>
      </c>
      <c r="C14" s="10">
        <v>-152310023.02829999</v>
      </c>
      <c r="D14" s="10">
        <v>70553.416023254395</v>
      </c>
      <c r="E14" s="10">
        <v>95868813.100323677</v>
      </c>
      <c r="F14" s="10">
        <v>-861287.82334184647</v>
      </c>
      <c r="G14" s="10">
        <v>-40580335.934000194</v>
      </c>
      <c r="H14" s="11">
        <v>9320504.9150962122</v>
      </c>
      <c r="I14" s="11">
        <v>717419.72320415184</v>
      </c>
      <c r="J14" s="10">
        <v>-74868.167930319614</v>
      </c>
      <c r="K14" s="10">
        <v>-93934711.21279119</v>
      </c>
      <c r="L14" s="10">
        <v>74.642672561667197</v>
      </c>
      <c r="M14" s="10">
        <v>1223084.8311220843</v>
      </c>
      <c r="N14" s="10">
        <v>56854720.290798239</v>
      </c>
      <c r="O14">
        <v>60352746.620304465</v>
      </c>
      <c r="P14">
        <v>14058672.24023642</v>
      </c>
      <c r="Q14">
        <v>-82756698.404771343</v>
      </c>
      <c r="R14">
        <v>-23185774.776349206</v>
      </c>
      <c r="S14">
        <v>544027.40981847793</v>
      </c>
      <c r="T14">
        <v>-11456132.202780489</v>
      </c>
      <c r="U14">
        <v>203178.71885601539</v>
      </c>
    </row>
    <row r="15" spans="1:21" x14ac:dyDescent="0.25">
      <c r="A15" s="6">
        <v>20150209</v>
      </c>
      <c r="B15" s="10">
        <v>2046.74</v>
      </c>
      <c r="C15" s="10">
        <v>-130504524.71629998</v>
      </c>
      <c r="D15" s="10">
        <v>60309.447156906128</v>
      </c>
      <c r="E15" s="10">
        <v>90492531.919127941</v>
      </c>
      <c r="F15" s="10">
        <v>-813226.30392026901</v>
      </c>
      <c r="G15" s="10">
        <v>-40580335.934000194</v>
      </c>
      <c r="H15" s="11">
        <v>20509536.319410447</v>
      </c>
      <c r="I15" s="11">
        <v>-389466.75646234432</v>
      </c>
      <c r="J15" s="10">
        <v>-70180.934505306373</v>
      </c>
      <c r="K15" s="10">
        <v>-84823155.729214519</v>
      </c>
      <c r="L15" s="10">
        <v>72.676947904658888</v>
      </c>
      <c r="M15" s="10">
        <v>1209565.2470633378</v>
      </c>
      <c r="N15" s="10">
        <v>67251722.318699911</v>
      </c>
      <c r="O15">
        <v>50388986.463189133</v>
      </c>
      <c r="P15">
        <v>11305545.494564561</v>
      </c>
      <c r="Q15">
        <v>-92495437.369813293</v>
      </c>
      <c r="R15">
        <v>-8053330.525307145</v>
      </c>
      <c r="S15">
        <v>719133.96953239781</v>
      </c>
      <c r="T15">
        <v>-21277760.113236107</v>
      </c>
      <c r="U15">
        <v>687381.12632927275</v>
      </c>
    </row>
    <row r="16" spans="1:21" x14ac:dyDescent="0.25">
      <c r="A16" s="6">
        <v>20150212</v>
      </c>
      <c r="B16" s="10">
        <v>2088.48</v>
      </c>
      <c r="C16" s="10">
        <v>-125940709.53329998</v>
      </c>
      <c r="D16" s="10">
        <v>54084.217216491699</v>
      </c>
      <c r="E16" s="10">
        <v>89496890.132962227</v>
      </c>
      <c r="F16" s="10">
        <v>-802703.61563014984</v>
      </c>
      <c r="G16" s="10">
        <v>-40580335.934000194</v>
      </c>
      <c r="H16" s="11">
        <v>718741.22433415568</v>
      </c>
      <c r="I16" s="11">
        <v>785385.40628353972</v>
      </c>
      <c r="J16" s="10">
        <v>-56336.75777409842</v>
      </c>
      <c r="K16" s="10">
        <v>-89942854.519536838</v>
      </c>
      <c r="L16" s="10">
        <v>65.083077648608537</v>
      </c>
      <c r="M16" s="10">
        <v>1118606.404371175</v>
      </c>
      <c r="N16" s="10">
        <v>69506215.346181735</v>
      </c>
      <c r="O16">
        <v>49851329.751132026</v>
      </c>
      <c r="P16">
        <v>10794014.330121104</v>
      </c>
      <c r="Q16">
        <v>-92331576.520582065</v>
      </c>
      <c r="R16">
        <v>-7878323.5238780342</v>
      </c>
      <c r="S16">
        <v>709994.97079893108</v>
      </c>
      <c r="T16">
        <v>-58171.424565435023</v>
      </c>
      <c r="U16">
        <v>-655620.9814163507</v>
      </c>
    </row>
    <row r="17" spans="1:21" x14ac:dyDescent="0.25">
      <c r="A17" s="6">
        <v>20150218</v>
      </c>
      <c r="B17" s="10">
        <v>2099.6799999999998</v>
      </c>
      <c r="C17" s="10">
        <v>-116333803.51009999</v>
      </c>
      <c r="D17" s="10">
        <v>51780.989374160767</v>
      </c>
      <c r="E17" s="10">
        <v>86635259.52817297</v>
      </c>
      <c r="F17" s="10">
        <v>-798503.8204870224</v>
      </c>
      <c r="G17" s="10">
        <v>-40580335.934000194</v>
      </c>
      <c r="H17" s="11">
        <v>10519543.513233311</v>
      </c>
      <c r="I17" s="11">
        <v>103699.55551986801</v>
      </c>
      <c r="J17" s="10">
        <v>-53319.801774065476</v>
      </c>
      <c r="K17" s="10">
        <v>-82326711.308920652</v>
      </c>
      <c r="L17" s="10">
        <v>63.254556009864757</v>
      </c>
      <c r="M17" s="10">
        <v>1091309.8646168539</v>
      </c>
      <c r="N17" s="10">
        <v>57230852.068839513</v>
      </c>
      <c r="O17">
        <v>39599700.729413249</v>
      </c>
      <c r="P17">
        <v>9429354.0449389406</v>
      </c>
      <c r="Q17">
        <v>-90301715.241863474</v>
      </c>
      <c r="R17">
        <v>-3328547.3766904622</v>
      </c>
      <c r="S17">
        <v>679137.35017856269</v>
      </c>
      <c r="T17">
        <v>-9788250.5561010148</v>
      </c>
      <c r="U17">
        <v>1650.9230282715216</v>
      </c>
    </row>
    <row r="18" spans="1:21" x14ac:dyDescent="0.25">
      <c r="A18" s="6">
        <v>20150223</v>
      </c>
      <c r="B18">
        <v>2109.66</v>
      </c>
      <c r="C18">
        <v>-121813740.12230001</v>
      </c>
      <c r="D18">
        <v>51404.977865219116</v>
      </c>
      <c r="E18">
        <v>88331678.197345257</v>
      </c>
      <c r="F18">
        <v>-822260.07917308807</v>
      </c>
      <c r="G18">
        <v>-40580335.934000194</v>
      </c>
      <c r="H18">
        <v>-2800893.8271215223</v>
      </c>
      <c r="I18">
        <v>225128.02345325614</v>
      </c>
      <c r="J18">
        <v>-50566.370346447657</v>
      </c>
      <c r="K18">
        <v>-81363964.777937695</v>
      </c>
      <c r="L18">
        <v>61.034278259373295</v>
      </c>
      <c r="M18">
        <v>1055803.6158057696</v>
      </c>
      <c r="N18">
        <v>51847776.894501917</v>
      </c>
      <c r="O18">
        <v>46605007.266128741</v>
      </c>
      <c r="P18">
        <v>9714032.9015729725</v>
      </c>
      <c r="Q18">
        <v>-97243176.967004806</v>
      </c>
      <c r="R18">
        <v>-4752585.6680044234</v>
      </c>
      <c r="S18">
        <v>680877.97475482943</v>
      </c>
      <c r="T18">
        <v>2561510.6116512185</v>
      </c>
      <c r="U18">
        <v>-147181.87508800058</v>
      </c>
    </row>
    <row r="19" spans="1:21" x14ac:dyDescent="0.25">
      <c r="A19" s="6">
        <v>20150226</v>
      </c>
      <c r="B19">
        <v>2110.7399999999998</v>
      </c>
      <c r="C19">
        <v>-123323950.13249999</v>
      </c>
      <c r="D19">
        <v>52023.240581512451</v>
      </c>
      <c r="E19">
        <v>88845092.418050289</v>
      </c>
      <c r="F19">
        <v>-810712.79641675949</v>
      </c>
      <c r="G19">
        <v>-40580335.934000194</v>
      </c>
      <c r="H19">
        <v>-3350713.4303240608</v>
      </c>
      <c r="I19">
        <v>345778.92802224</v>
      </c>
      <c r="J19">
        <v>-50354.974869686361</v>
      </c>
      <c r="K19">
        <v>-88942016.809203953</v>
      </c>
      <c r="L19">
        <v>60.046781941418203</v>
      </c>
      <c r="M19">
        <v>1023028.4785646775</v>
      </c>
      <c r="N19">
        <v>53446418.732049137</v>
      </c>
      <c r="O19">
        <v>49734818.681329258</v>
      </c>
      <c r="P19">
        <v>9920485.5511555802</v>
      </c>
      <c r="Q19">
        <v>-96822712.254704461</v>
      </c>
      <c r="R19">
        <v>-6214771.7104556262</v>
      </c>
      <c r="S19">
        <v>682836.78465339239</v>
      </c>
      <c r="T19">
        <v>3384198.6809202847</v>
      </c>
      <c r="U19">
        <v>-464323.5282346012</v>
      </c>
    </row>
    <row r="20" spans="1:21" x14ac:dyDescent="0.25">
      <c r="A20" s="6">
        <v>20150227</v>
      </c>
      <c r="B20">
        <v>2104.5</v>
      </c>
      <c r="C20">
        <v>-126702832.27339999</v>
      </c>
      <c r="D20">
        <v>54431.590324401855</v>
      </c>
      <c r="E20">
        <v>89911056.682195187</v>
      </c>
      <c r="F20">
        <v>-805834.01897764206</v>
      </c>
      <c r="G20">
        <v>-40580335.934000194</v>
      </c>
      <c r="H20">
        <v>-3731176.0389307565</v>
      </c>
      <c r="I20">
        <v>-104299.33321744126</v>
      </c>
      <c r="J20">
        <v>-52686.835839566353</v>
      </c>
      <c r="K20">
        <v>-90614651.596211374</v>
      </c>
      <c r="L20">
        <v>61.165891357913864</v>
      </c>
      <c r="M20">
        <v>1037916.4355333459</v>
      </c>
      <c r="N20">
        <v>55158918.516451918</v>
      </c>
      <c r="O20">
        <v>53831484.907415472</v>
      </c>
      <c r="P20">
        <v>10431680.710821206</v>
      </c>
      <c r="Q20">
        <v>-97611799.956716895</v>
      </c>
      <c r="R20">
        <v>-7872392.6795400754</v>
      </c>
      <c r="S20">
        <v>688887.55184046982</v>
      </c>
      <c r="T20">
        <v>4409011.7735499321</v>
      </c>
      <c r="U20">
        <v>124219.36128500977</v>
      </c>
    </row>
    <row r="21" spans="1:21" x14ac:dyDescent="0.25">
      <c r="A21" s="6">
        <v>20150303</v>
      </c>
      <c r="B21">
        <v>2107.7800000000002</v>
      </c>
      <c r="C21">
        <v>-116537702.04189998</v>
      </c>
      <c r="D21">
        <v>53898.787622213364</v>
      </c>
      <c r="E21">
        <v>86846391.971783638</v>
      </c>
      <c r="F21">
        <v>-765660.46138477325</v>
      </c>
      <c r="G21">
        <v>-37445643.835600019</v>
      </c>
      <c r="H21">
        <v>12992286.675858816</v>
      </c>
      <c r="I21">
        <v>91627.629778036397</v>
      </c>
      <c r="J21">
        <v>-53945.424483267168</v>
      </c>
      <c r="K21">
        <v>-89975440.587155953</v>
      </c>
      <c r="L21">
        <v>60.146193747712601</v>
      </c>
      <c r="M21">
        <v>1021226.7642382171</v>
      </c>
      <c r="N21">
        <v>44529486.101107724</v>
      </c>
      <c r="O21">
        <v>42279164.417175144</v>
      </c>
      <c r="P21">
        <v>2.9177713581315165E-7</v>
      </c>
      <c r="Q21">
        <v>-95431038.846723303</v>
      </c>
      <c r="R21">
        <v>-13501999.999993972</v>
      </c>
      <c r="S21">
        <v>1327239.0455166632</v>
      </c>
      <c r="T21">
        <v>-10663390.524505056</v>
      </c>
      <c r="U21">
        <v>22106.301745784422</v>
      </c>
    </row>
    <row r="22" spans="1:21" x14ac:dyDescent="0.25">
      <c r="A22" s="6">
        <v>20150306</v>
      </c>
      <c r="B22">
        <v>2071.2600000000002</v>
      </c>
      <c r="C22">
        <v>-109869765.78950003</v>
      </c>
      <c r="D22">
        <v>62074.860572814941</v>
      </c>
      <c r="E22">
        <v>84744802.581279278</v>
      </c>
      <c r="F22">
        <v>-735380.38784360886</v>
      </c>
      <c r="G22">
        <v>-37445643.835600019</v>
      </c>
      <c r="H22">
        <v>10639378.218102075</v>
      </c>
      <c r="I22">
        <v>-197507.25221300943</v>
      </c>
      <c r="J22">
        <v>-67000.1180347388</v>
      </c>
      <c r="K22">
        <v>-80627706.402608782</v>
      </c>
      <c r="L22">
        <v>120.09573357200765</v>
      </c>
      <c r="M22">
        <v>1338164.5426705065</v>
      </c>
      <c r="N22">
        <v>40574275.385857098</v>
      </c>
      <c r="O22">
        <v>31043034.189947911</v>
      </c>
      <c r="P22">
        <v>0</v>
      </c>
      <c r="Q22">
        <v>-93318975.540295601</v>
      </c>
      <c r="R22">
        <v>-10068181.722600875</v>
      </c>
      <c r="S22">
        <v>359971.27711634419</v>
      </c>
      <c r="T22">
        <v>-10130736.764030512</v>
      </c>
      <c r="U22">
        <v>-542007.22636252141</v>
      </c>
    </row>
    <row r="23" spans="1:21" x14ac:dyDescent="0.25">
      <c r="A23" s="6">
        <v>20150311</v>
      </c>
      <c r="B23">
        <v>2040.24</v>
      </c>
      <c r="C23">
        <v>-124835040.34439999</v>
      </c>
      <c r="D23">
        <v>68436.758617401123</v>
      </c>
      <c r="E23">
        <v>89143238.313642025</v>
      </c>
      <c r="F23">
        <v>-737677.72513532639</v>
      </c>
      <c r="G23">
        <v>-37445643.835600019</v>
      </c>
      <c r="H23">
        <v>-13552231.620268652</v>
      </c>
      <c r="I23">
        <v>-540539.7707485141</v>
      </c>
      <c r="J23">
        <v>-66492.781216944612</v>
      </c>
      <c r="K23">
        <v>-90792207.359321982</v>
      </c>
      <c r="L23">
        <v>132.08010733289831</v>
      </c>
      <c r="M23">
        <v>1410617.6846908652</v>
      </c>
      <c r="N23">
        <v>44316314.292163685</v>
      </c>
      <c r="O23">
        <v>46117884.239436895</v>
      </c>
      <c r="P23">
        <v>0</v>
      </c>
      <c r="Q23">
        <v>-96272494.349535197</v>
      </c>
      <c r="R23">
        <v>-13811182.14754775</v>
      </c>
      <c r="S23">
        <v>433128.87900974351</v>
      </c>
      <c r="T23">
        <v>13095298.379184764</v>
      </c>
      <c r="U23">
        <v>484585.49137835496</v>
      </c>
    </row>
    <row r="24" spans="1:21" x14ac:dyDescent="0.25">
      <c r="A24" s="6">
        <v>20150316</v>
      </c>
      <c r="B24">
        <v>2081.19</v>
      </c>
      <c r="C24">
        <v>-125704601.1661</v>
      </c>
      <c r="D24">
        <v>60946.760856628418</v>
      </c>
      <c r="E24">
        <v>89527537.362050056</v>
      </c>
      <c r="F24">
        <v>-769957.55804729462</v>
      </c>
      <c r="G24">
        <v>-37445643.835600019</v>
      </c>
      <c r="H24">
        <v>-3987552.7917017164</v>
      </c>
      <c r="I24">
        <v>562181.64463939844</v>
      </c>
      <c r="J24">
        <v>-62479.579027537678</v>
      </c>
      <c r="K24">
        <v>-89262721.456010044</v>
      </c>
      <c r="L24">
        <v>115.96336207511274</v>
      </c>
      <c r="M24">
        <v>1289345.5322254659</v>
      </c>
      <c r="N24">
        <v>44227788.68276716</v>
      </c>
      <c r="O24">
        <v>50654890.931445114</v>
      </c>
      <c r="P24">
        <v>0</v>
      </c>
      <c r="Q24">
        <v>-97083671.696974218</v>
      </c>
      <c r="R24">
        <v>-14128034.592085319</v>
      </c>
      <c r="S24">
        <v>436216.72629063879</v>
      </c>
      <c r="T24">
        <v>4419709.3489594329</v>
      </c>
      <c r="U24">
        <v>-409681.44557842001</v>
      </c>
    </row>
    <row r="25" spans="1:21" x14ac:dyDescent="0.25">
      <c r="A25" s="6">
        <v>20150319</v>
      </c>
      <c r="B25">
        <v>2089.27</v>
      </c>
      <c r="C25">
        <v>-138648960.8355</v>
      </c>
      <c r="D25">
        <v>59458.536415100098</v>
      </c>
      <c r="E25">
        <v>92926071.654971123</v>
      </c>
      <c r="F25">
        <v>-833039.83103704453</v>
      </c>
      <c r="G25">
        <v>-37445643.835600019</v>
      </c>
      <c r="H25">
        <v>-13632802.556312848</v>
      </c>
      <c r="I25">
        <v>-100194.7547217674</v>
      </c>
      <c r="J25">
        <v>-59886.517642891835</v>
      </c>
      <c r="K25">
        <v>-97239344.144575372</v>
      </c>
      <c r="L25">
        <v>111.92105663514285</v>
      </c>
      <c r="M25">
        <v>1262100.2356398629</v>
      </c>
      <c r="N25">
        <v>49763720.93466346</v>
      </c>
      <c r="O25">
        <v>64719573.944313869</v>
      </c>
      <c r="P25">
        <v>0</v>
      </c>
      <c r="Q25">
        <v>-95684636.293103889</v>
      </c>
      <c r="R25">
        <v>-20221029.201188702</v>
      </c>
      <c r="S25">
        <v>524799.35661785968</v>
      </c>
      <c r="T25">
        <v>13618768.452088892</v>
      </c>
      <c r="U25">
        <v>255816.28416682061</v>
      </c>
    </row>
    <row r="26" spans="1:21" x14ac:dyDescent="0.25">
      <c r="A26" s="6">
        <v>20150324</v>
      </c>
      <c r="B26">
        <v>2091.5</v>
      </c>
      <c r="C26">
        <v>-143229974.80469999</v>
      </c>
      <c r="D26">
        <v>59647.17486333847</v>
      </c>
      <c r="E26">
        <v>94112336.679748058</v>
      </c>
      <c r="F26">
        <v>-841927.03268194199</v>
      </c>
      <c r="G26">
        <v>-37445643.835600019</v>
      </c>
      <c r="H26">
        <v>-6199661.7790306136</v>
      </c>
      <c r="I26">
        <v>10847.883654394038</v>
      </c>
      <c r="J26">
        <v>-59299.282636512078</v>
      </c>
      <c r="K26">
        <v>-95678900.729775131</v>
      </c>
      <c r="L26">
        <v>110.54727070216276</v>
      </c>
      <c r="M26">
        <v>1236255.7219848789</v>
      </c>
      <c r="N26">
        <v>51507365.746204637</v>
      </c>
      <c r="O26">
        <v>71189313.106469482</v>
      </c>
      <c r="P26">
        <v>0</v>
      </c>
      <c r="Q26">
        <v>-96701694.728298917</v>
      </c>
      <c r="R26">
        <v>-23129933.747768581</v>
      </c>
      <c r="S26">
        <v>554049.03898009309</v>
      </c>
      <c r="T26">
        <v>5306687.3218445415</v>
      </c>
      <c r="U26">
        <v>-114973.62123813439</v>
      </c>
    </row>
    <row r="27" spans="1:21" x14ac:dyDescent="0.25">
      <c r="A27" s="6">
        <v>20150327</v>
      </c>
      <c r="B27">
        <v>2061.02</v>
      </c>
      <c r="C27">
        <v>-138463925.43990001</v>
      </c>
      <c r="D27">
        <v>67288.746086120605</v>
      </c>
      <c r="E27">
        <v>92703858.790822029</v>
      </c>
      <c r="F27">
        <v>-789778.65909481049</v>
      </c>
      <c r="G27">
        <v>-37445643.835600019</v>
      </c>
      <c r="H27">
        <v>7879440.9020978259</v>
      </c>
      <c r="I27">
        <v>-407283.68384229945</v>
      </c>
      <c r="J27">
        <v>-62522.787802350416</v>
      </c>
      <c r="K27">
        <v>-88936746.140503287</v>
      </c>
      <c r="L27">
        <v>121.91637385203406</v>
      </c>
      <c r="M27">
        <v>1294886.8621680283</v>
      </c>
      <c r="N27">
        <v>48637233.063161179</v>
      </c>
      <c r="O27">
        <v>63467280.712485895</v>
      </c>
      <c r="P27">
        <v>0</v>
      </c>
      <c r="Q27">
        <v>-95201371.156308621</v>
      </c>
      <c r="R27">
        <v>-20208417.413890354</v>
      </c>
      <c r="S27">
        <v>517448.92052226991</v>
      </c>
      <c r="T27">
        <v>-9395768.6071120407</v>
      </c>
      <c r="U27">
        <v>31603.313785964652</v>
      </c>
    </row>
    <row r="28" spans="1:21" x14ac:dyDescent="0.25">
      <c r="A28" s="6">
        <v>20150331</v>
      </c>
      <c r="B28">
        <v>2067.89</v>
      </c>
      <c r="C28">
        <v>-138241372.22389999</v>
      </c>
      <c r="D28">
        <v>66290.469863891602</v>
      </c>
      <c r="E28">
        <v>92687052.452479362</v>
      </c>
      <c r="F28">
        <v>-804984.47949314117</v>
      </c>
      <c r="G28">
        <v>-37445643.835600019</v>
      </c>
      <c r="H28">
        <v>-534007.13883850467</v>
      </c>
      <c r="I28">
        <v>-103151.99521724283</v>
      </c>
      <c r="J28">
        <v>-66830.049627859553</v>
      </c>
      <c r="K28">
        <v>-91533984.664304435</v>
      </c>
      <c r="L28">
        <v>118.98043473222008</v>
      </c>
      <c r="M28">
        <v>1283587.4834403009</v>
      </c>
      <c r="N28">
        <v>48646088.133933641</v>
      </c>
      <c r="O28">
        <v>64067588.963565186</v>
      </c>
      <c r="P28">
        <v>0</v>
      </c>
      <c r="Q28">
        <v>-95097560.642321751</v>
      </c>
      <c r="R28">
        <v>-20051287.240055252</v>
      </c>
      <c r="S28">
        <v>514178.99585510424</v>
      </c>
      <c r="T28">
        <v>774929.79831610993</v>
      </c>
      <c r="U28">
        <v>509171.54576477699</v>
      </c>
    </row>
    <row r="29" spans="1:21" x14ac:dyDescent="0.25">
      <c r="A29" s="6">
        <v>20150401</v>
      </c>
      <c r="B29">
        <v>2059.69</v>
      </c>
      <c r="C29">
        <v>-145528184.36039999</v>
      </c>
      <c r="D29">
        <v>69172.492259979248</v>
      </c>
      <c r="E29">
        <v>94568443.998488426</v>
      </c>
      <c r="F29">
        <v>-833122.09398555756</v>
      </c>
      <c r="G29">
        <v>-37445643.835600019</v>
      </c>
      <c r="H29">
        <v>-6268245.901607289</v>
      </c>
      <c r="I29">
        <v>-63639.906300309987</v>
      </c>
      <c r="J29">
        <v>-66715.821219663325</v>
      </c>
      <c r="K29">
        <v>-94839504.530524597</v>
      </c>
      <c r="L29">
        <v>121.98292353094396</v>
      </c>
      <c r="M29">
        <v>1281985.1462512105</v>
      </c>
      <c r="N29">
        <v>55599225.035109304</v>
      </c>
      <c r="O29">
        <v>70502021.969823658</v>
      </c>
      <c r="P29">
        <v>0</v>
      </c>
      <c r="Q29">
        <v>-96338354.329579711</v>
      </c>
      <c r="R29">
        <v>-22382089.035334237</v>
      </c>
      <c r="S29">
        <v>540263.79505594168</v>
      </c>
      <c r="T29">
        <v>5363432.7307912707</v>
      </c>
      <c r="U29">
        <v>-443584.23363765399</v>
      </c>
    </row>
    <row r="30" spans="1:21" x14ac:dyDescent="0.25">
      <c r="A30" s="6">
        <v>20150407</v>
      </c>
      <c r="B30">
        <v>2076.33</v>
      </c>
      <c r="C30">
        <v>-140274078.92829999</v>
      </c>
      <c r="D30">
        <v>67190.27237701416</v>
      </c>
      <c r="E30">
        <v>93136135.438015938</v>
      </c>
      <c r="F30">
        <v>-829217.62009334564</v>
      </c>
      <c r="G30">
        <v>-38233055.055600137</v>
      </c>
      <c r="H30">
        <v>2918714.7670297059</v>
      </c>
      <c r="I30">
        <v>261591.61933300787</v>
      </c>
      <c r="J30">
        <v>-66652.703392175739</v>
      </c>
      <c r="K30">
        <v>-92183857.798151463</v>
      </c>
      <c r="L30">
        <v>114.40310874812826</v>
      </c>
      <c r="M30">
        <v>1222870.3167212973</v>
      </c>
      <c r="N30">
        <v>53836265.566094816</v>
      </c>
      <c r="O30">
        <v>66740905.106942117</v>
      </c>
      <c r="P30">
        <v>0</v>
      </c>
      <c r="Q30">
        <v>-95416899.46926032</v>
      </c>
      <c r="R30">
        <v>-20818378.776166137</v>
      </c>
      <c r="S30">
        <v>518146.73313204927</v>
      </c>
      <c r="T30">
        <v>-4098591.2536860025</v>
      </c>
      <c r="U30">
        <v>45096.166192532641</v>
      </c>
    </row>
    <row r="31" spans="1:21" x14ac:dyDescent="0.25">
      <c r="A31" s="6">
        <v>20150410</v>
      </c>
      <c r="B31">
        <v>2102.06</v>
      </c>
      <c r="C31">
        <v>-132471202.8944</v>
      </c>
      <c r="D31">
        <v>55856.831718444824</v>
      </c>
      <c r="E31">
        <v>91249765.658658504</v>
      </c>
      <c r="F31">
        <v>-830933.88571953773</v>
      </c>
      <c r="G31">
        <v>-38233055.055600137</v>
      </c>
      <c r="H31">
        <v>4750234.3534851698</v>
      </c>
      <c r="I31">
        <v>419449.30598450836</v>
      </c>
      <c r="J31">
        <v>-62638.574200532123</v>
      </c>
      <c r="K31">
        <v>-89805514.673932463</v>
      </c>
      <c r="L31">
        <v>102.54155925578303</v>
      </c>
      <c r="M31">
        <v>1133508.947704585</v>
      </c>
      <c r="N31">
        <v>52735596.603514954</v>
      </c>
      <c r="O31">
        <v>62068515.549420103</v>
      </c>
      <c r="P31">
        <v>0</v>
      </c>
      <c r="Q31">
        <v>-94493092.37383388</v>
      </c>
      <c r="R31">
        <v>-19240559.404410332</v>
      </c>
      <c r="S31">
        <v>494580.41281920922</v>
      </c>
      <c r="T31">
        <v>-5231010.5802212283</v>
      </c>
      <c r="U31">
        <v>-259847.6670131493</v>
      </c>
    </row>
    <row r="32" spans="1:21" x14ac:dyDescent="0.25">
      <c r="A32" s="6">
        <v>20150415</v>
      </c>
      <c r="B32">
        <v>2106.63</v>
      </c>
      <c r="C32">
        <v>-137912985.74899998</v>
      </c>
      <c r="D32">
        <v>56632.947277069092</v>
      </c>
      <c r="E32">
        <v>92930859.465796947</v>
      </c>
      <c r="F32">
        <v>-850871.30476212502</v>
      </c>
      <c r="G32">
        <v>-38233055.055600137</v>
      </c>
      <c r="H32">
        <v>-5099584.7192690307</v>
      </c>
      <c r="I32">
        <v>-114641.54094820977</v>
      </c>
      <c r="J32">
        <v>-55597.196398590051</v>
      </c>
      <c r="K32">
        <v>-92434652.533016264</v>
      </c>
      <c r="L32">
        <v>100.55655771966863</v>
      </c>
      <c r="M32">
        <v>1118179.6272817818</v>
      </c>
      <c r="N32">
        <v>53315849.144195125</v>
      </c>
      <c r="O32">
        <v>67478820.251210839</v>
      </c>
      <c r="P32">
        <v>0</v>
      </c>
      <c r="Q32">
        <v>-95340551.357341051</v>
      </c>
      <c r="R32">
        <v>-20383355.664220992</v>
      </c>
      <c r="S32">
        <v>505826.5865698579</v>
      </c>
      <c r="T32">
        <v>5459634.3556647701</v>
      </c>
      <c r="U32">
        <v>233581.62721962054</v>
      </c>
    </row>
    <row r="33" spans="1:21" x14ac:dyDescent="0.25">
      <c r="A33" s="6">
        <v>20150420</v>
      </c>
      <c r="B33">
        <v>2100.4</v>
      </c>
      <c r="C33">
        <v>-139749083.37469998</v>
      </c>
      <c r="D33">
        <v>60982.488101959229</v>
      </c>
      <c r="E33">
        <v>93225399.578475475</v>
      </c>
      <c r="F33">
        <v>-852615.62687730789</v>
      </c>
      <c r="G33">
        <v>-38233055.055600137</v>
      </c>
      <c r="H33">
        <v>-946148.87626646797</v>
      </c>
      <c r="I33">
        <v>-228166.4990820121</v>
      </c>
      <c r="J33">
        <v>-56919.270440351902</v>
      </c>
      <c r="K33">
        <v>-93207119.17567575</v>
      </c>
      <c r="L33">
        <v>102.27335161154839</v>
      </c>
      <c r="M33">
        <v>1119434.4609699235</v>
      </c>
      <c r="N33">
        <v>54370963.553556532</v>
      </c>
      <c r="O33">
        <v>68750484.744168341</v>
      </c>
      <c r="P33">
        <v>0</v>
      </c>
      <c r="Q33">
        <v>-95533992.262549326</v>
      </c>
      <c r="R33">
        <v>-20888959.320449796</v>
      </c>
      <c r="S33">
        <v>507399.50047202903</v>
      </c>
      <c r="T33">
        <v>1271975.885467022</v>
      </c>
      <c r="U33">
        <v>122144.30406381554</v>
      </c>
    </row>
    <row r="34" spans="1:21" x14ac:dyDescent="0.25">
      <c r="A34" s="6">
        <v>20150423</v>
      </c>
      <c r="B34">
        <v>2112.9299999999998</v>
      </c>
      <c r="C34">
        <v>-132237710.4452</v>
      </c>
      <c r="D34">
        <v>58210.677265167236</v>
      </c>
      <c r="E34">
        <v>91010485.324477673</v>
      </c>
      <c r="F34">
        <v>-822666.30503964424</v>
      </c>
      <c r="G34">
        <v>-38233055.055600137</v>
      </c>
      <c r="H34">
        <v>4900171.2196284588</v>
      </c>
      <c r="I34">
        <v>41381.609595921705</v>
      </c>
      <c r="J34">
        <v>-59519.712810771918</v>
      </c>
      <c r="K34">
        <v>-91332619.854081288</v>
      </c>
      <c r="L34">
        <v>96.510716394257855</v>
      </c>
      <c r="M34">
        <v>1086272.6045137725</v>
      </c>
      <c r="N34">
        <v>56811382.95268885</v>
      </c>
      <c r="O34">
        <v>64009904.9196022</v>
      </c>
      <c r="P34">
        <v>0</v>
      </c>
      <c r="Q34">
        <v>-94612985.663359031</v>
      </c>
      <c r="R34">
        <v>-19928705.86180678</v>
      </c>
      <c r="S34">
        <v>493480.99034068995</v>
      </c>
      <c r="T34">
        <v>-4699151.4142984701</v>
      </c>
      <c r="U34">
        <v>265027.07187790202</v>
      </c>
    </row>
    <row r="35" spans="1:21" x14ac:dyDescent="0.25">
      <c r="A35" s="6">
        <v>20150428</v>
      </c>
      <c r="B35">
        <v>2114.7600000000002</v>
      </c>
      <c r="C35">
        <v>-126112061.45629999</v>
      </c>
      <c r="D35">
        <v>58985.749279022217</v>
      </c>
      <c r="E35">
        <v>89300474.263066769</v>
      </c>
      <c r="F35">
        <v>-797075.84218859673</v>
      </c>
      <c r="G35">
        <v>-38233055.055600137</v>
      </c>
      <c r="H35">
        <v>6587274.3235582504</v>
      </c>
      <c r="I35">
        <v>-93573.030032348091</v>
      </c>
      <c r="J35">
        <v>-57657.334702646054</v>
      </c>
      <c r="K35">
        <v>-86870833.667699337</v>
      </c>
      <c r="L35">
        <v>94.431647362929027</v>
      </c>
      <c r="M35">
        <v>1067010.8041186847</v>
      </c>
      <c r="N35">
        <v>54742072.966811076</v>
      </c>
      <c r="O35">
        <v>57437126.503194295</v>
      </c>
      <c r="P35">
        <v>0</v>
      </c>
      <c r="Q35">
        <v>-93170782.420739889</v>
      </c>
      <c r="R35">
        <v>-16850792.715048149</v>
      </c>
      <c r="S35">
        <v>448901.70108709199</v>
      </c>
      <c r="T35">
        <v>-8037880.3068519514</v>
      </c>
      <c r="U35">
        <v>231648.2869375218</v>
      </c>
    </row>
    <row r="36" spans="1:21" x14ac:dyDescent="0.25">
      <c r="A36" s="6">
        <v>20150430</v>
      </c>
      <c r="B36">
        <v>2085.5100000000002</v>
      </c>
      <c r="C36">
        <v>-123550888.40009999</v>
      </c>
      <c r="D36">
        <v>67064.806629180908</v>
      </c>
      <c r="E36">
        <v>88479594.930564165</v>
      </c>
      <c r="F36">
        <v>-757860.34006595612</v>
      </c>
      <c r="G36">
        <v>-38233055.055600137</v>
      </c>
      <c r="H36">
        <v>3717077.5605693776</v>
      </c>
      <c r="I36">
        <v>-283270.12189788179</v>
      </c>
      <c r="J36">
        <v>-61840.423946656745</v>
      </c>
      <c r="K36">
        <v>-85045839.673378825</v>
      </c>
      <c r="L36">
        <v>105.79117338114071</v>
      </c>
      <c r="M36">
        <v>1126807.9863999956</v>
      </c>
      <c r="N36">
        <v>57563894.580451347</v>
      </c>
      <c r="O36">
        <v>53697082.825573862</v>
      </c>
      <c r="P36">
        <v>0</v>
      </c>
      <c r="Q36">
        <v>-92426740.083950162</v>
      </c>
      <c r="R36">
        <v>-14473805.141895397</v>
      </c>
      <c r="S36">
        <v>411202.35427020938</v>
      </c>
      <c r="T36">
        <v>-3161123.7876707972</v>
      </c>
      <c r="U36">
        <v>97140.896642756546</v>
      </c>
    </row>
    <row r="37" spans="1:21" x14ac:dyDescent="0.25">
      <c r="A37" s="6">
        <v>20150501</v>
      </c>
      <c r="B37">
        <v>2108.29</v>
      </c>
      <c r="C37">
        <v>-114468852.7626</v>
      </c>
      <c r="D37">
        <v>62997.550647735596</v>
      </c>
      <c r="E37">
        <v>85964434.605603456</v>
      </c>
      <c r="F37">
        <v>-729858.90289998055</v>
      </c>
      <c r="G37">
        <v>-38233055.055600137</v>
      </c>
      <c r="H37">
        <v>7601389.8202131884</v>
      </c>
      <c r="I37">
        <v>236676.38226066213</v>
      </c>
      <c r="J37">
        <v>-64344.657446804231</v>
      </c>
      <c r="K37">
        <v>-83924357.053534642</v>
      </c>
      <c r="L37">
        <v>96.459542485529127</v>
      </c>
      <c r="M37">
        <v>1069073.4079041118</v>
      </c>
      <c r="N37">
        <v>61350997.783896439</v>
      </c>
      <c r="O37">
        <v>42893431.70328939</v>
      </c>
      <c r="P37">
        <v>0</v>
      </c>
      <c r="Q37">
        <v>-84538907.963827506</v>
      </c>
      <c r="R37">
        <v>-12162251.169442033</v>
      </c>
      <c r="S37">
        <v>369098.55403306673</v>
      </c>
      <c r="T37">
        <v>-7820608.8385511003</v>
      </c>
      <c r="U37">
        <v>-215252.19865217005</v>
      </c>
    </row>
  </sheetData>
  <sortState ref="A6:A17">
    <sortCondition ref="A5"/>
  </sortState>
  <mergeCells count="4">
    <mergeCell ref="C4:I4"/>
    <mergeCell ref="J4:N4"/>
    <mergeCell ref="O4:S4"/>
    <mergeCell ref="T4:U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ImportGreekVALICVIXDAP_Click">
                <anchor moveWithCells="1" sizeWithCells="1">
                  <from>
                    <xdr:col>3</xdr:col>
                    <xdr:colOff>409575</xdr:colOff>
                    <xdr:row>0</xdr:row>
                    <xdr:rowOff>47625</xdr:rowOff>
                  </from>
                  <to>
                    <xdr:col>4</xdr:col>
                    <xdr:colOff>304800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RefreshVALICVIXDAP_Click">
                <anchor moveWithCells="1" sizeWithCells="1">
                  <from>
                    <xdr:col>2</xdr:col>
                    <xdr:colOff>400050</xdr:colOff>
                    <xdr:row>0</xdr:row>
                    <xdr:rowOff>47625</xdr:rowOff>
                  </from>
                  <to>
                    <xdr:col>3</xdr:col>
                    <xdr:colOff>295275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U201"/>
  <sheetViews>
    <sheetView workbookViewId="0">
      <selection sqref="A1:A1048576"/>
    </sheetView>
  </sheetViews>
  <sheetFormatPr defaultRowHeight="15" x14ac:dyDescent="0.25"/>
  <cols>
    <col min="1" max="1" width="19.28515625" style="6" customWidth="1"/>
    <col min="2" max="13" width="19.28515625" customWidth="1"/>
    <col min="14" max="14" width="12.7109375" bestFit="1" customWidth="1"/>
    <col min="15" max="15" width="15.28515625" bestFit="1" customWidth="1"/>
    <col min="16" max="16" width="16.28515625" bestFit="1" customWidth="1"/>
    <col min="17" max="21" width="16.42578125" customWidth="1"/>
  </cols>
  <sheetData>
    <row r="1" spans="1:21" x14ac:dyDescent="0.25">
      <c r="A1" s="6" t="s">
        <v>43</v>
      </c>
      <c r="B1" s="10">
        <v>20141231</v>
      </c>
    </row>
    <row r="2" spans="1:21" x14ac:dyDescent="0.25">
      <c r="A2" s="6" t="s">
        <v>44</v>
      </c>
      <c r="B2" s="10">
        <v>20150505</v>
      </c>
    </row>
    <row r="4" spans="1:21" x14ac:dyDescent="0.25">
      <c r="B4" s="10"/>
      <c r="C4" s="41" t="s">
        <v>45</v>
      </c>
      <c r="D4" s="42"/>
      <c r="E4" s="42"/>
      <c r="F4" s="42"/>
      <c r="G4" s="42"/>
      <c r="H4" s="42"/>
      <c r="I4" s="43"/>
      <c r="J4" s="41" t="s">
        <v>77</v>
      </c>
      <c r="K4" s="42"/>
      <c r="L4" s="42"/>
      <c r="M4" s="42"/>
      <c r="N4" s="43"/>
      <c r="O4" s="41" t="s">
        <v>46</v>
      </c>
      <c r="P4" s="42"/>
      <c r="Q4" s="42"/>
      <c r="R4" s="42"/>
      <c r="S4" s="43"/>
      <c r="T4" s="41" t="s">
        <v>93</v>
      </c>
      <c r="U4" s="43"/>
    </row>
    <row r="5" spans="1:21" x14ac:dyDescent="0.25">
      <c r="A5" s="6" t="s">
        <v>47</v>
      </c>
      <c r="B5" s="10" t="s">
        <v>37</v>
      </c>
      <c r="C5" s="10" t="s">
        <v>38</v>
      </c>
      <c r="D5" s="10" t="s">
        <v>35</v>
      </c>
      <c r="E5" s="10" t="s">
        <v>8</v>
      </c>
      <c r="F5" s="10" t="s">
        <v>36</v>
      </c>
      <c r="G5" s="10" t="s">
        <v>9</v>
      </c>
      <c r="H5" s="10" t="s">
        <v>49</v>
      </c>
      <c r="I5" s="10" t="s">
        <v>48</v>
      </c>
      <c r="J5" s="10" t="s">
        <v>73</v>
      </c>
      <c r="K5" s="10" t="s">
        <v>74</v>
      </c>
      <c r="L5" s="10" t="s">
        <v>75</v>
      </c>
      <c r="M5" s="10" t="s">
        <v>76</v>
      </c>
      <c r="N5" s="10" t="s">
        <v>29</v>
      </c>
      <c r="O5" s="10" t="s">
        <v>39</v>
      </c>
      <c r="P5" s="10" t="s">
        <v>40</v>
      </c>
      <c r="Q5" s="10" t="s">
        <v>10</v>
      </c>
      <c r="R5" s="10" t="s">
        <v>28</v>
      </c>
      <c r="S5" s="10" t="s">
        <v>30</v>
      </c>
      <c r="T5" s="10" t="s">
        <v>94</v>
      </c>
      <c r="U5" s="10" t="s">
        <v>95</v>
      </c>
    </row>
    <row r="6" spans="1:21" x14ac:dyDescent="0.25">
      <c r="A6" s="6">
        <v>20150430</v>
      </c>
      <c r="B6" s="10">
        <v>2085.5100000000002</v>
      </c>
      <c r="C6" s="11">
        <v>-160758273.97130001</v>
      </c>
      <c r="D6" s="11">
        <v>203488.36269950867</v>
      </c>
      <c r="E6" s="11">
        <v>149854648.7278254</v>
      </c>
      <c r="F6" s="11">
        <v>-2006120.829251647</v>
      </c>
      <c r="G6" s="11">
        <v>-58453980.947199821</v>
      </c>
      <c r="H6" s="11">
        <v>20198277.033331413</v>
      </c>
      <c r="I6" s="11">
        <v>-319415.9934103422</v>
      </c>
      <c r="J6" s="11">
        <v>-201249.91149457681</v>
      </c>
      <c r="K6" s="11">
        <v>-133906332.43227601</v>
      </c>
      <c r="L6" s="11">
        <v>367.38434934227564</v>
      </c>
      <c r="M6" s="11">
        <v>3456884.6898835655</v>
      </c>
      <c r="N6" s="11">
        <v>96194289.845920175</v>
      </c>
      <c r="O6" s="11">
        <v>59118313.685669251</v>
      </c>
      <c r="P6" s="11">
        <v>5802566.0079575703</v>
      </c>
      <c r="Q6" s="11">
        <v>-123840201.95641303</v>
      </c>
      <c r="R6" s="11">
        <v>-18227199.183806837</v>
      </c>
      <c r="S6" s="11">
        <v>558150.82268183294</v>
      </c>
      <c r="T6" s="19">
        <v>-18508691.412127435</v>
      </c>
      <c r="U6" s="19">
        <v>334812.14422986755</v>
      </c>
    </row>
    <row r="7" spans="1:21" x14ac:dyDescent="0.25">
      <c r="A7" s="6">
        <v>20141231</v>
      </c>
      <c r="B7" s="10">
        <v>2058.9</v>
      </c>
      <c r="C7" s="11">
        <v>-167470201.85289997</v>
      </c>
      <c r="D7" s="11">
        <v>193494.23591995239</v>
      </c>
      <c r="E7" s="11">
        <v>154271751.39145422</v>
      </c>
      <c r="F7" s="11">
        <v>-2413597.5328629017</v>
      </c>
      <c r="G7" s="11">
        <v>-57048108.0552001</v>
      </c>
      <c r="H7" s="11">
        <v>-4192084.3109976468</v>
      </c>
      <c r="I7" s="11">
        <v>-1755267.8853162257</v>
      </c>
      <c r="J7" s="11">
        <v>-188348.33048508051</v>
      </c>
      <c r="K7" s="11">
        <v>-155075454.39651081</v>
      </c>
      <c r="L7" s="11">
        <v>245.61008786336424</v>
      </c>
      <c r="M7" s="11">
        <v>1671317.3826802094</v>
      </c>
      <c r="N7" s="11">
        <v>71718825.088027135</v>
      </c>
      <c r="O7" s="19">
        <v>31179891.403158583</v>
      </c>
      <c r="P7" s="19">
        <v>11482315.200668037</v>
      </c>
      <c r="Q7" s="19">
        <v>-100831204.33883771</v>
      </c>
      <c r="R7" s="19">
        <v>-22994059.103062861</v>
      </c>
      <c r="S7" s="19">
        <v>551511.77574389603</v>
      </c>
      <c r="T7" s="19">
        <v>4761694.2738026939</v>
      </c>
      <c r="U7" s="19">
        <v>1229879.8207157124</v>
      </c>
    </row>
    <row r="8" spans="1:21" x14ac:dyDescent="0.25">
      <c r="A8" s="6">
        <v>20150112</v>
      </c>
      <c r="B8" s="10">
        <v>2028.26</v>
      </c>
      <c r="C8" s="11">
        <v>-209123485.09969997</v>
      </c>
      <c r="D8" s="11">
        <v>224514.10153388977</v>
      </c>
      <c r="E8" s="11">
        <v>165632182.89807796</v>
      </c>
      <c r="F8" s="11">
        <v>-2368092.0712578297</v>
      </c>
      <c r="G8" s="11">
        <v>-57048108.0552001</v>
      </c>
      <c r="H8" s="11">
        <v>-8572977.0140091591</v>
      </c>
      <c r="I8" s="11">
        <v>393103.46060670359</v>
      </c>
      <c r="J8" s="11">
        <v>-224308.16434514005</v>
      </c>
      <c r="K8" s="11">
        <v>-167246390.3439897</v>
      </c>
      <c r="L8" s="11">
        <v>264.75112936300729</v>
      </c>
      <c r="M8" s="11">
        <v>1660031.7192673462</v>
      </c>
      <c r="N8" s="11">
        <v>72771750.107169241</v>
      </c>
      <c r="O8" s="19">
        <v>82952228.654466212</v>
      </c>
      <c r="P8" s="19">
        <v>13594379.668198286</v>
      </c>
      <c r="Q8" s="19">
        <v>-140396210.50678566</v>
      </c>
      <c r="R8" s="19">
        <v>-24971356.505871873</v>
      </c>
      <c r="S8" s="19">
        <v>755713.49738403701</v>
      </c>
      <c r="T8" s="19">
        <v>7963655.7068785923</v>
      </c>
      <c r="U8" s="19">
        <v>505036.92574264231</v>
      </c>
    </row>
    <row r="9" spans="1:21" x14ac:dyDescent="0.25">
      <c r="A9" s="6">
        <v>20150115</v>
      </c>
      <c r="B9" s="10">
        <v>1992.67</v>
      </c>
      <c r="C9" s="11">
        <v>-245551940.90109998</v>
      </c>
      <c r="D9" s="11">
        <v>252916.10076332092</v>
      </c>
      <c r="E9" s="11">
        <v>174354114.737988</v>
      </c>
      <c r="F9" s="11">
        <v>-2429917.0267393589</v>
      </c>
      <c r="G9" s="11">
        <v>-57048108.0552001</v>
      </c>
      <c r="H9" s="11">
        <v>-28680479.725295696</v>
      </c>
      <c r="I9" s="11">
        <v>-1253524.8184341753</v>
      </c>
      <c r="J9" s="11">
        <v>-235120.69694007107</v>
      </c>
      <c r="K9" s="11">
        <v>-179617269.81933156</v>
      </c>
      <c r="L9" s="11">
        <v>309.10946417377966</v>
      </c>
      <c r="M9" s="11">
        <v>1798099.1511734244</v>
      </c>
      <c r="N9" s="11">
        <v>76373727.08117713</v>
      </c>
      <c r="O9" s="19">
        <v>108262776.35921243</v>
      </c>
      <c r="P9" s="19">
        <v>22712561.584920663</v>
      </c>
      <c r="Q9" s="19">
        <v>-144048197.07949778</v>
      </c>
      <c r="R9" s="19">
        <v>-34574617.119491711</v>
      </c>
      <c r="S9" s="19">
        <v>821126.85731786559</v>
      </c>
      <c r="T9" s="19">
        <v>29832928.741684809</v>
      </c>
      <c r="U9" s="19">
        <v>414512.39854493598</v>
      </c>
    </row>
    <row r="10" spans="1:21" x14ac:dyDescent="0.25">
      <c r="A10" s="6">
        <v>20150102</v>
      </c>
      <c r="B10" s="10">
        <v>2058.1999999999998</v>
      </c>
      <c r="C10" s="11">
        <v>-174836005.41690004</v>
      </c>
      <c r="D10" s="11">
        <v>194778.63355016708</v>
      </c>
      <c r="E10" s="11">
        <v>156275486.12468195</v>
      </c>
      <c r="F10" s="11">
        <v>-2450607.3896958828</v>
      </c>
      <c r="G10" s="11">
        <v>-57048108.0552001</v>
      </c>
      <c r="H10" s="11">
        <v>-8994646.5949631203</v>
      </c>
      <c r="I10" s="11">
        <v>262608.888714356</v>
      </c>
      <c r="J10" s="11">
        <v>-191951.71966943512</v>
      </c>
      <c r="K10" s="11">
        <v>-158660833.38962945</v>
      </c>
      <c r="L10" s="11">
        <v>243.21004133134608</v>
      </c>
      <c r="M10" s="11">
        <v>1635676.7970972892</v>
      </c>
      <c r="N10" s="11">
        <v>72723934.778221205</v>
      </c>
      <c r="O10" s="19">
        <v>37470306.563985571</v>
      </c>
      <c r="P10" s="19">
        <v>12219510.559516665</v>
      </c>
      <c r="Q10" s="19">
        <v>-101686386.92375812</v>
      </c>
      <c r="R10" s="19">
        <v>-23323639.355927173</v>
      </c>
      <c r="S10" s="19">
        <v>686007.99896486918</v>
      </c>
      <c r="T10" s="19">
        <v>9489969.40612703</v>
      </c>
      <c r="U10" s="19">
        <v>-469868.4388772276</v>
      </c>
    </row>
    <row r="11" spans="1:21" x14ac:dyDescent="0.25">
      <c r="A11" s="6">
        <v>20150107</v>
      </c>
      <c r="B11" s="10">
        <v>2025.9</v>
      </c>
      <c r="C11" s="11">
        <v>-204779034.58669996</v>
      </c>
      <c r="D11" s="11">
        <v>225331.79858207703</v>
      </c>
      <c r="E11" s="11">
        <v>164395853.33136368</v>
      </c>
      <c r="F11" s="11">
        <v>-2366359.7176096439</v>
      </c>
      <c r="G11" s="11">
        <v>-57048108.0552001</v>
      </c>
      <c r="H11" s="11">
        <v>-24916469.310590789</v>
      </c>
      <c r="I11" s="11">
        <v>-1664126.0345431548</v>
      </c>
      <c r="J11" s="11">
        <v>-199822.59110727074</v>
      </c>
      <c r="K11" s="11">
        <v>-168247277.15508425</v>
      </c>
      <c r="L11" s="11">
        <v>269.3299251219579</v>
      </c>
      <c r="M11" s="11">
        <v>1697479.1003373354</v>
      </c>
      <c r="N11" s="11">
        <v>73623043.530574083</v>
      </c>
      <c r="O11" s="19">
        <v>56736622.008876964</v>
      </c>
      <c r="P11" s="19">
        <v>13694367.402651099</v>
      </c>
      <c r="Q11" s="19">
        <v>-108518536.00926343</v>
      </c>
      <c r="R11" s="19">
        <v>-23639377.969194792</v>
      </c>
      <c r="S11" s="19">
        <v>750354.30764945375</v>
      </c>
      <c r="T11" s="19">
        <v>26369770.183906779</v>
      </c>
      <c r="U11" s="19">
        <v>11242.34440915157</v>
      </c>
    </row>
    <row r="12" spans="1:21" x14ac:dyDescent="0.25">
      <c r="A12" s="6">
        <v>20150206</v>
      </c>
      <c r="B12" s="10">
        <v>2055.4699999999998</v>
      </c>
      <c r="C12" s="11">
        <v>-185848309.19190001</v>
      </c>
      <c r="D12" s="11">
        <v>200299.5987739563</v>
      </c>
      <c r="E12" s="11">
        <v>159117334.55808544</v>
      </c>
      <c r="F12" s="11">
        <v>-2369835.5947346687</v>
      </c>
      <c r="G12" s="11">
        <v>-64243977.718800306</v>
      </c>
      <c r="H12" s="11">
        <v>21786190.368732516</v>
      </c>
      <c r="I12" s="11">
        <v>-921573.5713878402</v>
      </c>
      <c r="J12" s="11">
        <v>-219814.86341530856</v>
      </c>
      <c r="K12" s="11">
        <v>-150559918.6247699</v>
      </c>
      <c r="L12" s="11">
        <v>209.48120003470973</v>
      </c>
      <c r="M12" s="11">
        <v>1350192.2810390408</v>
      </c>
      <c r="N12" s="11">
        <v>62724216.400019467</v>
      </c>
      <c r="O12" s="19">
        <v>76969078.079917088</v>
      </c>
      <c r="P12" s="19">
        <v>9635711.6559730433</v>
      </c>
      <c r="Q12" s="19">
        <v>-140091808.96990815</v>
      </c>
      <c r="R12" s="19">
        <v>-19038508.213111568</v>
      </c>
      <c r="S12" s="19">
        <v>622237.41528083908</v>
      </c>
      <c r="T12" s="19">
        <v>-26186405.036978014</v>
      </c>
      <c r="U12" s="19">
        <v>675503.81703406398</v>
      </c>
    </row>
    <row r="13" spans="1:21" x14ac:dyDescent="0.25">
      <c r="A13" s="6">
        <v>20150318</v>
      </c>
      <c r="B13" s="10">
        <v>2099.5</v>
      </c>
      <c r="C13" s="11">
        <v>-194231872.17299998</v>
      </c>
      <c r="D13" s="11">
        <v>196760.55537390709</v>
      </c>
      <c r="E13" s="11">
        <v>160720698.09006643</v>
      </c>
      <c r="F13" s="11">
        <v>-2290674.4472432137</v>
      </c>
      <c r="G13" s="11">
        <v>-58515578.805599928</v>
      </c>
      <c r="H13" s="11">
        <v>-35859541.349722289</v>
      </c>
      <c r="I13" s="11">
        <v>1438599.4406409271</v>
      </c>
      <c r="J13" s="11">
        <v>-208056.94392113108</v>
      </c>
      <c r="K13" s="11">
        <v>-164448609.66744816</v>
      </c>
      <c r="L13" s="11">
        <v>210.35819153153651</v>
      </c>
      <c r="M13" s="11">
        <v>3003661.4373615142</v>
      </c>
      <c r="N13" s="11">
        <v>107551658.5176219</v>
      </c>
      <c r="O13" s="19">
        <v>75169803.444566205</v>
      </c>
      <c r="P13" s="19">
        <v>10242888.7290872</v>
      </c>
      <c r="Q13" s="19">
        <v>-127850583.57006064</v>
      </c>
      <c r="R13" s="19">
        <v>-28086975.225683574</v>
      </c>
      <c r="S13" s="19">
        <v>814396.62498872867</v>
      </c>
      <c r="T13" s="19">
        <v>35446565.953710869</v>
      </c>
      <c r="U13" s="19">
        <v>-195206.05302362182</v>
      </c>
    </row>
    <row r="14" spans="1:21" x14ac:dyDescent="0.25">
      <c r="A14" s="6">
        <v>20150121</v>
      </c>
      <c r="B14" s="10">
        <v>2032.12</v>
      </c>
      <c r="C14" s="11">
        <v>-210295557.47670001</v>
      </c>
      <c r="D14" s="11">
        <v>228036.91004943848</v>
      </c>
      <c r="E14" s="11">
        <v>165602046.10596228</v>
      </c>
      <c r="F14" s="11">
        <v>-2302923.3797605038</v>
      </c>
      <c r="G14" s="11">
        <v>-57048108.0552001</v>
      </c>
      <c r="H14" s="11">
        <v>24584974.433682818</v>
      </c>
      <c r="I14" s="11">
        <v>2086376.5562266407</v>
      </c>
      <c r="J14" s="11">
        <v>-229500.42782303112</v>
      </c>
      <c r="K14" s="11">
        <v>-169064957.94527456</v>
      </c>
      <c r="L14" s="11">
        <v>253.54646928638715</v>
      </c>
      <c r="M14" s="11">
        <v>1555621.7430063272</v>
      </c>
      <c r="N14" s="11">
        <v>72028542.032839283</v>
      </c>
      <c r="O14" s="19">
        <v>85373931.489838749</v>
      </c>
      <c r="P14" s="19">
        <v>15821150.88394787</v>
      </c>
      <c r="Q14" s="19">
        <v>-137522963.04108453</v>
      </c>
      <c r="R14" s="19">
        <v>-27239113.269585535</v>
      </c>
      <c r="S14" s="19">
        <v>769150.54262506648</v>
      </c>
      <c r="T14" s="19">
        <v>-24771181.373561744</v>
      </c>
      <c r="U14" s="19">
        <v>-276533.35856371798</v>
      </c>
    </row>
    <row r="15" spans="1:21" x14ac:dyDescent="0.25">
      <c r="A15" s="6">
        <v>20150126</v>
      </c>
      <c r="B15" s="10">
        <v>2057.09</v>
      </c>
      <c r="C15" s="11">
        <v>-209937277.99680007</v>
      </c>
      <c r="D15" s="11">
        <v>217220.1949596405</v>
      </c>
      <c r="E15" s="11">
        <v>165702576.00423384</v>
      </c>
      <c r="F15" s="11">
        <v>-2283364.4953308105</v>
      </c>
      <c r="G15" s="11">
        <v>-57048108.0552001</v>
      </c>
      <c r="H15" s="11">
        <v>-8635230.2801887356</v>
      </c>
      <c r="I15" s="11">
        <v>1586948.3353046125</v>
      </c>
      <c r="J15" s="11">
        <v>-218066.08919433915</v>
      </c>
      <c r="K15" s="11">
        <v>-168840768.41182894</v>
      </c>
      <c r="L15" s="11">
        <v>212.45516153397489</v>
      </c>
      <c r="M15" s="11">
        <v>1357005.5357684984</v>
      </c>
      <c r="N15" s="11">
        <v>74939565.412558764</v>
      </c>
      <c r="O15" s="19">
        <v>88598024.607809648</v>
      </c>
      <c r="P15" s="19">
        <v>16571795.79303262</v>
      </c>
      <c r="Q15" s="19">
        <v>-133349123.65706283</v>
      </c>
      <c r="R15" s="19">
        <v>-29612887.417328943</v>
      </c>
      <c r="S15" s="19">
        <v>777647.11272526765</v>
      </c>
      <c r="T15" s="19">
        <v>9055655.73065654</v>
      </c>
      <c r="U15" s="19">
        <v>-802653.92309682304</v>
      </c>
    </row>
    <row r="16" spans="1:21" x14ac:dyDescent="0.25">
      <c r="A16" s="6">
        <v>20150129</v>
      </c>
      <c r="B16" s="10">
        <v>2021.25</v>
      </c>
      <c r="C16" s="11">
        <v>-231316262.50989997</v>
      </c>
      <c r="D16" s="11">
        <v>237412.90736579895</v>
      </c>
      <c r="E16" s="11">
        <v>170251567.59754682</v>
      </c>
      <c r="F16" s="11">
        <v>-2310589.1520063877</v>
      </c>
      <c r="G16" s="11">
        <v>-57048108.0552001</v>
      </c>
      <c r="H16" s="11">
        <v>-14371181.536985746</v>
      </c>
      <c r="I16" s="11">
        <v>-1570376.5129320798</v>
      </c>
      <c r="J16" s="11">
        <v>-227012.27214026515</v>
      </c>
      <c r="K16" s="11">
        <v>-170644433.74314088</v>
      </c>
      <c r="L16" s="11">
        <v>252.81852654503797</v>
      </c>
      <c r="M16" s="11">
        <v>1498979.6422561677</v>
      </c>
      <c r="N16" s="11">
        <v>72453446.040624768</v>
      </c>
      <c r="O16" s="19">
        <v>100324636.45757969</v>
      </c>
      <c r="P16" s="19">
        <v>17595214.913492955</v>
      </c>
      <c r="Q16" s="19">
        <v>-135119302.7797668</v>
      </c>
      <c r="R16" s="19">
        <v>-30456485.97727539</v>
      </c>
      <c r="S16" s="19">
        <v>789365.21732074022</v>
      </c>
      <c r="T16" s="19">
        <v>14563242.182337761</v>
      </c>
      <c r="U16" s="19">
        <v>672847.13419626188</v>
      </c>
    </row>
    <row r="17" spans="1:21" x14ac:dyDescent="0.25">
      <c r="A17" s="6">
        <v>20150130</v>
      </c>
      <c r="B17" s="10">
        <v>1994.99</v>
      </c>
      <c r="C17" s="11">
        <v>-259247921.10619998</v>
      </c>
      <c r="D17" s="11">
        <v>252087.24181175232</v>
      </c>
      <c r="E17" s="11">
        <v>176429270.09793115</v>
      </c>
      <c r="F17" s="11">
        <v>-2496785.8395745754</v>
      </c>
      <c r="G17" s="11">
        <v>-57048108.0552001</v>
      </c>
      <c r="H17" s="11">
        <v>-16880704.027962402</v>
      </c>
      <c r="I17" s="11">
        <v>-1480004.3668008572</v>
      </c>
      <c r="J17" s="11">
        <v>-247067.42561919766</v>
      </c>
      <c r="K17" s="11">
        <v>-174283666.38188025</v>
      </c>
      <c r="L17" s="11">
        <v>291.06435318187187</v>
      </c>
      <c r="M17" s="11">
        <v>1644748.2157346276</v>
      </c>
      <c r="N17" s="11">
        <v>77298369.969146401</v>
      </c>
      <c r="O17" s="19">
        <v>115948971.2019482</v>
      </c>
      <c r="P17" s="19">
        <v>21993604.797621246</v>
      </c>
      <c r="Q17" s="19">
        <v>-139467897.57635453</v>
      </c>
      <c r="R17" s="19">
        <v>-35778745.730570719</v>
      </c>
      <c r="S17" s="19">
        <v>814859.19288597547</v>
      </c>
      <c r="T17" s="19">
        <v>16573834.856689073</v>
      </c>
      <c r="U17" s="19">
        <v>836002.42060721596</v>
      </c>
    </row>
    <row r="18" spans="1:21" x14ac:dyDescent="0.25">
      <c r="A18" s="6">
        <v>20150203</v>
      </c>
      <c r="B18">
        <v>2050.0300000000002</v>
      </c>
      <c r="C18" s="19">
        <v>-211240525.28069997</v>
      </c>
      <c r="D18" s="19">
        <v>221076.51260757446</v>
      </c>
      <c r="E18" s="19">
        <v>165545822.23402381</v>
      </c>
      <c r="F18" s="19">
        <v>-2346552.6154797077</v>
      </c>
      <c r="G18" s="19">
        <v>-64243977.718800306</v>
      </c>
      <c r="H18" s="19">
        <v>21967717.193484481</v>
      </c>
      <c r="I18" s="19">
        <v>2618838.5103042461</v>
      </c>
      <c r="J18" s="19">
        <v>-235474.22213063383</v>
      </c>
      <c r="K18" s="19">
        <v>-164940696.0766356</v>
      </c>
      <c r="L18" s="19">
        <v>218.3224594565128</v>
      </c>
      <c r="M18" s="19">
        <v>1376214.0264333668</v>
      </c>
      <c r="N18" s="19">
        <v>72029878.419495299</v>
      </c>
      <c r="O18" s="19">
        <v>93903410.753787741</v>
      </c>
      <c r="P18" s="19">
        <v>17286656.479588561</v>
      </c>
      <c r="Q18" s="19">
        <v>-134359692.04640943</v>
      </c>
      <c r="R18" s="19">
        <v>-29810531.637282357</v>
      </c>
      <c r="S18" s="19">
        <v>845461.24363363627</v>
      </c>
      <c r="T18" s="19">
        <v>-25885644.56187937</v>
      </c>
      <c r="U18" s="19">
        <v>-122672.08240706078</v>
      </c>
    </row>
    <row r="19" spans="1:21" x14ac:dyDescent="0.25">
      <c r="A19" s="6">
        <v>20150313</v>
      </c>
      <c r="B19">
        <v>2053.4</v>
      </c>
      <c r="C19" s="19">
        <v>-167694465.90540004</v>
      </c>
      <c r="D19" s="19">
        <v>219596.3796672821</v>
      </c>
      <c r="E19" s="19">
        <v>153857563.46725559</v>
      </c>
      <c r="F19" s="19">
        <v>-1965431.4454979897</v>
      </c>
      <c r="G19" s="19">
        <v>-58515578.805599928</v>
      </c>
      <c r="H19" s="19">
        <v>-3626152.1782803517</v>
      </c>
      <c r="I19" s="19">
        <v>240259.41975640837</v>
      </c>
      <c r="J19" s="19">
        <v>-219782.92102221734</v>
      </c>
      <c r="K19" s="19">
        <v>-150406855.66719207</v>
      </c>
      <c r="L19" s="19">
        <v>249.59925226452526</v>
      </c>
      <c r="M19" s="19">
        <v>3244249.7265397594</v>
      </c>
      <c r="N19" s="19">
        <v>106220206.65874656</v>
      </c>
      <c r="O19" s="19">
        <v>60265454.919126526</v>
      </c>
      <c r="P19" s="19">
        <v>5987474.0134149939</v>
      </c>
      <c r="Q19" s="19">
        <v>-134487888.3815527</v>
      </c>
      <c r="R19" s="19">
        <v>-17787328.47348823</v>
      </c>
      <c r="S19" s="19">
        <v>609130.44094401074</v>
      </c>
      <c r="T19" s="19">
        <v>3454996.0077968556</v>
      </c>
      <c r="U19" s="19">
        <v>-630113.2122560814</v>
      </c>
    </row>
    <row r="20" spans="1:21" x14ac:dyDescent="0.25">
      <c r="A20" s="6">
        <v>20150220</v>
      </c>
      <c r="B20">
        <v>2110.3000000000002</v>
      </c>
      <c r="C20" s="19">
        <v>-156394080.50940001</v>
      </c>
      <c r="D20" s="19">
        <v>176644.09082126617</v>
      </c>
      <c r="E20" s="19">
        <v>151464622.36625457</v>
      </c>
      <c r="F20" s="19">
        <v>-2239283.5427703857</v>
      </c>
      <c r="G20" s="19">
        <v>-64243977.718800306</v>
      </c>
      <c r="H20" s="19">
        <v>-2648683.7395588113</v>
      </c>
      <c r="I20" s="19">
        <v>485516.8154400643</v>
      </c>
      <c r="J20" s="19">
        <v>-215134.37340772327</v>
      </c>
      <c r="K20" s="19">
        <v>-153037547.81907564</v>
      </c>
      <c r="L20" s="19">
        <v>208.91904678285596</v>
      </c>
      <c r="M20" s="19">
        <v>3148162.931992874</v>
      </c>
      <c r="N20" s="19">
        <v>94354023.590699166</v>
      </c>
      <c r="O20" s="19">
        <v>58846529.550745949</v>
      </c>
      <c r="P20" s="19">
        <v>6060056.9864959866</v>
      </c>
      <c r="Q20" s="19">
        <v>-141931055.51151192</v>
      </c>
      <c r="R20" s="19">
        <v>-12954138.921058055</v>
      </c>
      <c r="S20" s="19">
        <v>492786.31187127897</v>
      </c>
      <c r="T20" s="19">
        <v>2780307.5404360341</v>
      </c>
      <c r="U20" s="19">
        <v>-18021.771806968125</v>
      </c>
    </row>
    <row r="21" spans="1:21" x14ac:dyDescent="0.25">
      <c r="A21" s="6">
        <v>20150217</v>
      </c>
      <c r="B21">
        <v>2100.34</v>
      </c>
      <c r="C21" s="19">
        <v>-151518681.13660002</v>
      </c>
      <c r="D21" s="19">
        <v>178404.10735321045</v>
      </c>
      <c r="E21" s="19">
        <v>150099042.31755066</v>
      </c>
      <c r="F21" s="19">
        <v>-2213102.4164810181</v>
      </c>
      <c r="G21" s="19">
        <v>-64243977.718800306</v>
      </c>
      <c r="H21" s="19">
        <v>20666894.049996987</v>
      </c>
      <c r="I21" s="19">
        <v>1423856.9114986651</v>
      </c>
      <c r="J21" s="19">
        <v>-187541.4730848005</v>
      </c>
      <c r="K21" s="19">
        <v>-147725091.13975641</v>
      </c>
      <c r="L21" s="19">
        <v>158.7895575759797</v>
      </c>
      <c r="M21" s="19">
        <v>1115573.0052948438</v>
      </c>
      <c r="N21" s="19">
        <v>55818831.118695572</v>
      </c>
      <c r="O21" s="19">
        <v>53180843.923149176</v>
      </c>
      <c r="P21" s="19">
        <v>5382919.9885352384</v>
      </c>
      <c r="Q21" s="19">
        <v>-136382296.6237039</v>
      </c>
      <c r="R21" s="19">
        <v>-11972301.426812472</v>
      </c>
      <c r="S21" s="19">
        <v>470947.77256826317</v>
      </c>
      <c r="T21" s="19">
        <v>-19647721.781333622</v>
      </c>
      <c r="U21" s="19">
        <v>-141301.56886369284</v>
      </c>
    </row>
    <row r="22" spans="1:21" x14ac:dyDescent="0.25">
      <c r="A22" s="6">
        <v>20150323</v>
      </c>
      <c r="B22">
        <v>2104.42</v>
      </c>
      <c r="C22" s="19">
        <v>-192451076.82429999</v>
      </c>
      <c r="D22" s="19">
        <v>194770.20744514465</v>
      </c>
      <c r="E22" s="19">
        <v>159818068.22951126</v>
      </c>
      <c r="F22" s="19">
        <v>-2313631.2546594143</v>
      </c>
      <c r="G22" s="19">
        <v>-58515578.805599928</v>
      </c>
      <c r="H22" s="19">
        <v>378321.41543948406</v>
      </c>
      <c r="I22" s="19">
        <v>-1012218.4719172699</v>
      </c>
      <c r="J22" s="19">
        <v>-196981.60617127304</v>
      </c>
      <c r="K22" s="19">
        <v>-156342361.95984632</v>
      </c>
      <c r="L22" s="19">
        <v>205.86082104012982</v>
      </c>
      <c r="M22" s="19">
        <v>2991101.1059753569</v>
      </c>
      <c r="N22" s="19">
        <v>106631901.65953879</v>
      </c>
      <c r="O22" s="19">
        <v>72530754.883624688</v>
      </c>
      <c r="P22" s="19">
        <v>11138278.095538002</v>
      </c>
      <c r="Q22" s="19">
        <v>-123681806.99243031</v>
      </c>
      <c r="R22" s="19">
        <v>-30682731.562597629</v>
      </c>
      <c r="S22" s="19">
        <v>852692.8722797794</v>
      </c>
      <c r="T22" s="19">
        <v>-490115.9566427439</v>
      </c>
      <c r="U22" s="19">
        <v>940490.42043802119</v>
      </c>
    </row>
    <row r="23" spans="1:21" x14ac:dyDescent="0.25">
      <c r="A23" s="6">
        <v>20150225</v>
      </c>
      <c r="B23">
        <v>2113.86</v>
      </c>
      <c r="C23" s="19">
        <v>-177523316.45810002</v>
      </c>
      <c r="D23" s="19">
        <v>180051.04398918152</v>
      </c>
      <c r="E23" s="19">
        <v>157051872.55254221</v>
      </c>
      <c r="F23" s="19">
        <v>-2357915.9682996273</v>
      </c>
      <c r="G23" s="19">
        <v>-64243977.718800306</v>
      </c>
      <c r="H23" s="19">
        <v>-22130101.900113456</v>
      </c>
      <c r="I23" s="19">
        <v>866853.46538327041</v>
      </c>
      <c r="J23" s="19">
        <v>-177829.88493644033</v>
      </c>
      <c r="K23" s="19">
        <v>-161264428.43962911</v>
      </c>
      <c r="L23" s="19">
        <v>212.78518184107639</v>
      </c>
      <c r="M23" s="19">
        <v>3184698.3097215043</v>
      </c>
      <c r="N23" s="19">
        <v>89737462.868873566</v>
      </c>
      <c r="O23" s="19">
        <v>73599782.880316332</v>
      </c>
      <c r="P23" s="19">
        <v>8811545.4659238998</v>
      </c>
      <c r="Q23" s="19">
        <v>-134564622.57673934</v>
      </c>
      <c r="R23" s="19">
        <v>-18011262.109887805</v>
      </c>
      <c r="S23" s="19">
        <v>583529.10094247153</v>
      </c>
      <c r="T23" s="19">
        <v>22394225.944799405</v>
      </c>
      <c r="U23" s="19">
        <v>-1838456.0828253103</v>
      </c>
    </row>
    <row r="24" spans="1:21" x14ac:dyDescent="0.25">
      <c r="A24" s="6">
        <v>20150227</v>
      </c>
      <c r="B24">
        <v>2104.5</v>
      </c>
      <c r="C24" s="19">
        <v>-172657391.01340002</v>
      </c>
      <c r="D24" s="19">
        <v>187203.56368637085</v>
      </c>
      <c r="E24" s="19">
        <v>156004058.43998003</v>
      </c>
      <c r="F24" s="19">
        <v>-2219517.862998724</v>
      </c>
      <c r="G24" s="19">
        <v>-64243977.718800306</v>
      </c>
      <c r="H24" s="19">
        <v>2615311.1944647208</v>
      </c>
      <c r="I24" s="19">
        <v>-79398.140459430419</v>
      </c>
      <c r="J24" s="19">
        <v>-180659.34311817517</v>
      </c>
      <c r="K24" s="19">
        <v>-149141653.72835398</v>
      </c>
      <c r="L24" s="19">
        <v>217.54078280854225</v>
      </c>
      <c r="M24" s="19">
        <v>3181028.8411856256</v>
      </c>
      <c r="N24" s="19">
        <v>91117317.367285684</v>
      </c>
      <c r="O24" s="19">
        <v>71445430.972278044</v>
      </c>
      <c r="P24" s="19">
        <v>8378577.8908671094</v>
      </c>
      <c r="Q24" s="19">
        <v>-134288532.85594881</v>
      </c>
      <c r="R24" s="19">
        <v>-17377401.024709083</v>
      </c>
      <c r="S24" s="19">
        <v>568896.10592712066</v>
      </c>
      <c r="T24" s="19">
        <v>-2868930.6234644568</v>
      </c>
      <c r="U24" s="19">
        <v>-507859.9710169154</v>
      </c>
    </row>
    <row r="25" spans="1:21" x14ac:dyDescent="0.25">
      <c r="A25" s="6">
        <v>20150326</v>
      </c>
      <c r="B25">
        <v>2056.15</v>
      </c>
      <c r="C25" s="19">
        <v>-190901669.17570001</v>
      </c>
      <c r="D25" s="19">
        <v>222446.51245307922</v>
      </c>
      <c r="E25" s="19">
        <v>158870114.60634804</v>
      </c>
      <c r="F25" s="19">
        <v>-2094349.3747792244</v>
      </c>
      <c r="G25" s="19">
        <v>-58515578.805599928</v>
      </c>
      <c r="H25" s="19">
        <v>12952915.781670202</v>
      </c>
      <c r="I25" s="19">
        <v>-1353556.5611118278</v>
      </c>
      <c r="J25" s="19">
        <v>-204114.70800533169</v>
      </c>
      <c r="K25" s="19">
        <v>-144898195.36154741</v>
      </c>
      <c r="L25" s="19">
        <v>240.28936532145076</v>
      </c>
      <c r="M25" s="19">
        <v>3151872.633268516</v>
      </c>
      <c r="N25" s="19">
        <v>103160077.33759168</v>
      </c>
      <c r="O25" s="19">
        <v>64180353.010300368</v>
      </c>
      <c r="P25" s="19">
        <v>9221184.7829531804</v>
      </c>
      <c r="Q25" s="19">
        <v>-124023940.76219498</v>
      </c>
      <c r="R25" s="19">
        <v>-25698338.493181337</v>
      </c>
      <c r="S25" s="19">
        <v>758385.75638706191</v>
      </c>
      <c r="T25" s="19">
        <v>-12107820.44258998</v>
      </c>
      <c r="U25" s="19">
        <v>-92358.735363988788</v>
      </c>
    </row>
    <row r="26" spans="1:21" x14ac:dyDescent="0.25">
      <c r="A26" s="6">
        <v>20150211</v>
      </c>
      <c r="B26">
        <v>2068.5300000000002</v>
      </c>
      <c r="C26" s="19">
        <v>-180088839.99280006</v>
      </c>
      <c r="D26" s="19">
        <v>195021.72735023499</v>
      </c>
      <c r="E26" s="19">
        <v>157195449.08618307</v>
      </c>
      <c r="F26" s="19">
        <v>-2364138.4460206032</v>
      </c>
      <c r="G26" s="19">
        <v>-64243977.718800306</v>
      </c>
      <c r="H26" s="19">
        <v>7851165.9760251725</v>
      </c>
      <c r="I26" s="19">
        <v>513254.52935969626</v>
      </c>
      <c r="J26" s="19">
        <v>-196608.16789629852</v>
      </c>
      <c r="K26" s="19">
        <v>-156210931.11433935</v>
      </c>
      <c r="L26" s="19">
        <v>193.70049075936308</v>
      </c>
      <c r="M26" s="19">
        <v>1275961.8755984469</v>
      </c>
      <c r="N26" s="19">
        <v>60898041.441426165</v>
      </c>
      <c r="O26" s="19">
        <v>70343563.048461691</v>
      </c>
      <c r="P26" s="19">
        <v>8416914.6189499665</v>
      </c>
      <c r="Q26" s="19">
        <v>-139112725.9223302</v>
      </c>
      <c r="R26" s="19">
        <v>-17022130.491517596</v>
      </c>
      <c r="S26" s="19">
        <v>582917.36363001121</v>
      </c>
      <c r="T26" s="19">
        <v>-7611818.0501500871</v>
      </c>
      <c r="U26" s="19">
        <v>313400.72874428943</v>
      </c>
    </row>
    <row r="27" spans="1:21" x14ac:dyDescent="0.25">
      <c r="A27" s="6">
        <v>20150302</v>
      </c>
      <c r="B27">
        <v>2117.39</v>
      </c>
      <c r="C27" s="19">
        <v>-156910333.72869998</v>
      </c>
      <c r="D27" s="19">
        <v>177847.91244506836</v>
      </c>
      <c r="E27" s="19">
        <v>151437410.27591658</v>
      </c>
      <c r="F27" s="19">
        <v>-2147133.5411496162</v>
      </c>
      <c r="G27" s="19">
        <v>-64243977.718800306</v>
      </c>
      <c r="H27" s="19">
        <v>14012146.660875287</v>
      </c>
      <c r="I27" s="19">
        <v>923490.16664250416</v>
      </c>
      <c r="J27" s="19">
        <v>-183345.44781537482</v>
      </c>
      <c r="K27" s="19">
        <v>-151680347.8796584</v>
      </c>
      <c r="L27" s="19">
        <v>206.4092563917992</v>
      </c>
      <c r="M27" s="19">
        <v>3090539.1152764936</v>
      </c>
      <c r="N27" s="19">
        <v>108135840.32748288</v>
      </c>
      <c r="O27" s="19">
        <v>59914845.658299401</v>
      </c>
      <c r="P27" s="19">
        <v>-4919765.843313653</v>
      </c>
      <c r="Q27" s="19">
        <v>-132481416.25846329</v>
      </c>
      <c r="R27" s="19">
        <v>-21714243.437573805</v>
      </c>
      <c r="S27" s="19">
        <v>651344.36753100972</v>
      </c>
      <c r="T27" s="19">
        <v>-12658337.958691649</v>
      </c>
      <c r="U27" s="19">
        <v>12283.038718672353</v>
      </c>
    </row>
    <row r="28" spans="1:21" x14ac:dyDescent="0.25">
      <c r="A28" s="6">
        <v>20150305</v>
      </c>
      <c r="B28">
        <v>2101.04</v>
      </c>
      <c r="C28" s="19">
        <v>-157626981.3136</v>
      </c>
      <c r="D28" s="19">
        <v>191429.74479103088</v>
      </c>
      <c r="E28" s="19">
        <v>151226159.91178679</v>
      </c>
      <c r="F28" s="19">
        <v>-2121314.4143223763</v>
      </c>
      <c r="G28" s="19">
        <v>-58515578.805599928</v>
      </c>
      <c r="H28" s="19">
        <v>9551618.4697119333</v>
      </c>
      <c r="I28" s="19">
        <v>-196474.05040572261</v>
      </c>
      <c r="J28" s="19">
        <v>-180230.08386694736</v>
      </c>
      <c r="K28" s="19">
        <v>-146697062.30742377</v>
      </c>
      <c r="L28" s="19">
        <v>216.11843532111021</v>
      </c>
      <c r="M28" s="19">
        <v>3123851.7476550848</v>
      </c>
      <c r="N28" s="19">
        <v>108007567.27154565</v>
      </c>
      <c r="O28" s="19">
        <v>55146921.417816132</v>
      </c>
      <c r="P28" s="19">
        <v>-612838</v>
      </c>
      <c r="Q28" s="19">
        <v>-131664522.13620564</v>
      </c>
      <c r="R28" s="19">
        <v>-19869804.000000004</v>
      </c>
      <c r="S28" s="19">
        <v>0</v>
      </c>
      <c r="T28" s="19">
        <v>-5656136.8177804966</v>
      </c>
      <c r="U28" s="19">
        <v>-303916.71462384111</v>
      </c>
    </row>
    <row r="29" spans="1:21" x14ac:dyDescent="0.25">
      <c r="A29" s="6">
        <v>20150310</v>
      </c>
      <c r="B29">
        <v>2044.16</v>
      </c>
      <c r="C29" s="19">
        <v>-171322873.21749997</v>
      </c>
      <c r="D29" s="19">
        <v>223408.96793174744</v>
      </c>
      <c r="E29" s="19">
        <v>154233113.75701189</v>
      </c>
      <c r="F29" s="19">
        <v>-1991142.0146427155</v>
      </c>
      <c r="G29" s="19">
        <v>-58515578.805599928</v>
      </c>
      <c r="H29" s="19">
        <v>-1121890.9578019583</v>
      </c>
      <c r="I29" s="19">
        <v>-1947928.5104369149</v>
      </c>
      <c r="J29" s="19">
        <v>-203556.03875176003</v>
      </c>
      <c r="K29" s="19">
        <v>-146299403.96451944</v>
      </c>
      <c r="L29" s="19">
        <v>258.71541765823798</v>
      </c>
      <c r="M29" s="19">
        <v>3320768.8366449643</v>
      </c>
      <c r="N29" s="19">
        <v>110637078.10871477</v>
      </c>
      <c r="O29" s="19">
        <v>57033080.197778836</v>
      </c>
      <c r="P29" s="19">
        <v>6215005.9589655008</v>
      </c>
      <c r="Q29" s="19">
        <v>-133964808.89942175</v>
      </c>
      <c r="R29" s="19">
        <v>-17696044.657513615</v>
      </c>
      <c r="S29" s="19">
        <v>590992.23441635061</v>
      </c>
      <c r="T29" s="19">
        <v>393617.33837242797</v>
      </c>
      <c r="U29" s="19">
        <v>-135565.97553039831</v>
      </c>
    </row>
    <row r="30" spans="1:21" x14ac:dyDescent="0.25">
      <c r="A30" s="6">
        <v>20150331</v>
      </c>
      <c r="B30">
        <v>2067.89</v>
      </c>
      <c r="C30" s="19">
        <v>-190142609.33180004</v>
      </c>
      <c r="D30" s="19">
        <v>213080.0630569458</v>
      </c>
      <c r="E30" s="19">
        <v>158076650.20158219</v>
      </c>
      <c r="F30" s="19">
        <v>-2171237.7936410904</v>
      </c>
      <c r="G30" s="19">
        <v>-58515578.805599928</v>
      </c>
      <c r="H30" s="19">
        <v>-1659373.9422097553</v>
      </c>
      <c r="I30" s="19">
        <v>-274756.46413512848</v>
      </c>
      <c r="J30" s="19">
        <v>-218017.67133321217</v>
      </c>
      <c r="K30" s="19">
        <v>-149426429.27365398</v>
      </c>
      <c r="L30" s="19">
        <v>229.02584580814204</v>
      </c>
      <c r="M30" s="19">
        <v>3095078.2744216109</v>
      </c>
      <c r="N30" s="19">
        <v>100984269.92201985</v>
      </c>
      <c r="O30" s="19">
        <v>65696885.322674774</v>
      </c>
      <c r="P30" s="19">
        <v>10638092.858251199</v>
      </c>
      <c r="Q30" s="19">
        <v>-118086008.70405605</v>
      </c>
      <c r="R30" s="19">
        <v>-29273116.294394501</v>
      </c>
      <c r="S30" s="19">
        <v>818380.28583779652</v>
      </c>
      <c r="T30" s="19">
        <v>2439012.264861309</v>
      </c>
      <c r="U30" s="19">
        <v>737623.49384987191</v>
      </c>
    </row>
    <row r="31" spans="1:21" x14ac:dyDescent="0.25">
      <c r="A31" s="6">
        <v>20150409</v>
      </c>
      <c r="B31">
        <v>2091.1799999999998</v>
      </c>
      <c r="C31" s="19">
        <v>-174404482.80409998</v>
      </c>
      <c r="D31" s="19">
        <v>189696.82732200623</v>
      </c>
      <c r="E31" s="19">
        <v>154120462.35479951</v>
      </c>
      <c r="F31" s="19">
        <v>-2241795.3344249725</v>
      </c>
      <c r="G31" s="19">
        <v>-58453980.947199821</v>
      </c>
      <c r="H31" s="19">
        <v>5684175.6667266143</v>
      </c>
      <c r="I31" s="19">
        <v>639718.57760132407</v>
      </c>
      <c r="J31" s="19">
        <v>-206084.08342661968</v>
      </c>
      <c r="K31" s="19">
        <v>-146867033.77886608</v>
      </c>
      <c r="L31" s="19">
        <v>201.31938350787615</v>
      </c>
      <c r="M31" s="19">
        <v>2892552.0566752162</v>
      </c>
      <c r="N31" s="19">
        <v>92327427.562322974</v>
      </c>
      <c r="O31" s="19">
        <v>61745533.815871894</v>
      </c>
      <c r="P31" s="19">
        <v>9585393.6163081601</v>
      </c>
      <c r="Q31" s="19">
        <v>-117383015.60792437</v>
      </c>
      <c r="R31" s="19">
        <v>-26960940.598159876</v>
      </c>
      <c r="S31" s="19">
        <v>763191.44385296491</v>
      </c>
      <c r="T31" s="19">
        <v>-5661217.4717288911</v>
      </c>
      <c r="U31" s="19">
        <v>-404896.94370712433</v>
      </c>
    </row>
    <row r="32" spans="1:21" x14ac:dyDescent="0.25">
      <c r="A32" s="6">
        <v>20150327</v>
      </c>
      <c r="B32">
        <v>2061.02</v>
      </c>
      <c r="C32" s="19">
        <v>-188915440.20150006</v>
      </c>
      <c r="D32" s="19">
        <v>219221.95970916748</v>
      </c>
      <c r="E32" s="19">
        <v>157958322.99365449</v>
      </c>
      <c r="F32" s="19">
        <v>-2093171.6506733894</v>
      </c>
      <c r="G32" s="19">
        <v>-58515578.805599928</v>
      </c>
      <c r="H32" s="19">
        <v>-6370225.0492028538</v>
      </c>
      <c r="I32" s="19">
        <v>133669.30844209183</v>
      </c>
      <c r="J32" s="19">
        <v>-221294.42202299781</v>
      </c>
      <c r="K32" s="19">
        <v>-156739435.01416606</v>
      </c>
      <c r="L32" s="19">
        <v>235.17440114080787</v>
      </c>
      <c r="M32" s="19">
        <v>3125677.7219380164</v>
      </c>
      <c r="N32" s="19">
        <v>100747708.4590032</v>
      </c>
      <c r="O32" s="19">
        <v>63838955.390993305</v>
      </c>
      <c r="P32" s="19">
        <v>10876692.4409554</v>
      </c>
      <c r="Q32" s="19">
        <v>-117989014.79668353</v>
      </c>
      <c r="R32" s="19">
        <v>-29713738.269102074</v>
      </c>
      <c r="S32" s="19">
        <v>829267.30577532318</v>
      </c>
      <c r="T32" s="19">
        <v>6011754.6953272326</v>
      </c>
      <c r="U32" s="19">
        <v>101854.28113183519</v>
      </c>
    </row>
    <row r="33" spans="1:21" x14ac:dyDescent="0.25">
      <c r="A33" s="6">
        <v>20150417</v>
      </c>
      <c r="B33">
        <v>2081.1799999999998</v>
      </c>
      <c r="C33" s="19">
        <v>-193137951.22899997</v>
      </c>
      <c r="D33" s="19">
        <v>200357.18640708923</v>
      </c>
      <c r="E33" s="19">
        <v>158788683.7341156</v>
      </c>
      <c r="F33" s="19">
        <v>-2271122.6706533432</v>
      </c>
      <c r="G33" s="19">
        <v>-58453980.947199821</v>
      </c>
      <c r="H33" s="19">
        <v>-5334684.4182707286</v>
      </c>
      <c r="I33" s="19">
        <v>-632576.56048289535</v>
      </c>
      <c r="J33" s="19">
        <v>-205135.15148797823</v>
      </c>
      <c r="K33" s="19">
        <v>-153958895.91126707</v>
      </c>
      <c r="L33" s="19">
        <v>324.71608607171299</v>
      </c>
      <c r="M33" s="19">
        <v>3384110.9168489622</v>
      </c>
      <c r="N33" s="19">
        <v>98472769.788526952</v>
      </c>
      <c r="O33" s="19">
        <v>71172292.413977906</v>
      </c>
      <c r="P33" s="19">
        <v>12343833.0152412</v>
      </c>
      <c r="Q33" s="19">
        <v>-115161570.92932066</v>
      </c>
      <c r="R33" s="19">
        <v>-34043848.090812258</v>
      </c>
      <c r="S33" s="19">
        <v>868729.67801308923</v>
      </c>
      <c r="T33" s="19">
        <v>5155166.4503322188</v>
      </c>
      <c r="U33" s="19">
        <v>-34540.383580080372</v>
      </c>
    </row>
    <row r="34" spans="1:21" x14ac:dyDescent="0.25">
      <c r="A34" s="6">
        <v>20150406</v>
      </c>
      <c r="B34">
        <v>2080.62</v>
      </c>
      <c r="C34" s="19">
        <v>-185004839.43020004</v>
      </c>
      <c r="D34" s="19">
        <v>210603.0309715271</v>
      </c>
      <c r="E34" s="19">
        <v>156855041.54917192</v>
      </c>
      <c r="F34" s="19">
        <v>-2165973.0967185497</v>
      </c>
      <c r="G34" s="19">
        <v>-58453980.947199821</v>
      </c>
      <c r="H34" s="19">
        <v>-1330608.2915733776</v>
      </c>
      <c r="I34" s="19">
        <v>529644.22826062667</v>
      </c>
      <c r="J34" s="19">
        <v>-209215.1910890454</v>
      </c>
      <c r="K34" s="19">
        <v>-148540998.56727779</v>
      </c>
      <c r="L34" s="19">
        <v>214.08903308950482</v>
      </c>
      <c r="M34" s="19">
        <v>2996489.4002455669</v>
      </c>
      <c r="N34" s="19">
        <v>94335635.18298465</v>
      </c>
      <c r="O34" s="19">
        <v>66083263.155260183</v>
      </c>
      <c r="P34" s="19">
        <v>10060139.386114299</v>
      </c>
      <c r="Q34" s="19">
        <v>-117904513.12752831</v>
      </c>
      <c r="R34" s="19">
        <v>-28025395.334694985</v>
      </c>
      <c r="S34" s="19">
        <v>787538.5963300037</v>
      </c>
      <c r="T34" s="19">
        <v>-95821.389635444619</v>
      </c>
      <c r="U34" s="19">
        <v>-204345.74763274688</v>
      </c>
    </row>
    <row r="35" spans="1:21" x14ac:dyDescent="0.25">
      <c r="A35" s="6">
        <v>20150414</v>
      </c>
      <c r="B35">
        <v>2095.84</v>
      </c>
      <c r="C35" s="19">
        <v>-184902433.65740001</v>
      </c>
      <c r="D35" s="19">
        <v>190129.44470596313</v>
      </c>
      <c r="E35" s="19">
        <v>156881978.68031335</v>
      </c>
      <c r="F35" s="19">
        <v>-2282092.511204958</v>
      </c>
      <c r="G35" s="19">
        <v>-58453980.947199821</v>
      </c>
      <c r="H35" s="19">
        <v>-10967630.83902769</v>
      </c>
      <c r="I35" s="19">
        <v>-311909.21515305265</v>
      </c>
      <c r="J35" s="19">
        <v>-196619.36898753786</v>
      </c>
      <c r="K35" s="19">
        <v>-152965197.07143575</v>
      </c>
      <c r="L35" s="19">
        <v>242.66190642462431</v>
      </c>
      <c r="M35" s="19">
        <v>3048372.7848845436</v>
      </c>
      <c r="N35" s="19">
        <v>94191994.328601271</v>
      </c>
      <c r="O35" s="19">
        <v>68362139.981111735</v>
      </c>
      <c r="P35" s="19">
        <v>11290632.926531</v>
      </c>
      <c r="Q35" s="19">
        <v>-115933830.06353909</v>
      </c>
      <c r="R35" s="19">
        <v>-31241711.619088255</v>
      </c>
      <c r="S35" s="19">
        <v>831536.44941630971</v>
      </c>
      <c r="T35" s="19">
        <v>10917745.409902904</v>
      </c>
      <c r="U35" s="19">
        <v>83547.644906499365</v>
      </c>
    </row>
    <row r="36" spans="1:21" x14ac:dyDescent="0.25">
      <c r="A36" s="6">
        <v>20150422</v>
      </c>
      <c r="B36">
        <v>2107.96</v>
      </c>
      <c r="C36" s="19">
        <v>-169982560.78969997</v>
      </c>
      <c r="D36" s="19">
        <v>184153.04123306274</v>
      </c>
      <c r="E36" s="19">
        <v>152488194.21347928</v>
      </c>
      <c r="F36" s="19">
        <v>-2190028.7272082567</v>
      </c>
      <c r="G36" s="19">
        <v>-58453980.947199821</v>
      </c>
      <c r="H36" s="19">
        <v>16514584.464638561</v>
      </c>
      <c r="I36" s="19">
        <v>749494.49838161364</v>
      </c>
      <c r="J36" s="19">
        <v>-199986.92133059891</v>
      </c>
      <c r="K36" s="19">
        <v>-141450540.80207619</v>
      </c>
      <c r="L36" s="19">
        <v>341.8318415567694</v>
      </c>
      <c r="M36" s="19">
        <v>3390575.121168863</v>
      </c>
      <c r="N36" s="19">
        <v>95899274.429171816</v>
      </c>
      <c r="O36" s="19">
        <v>61648152.992937133</v>
      </c>
      <c r="P36" s="19">
        <v>8903252.9697733205</v>
      </c>
      <c r="Q36" s="19">
        <v>-116202453.58901539</v>
      </c>
      <c r="R36" s="19">
        <v>-25878976.00935543</v>
      </c>
      <c r="S36" s="19">
        <v>723026.00884078513</v>
      </c>
      <c r="T36" s="19">
        <v>-15340912.013113817</v>
      </c>
      <c r="U36" s="19">
        <v>135829.06437373374</v>
      </c>
    </row>
    <row r="37" spans="1:21" x14ac:dyDescent="0.25">
      <c r="A37" s="6">
        <v>20150505</v>
      </c>
      <c r="B37">
        <v>2089.46</v>
      </c>
      <c r="C37" s="19">
        <v>-138148575.25730002</v>
      </c>
      <c r="D37" s="19">
        <v>200398.60725402832</v>
      </c>
      <c r="E37" s="19">
        <v>143944872.09130049</v>
      </c>
      <c r="F37" s="19">
        <v>-1845070.1242648363</v>
      </c>
      <c r="G37" s="19">
        <v>-55377352.512399912</v>
      </c>
      <c r="H37" s="19">
        <v>24290869.588166628</v>
      </c>
      <c r="I37" s="19">
        <v>-123803.84776749311</v>
      </c>
      <c r="J37" s="19">
        <v>-199640.63602270832</v>
      </c>
      <c r="K37" s="19">
        <v>-132256627.23027445</v>
      </c>
      <c r="L37" s="19">
        <v>356.94718046374805</v>
      </c>
      <c r="M37" s="19">
        <v>3356678.432211468</v>
      </c>
      <c r="N37" s="19">
        <v>118619326.83563237</v>
      </c>
      <c r="O37" s="19">
        <v>42463216.968691073</v>
      </c>
      <c r="P37" s="19">
        <v>4630597.1313436301</v>
      </c>
      <c r="Q37" s="19">
        <v>-124915334.16176769</v>
      </c>
      <c r="R37" s="19">
        <v>-14389266.594580144</v>
      </c>
      <c r="S37" s="19">
        <v>471246.46806179587</v>
      </c>
      <c r="T37" s="19">
        <v>-21525497.531854562</v>
      </c>
      <c r="U37" s="19">
        <v>-488193.91433365596</v>
      </c>
    </row>
    <row r="38" spans="1:21" x14ac:dyDescent="0.25">
      <c r="A38" s="6">
        <v>20150427</v>
      </c>
      <c r="B38">
        <v>2108.92</v>
      </c>
      <c r="C38" s="19">
        <v>-177126534.62880003</v>
      </c>
      <c r="D38" s="19">
        <v>194877.8586730957</v>
      </c>
      <c r="E38" s="19">
        <v>154351579.0580107</v>
      </c>
      <c r="F38" s="19">
        <v>-2229544.854400754</v>
      </c>
      <c r="G38" s="19">
        <v>-58453980.947199821</v>
      </c>
      <c r="H38" s="19">
        <v>-7612319.7568018166</v>
      </c>
      <c r="I38" s="19">
        <v>-872431.93134253612</v>
      </c>
      <c r="J38" s="19">
        <v>-183402.23119242891</v>
      </c>
      <c r="K38" s="19">
        <v>-147496157.760732</v>
      </c>
      <c r="L38" s="19">
        <v>337.92177074680109</v>
      </c>
      <c r="M38" s="19">
        <v>3360115.919410727</v>
      </c>
      <c r="N38" s="19">
        <v>91388028.369132295</v>
      </c>
      <c r="O38" s="19">
        <v>68002204.634103626</v>
      </c>
      <c r="P38" s="19">
        <v>9402046.1008181199</v>
      </c>
      <c r="Q38" s="19">
        <v>-117081699.32375614</v>
      </c>
      <c r="R38" s="19">
        <v>-27522718.494331028</v>
      </c>
      <c r="S38" s="19">
        <v>743944.19088606653</v>
      </c>
      <c r="T38" s="19">
        <v>7619203.4199069319</v>
      </c>
      <c r="U38" s="19">
        <v>915089.11645883403</v>
      </c>
    </row>
    <row r="39" spans="1:21" x14ac:dyDescent="0.25"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</row>
    <row r="40" spans="1:21" x14ac:dyDescent="0.25"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</row>
    <row r="41" spans="1:21" x14ac:dyDescent="0.25"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</row>
    <row r="42" spans="1:21" x14ac:dyDescent="0.25"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</row>
    <row r="43" spans="1:21" x14ac:dyDescent="0.25"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</row>
    <row r="44" spans="1:21" x14ac:dyDescent="0.25"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</row>
    <row r="45" spans="1:21" x14ac:dyDescent="0.25"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</row>
    <row r="46" spans="1:21" x14ac:dyDescent="0.25"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</row>
    <row r="47" spans="1:21" x14ac:dyDescent="0.25"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</row>
    <row r="48" spans="1:21" x14ac:dyDescent="0.25"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</row>
    <row r="49" spans="3:21" x14ac:dyDescent="0.25"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</row>
    <row r="50" spans="3:21" x14ac:dyDescent="0.25"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</row>
    <row r="51" spans="3:21" x14ac:dyDescent="0.25"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</row>
    <row r="52" spans="3:21" x14ac:dyDescent="0.25"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</row>
    <row r="53" spans="3:21" x14ac:dyDescent="0.25"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</row>
    <row r="54" spans="3:21" x14ac:dyDescent="0.25"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</row>
    <row r="55" spans="3:21" x14ac:dyDescent="0.25"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</row>
    <row r="56" spans="3:21" x14ac:dyDescent="0.25"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</row>
    <row r="57" spans="3:21" x14ac:dyDescent="0.25"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</row>
    <row r="58" spans="3:21" x14ac:dyDescent="0.25"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</row>
    <row r="59" spans="3:21" x14ac:dyDescent="0.25"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</row>
    <row r="60" spans="3:21" x14ac:dyDescent="0.25"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</row>
    <row r="61" spans="3:21" x14ac:dyDescent="0.25"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</row>
    <row r="62" spans="3:21" x14ac:dyDescent="0.25"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</row>
    <row r="63" spans="3:21" x14ac:dyDescent="0.25"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</row>
    <row r="64" spans="3:21" x14ac:dyDescent="0.25"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</row>
    <row r="65" spans="3:21" x14ac:dyDescent="0.25"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</row>
    <row r="66" spans="3:21" x14ac:dyDescent="0.25"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</row>
    <row r="67" spans="3:21" x14ac:dyDescent="0.25"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</row>
    <row r="68" spans="3:21" x14ac:dyDescent="0.25"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</row>
    <row r="69" spans="3:21" x14ac:dyDescent="0.25"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</row>
    <row r="70" spans="3:21" x14ac:dyDescent="0.25"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</row>
    <row r="71" spans="3:21" x14ac:dyDescent="0.25"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</row>
    <row r="72" spans="3:21" x14ac:dyDescent="0.25"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</row>
    <row r="73" spans="3:21" x14ac:dyDescent="0.25"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</row>
    <row r="74" spans="3:21" x14ac:dyDescent="0.25"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</row>
    <row r="75" spans="3:21" x14ac:dyDescent="0.25"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</row>
    <row r="76" spans="3:21" x14ac:dyDescent="0.25"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</row>
    <row r="77" spans="3:21" x14ac:dyDescent="0.25"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</row>
    <row r="78" spans="3:21" x14ac:dyDescent="0.25"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</row>
    <row r="79" spans="3:21" x14ac:dyDescent="0.25"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</row>
    <row r="80" spans="3:21" x14ac:dyDescent="0.25"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</row>
    <row r="81" spans="3:21" x14ac:dyDescent="0.25"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</row>
    <row r="82" spans="3:21" x14ac:dyDescent="0.25"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</row>
    <row r="83" spans="3:21" x14ac:dyDescent="0.25"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19"/>
    </row>
    <row r="84" spans="3:21" x14ac:dyDescent="0.25"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</row>
    <row r="85" spans="3:21" x14ac:dyDescent="0.25"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9"/>
    </row>
    <row r="86" spans="3:21" x14ac:dyDescent="0.25"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</row>
    <row r="87" spans="3:21" x14ac:dyDescent="0.25"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/>
    </row>
    <row r="88" spans="3:21" x14ac:dyDescent="0.25"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</row>
    <row r="89" spans="3:21" x14ac:dyDescent="0.25"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19"/>
    </row>
    <row r="90" spans="3:21" x14ac:dyDescent="0.25"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/>
    </row>
    <row r="91" spans="3:21" x14ac:dyDescent="0.25"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19"/>
    </row>
    <row r="92" spans="3:21" x14ac:dyDescent="0.25"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/>
    </row>
    <row r="93" spans="3:21" x14ac:dyDescent="0.25"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</row>
    <row r="94" spans="3:21" x14ac:dyDescent="0.25"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</row>
    <row r="95" spans="3:21" x14ac:dyDescent="0.25"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19"/>
    </row>
    <row r="96" spans="3:21" x14ac:dyDescent="0.25"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</row>
    <row r="97" spans="3:21" x14ac:dyDescent="0.25"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/>
    </row>
    <row r="98" spans="3:21" x14ac:dyDescent="0.25"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</row>
    <row r="99" spans="3:21" x14ac:dyDescent="0.25"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19"/>
    </row>
    <row r="100" spans="3:21" x14ac:dyDescent="0.25"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</row>
    <row r="101" spans="3:21" x14ac:dyDescent="0.25"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</row>
    <row r="102" spans="3:21" x14ac:dyDescent="0.25"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</row>
    <row r="103" spans="3:21" x14ac:dyDescent="0.25"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</row>
    <row r="104" spans="3:21" x14ac:dyDescent="0.25"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</row>
    <row r="105" spans="3:21" x14ac:dyDescent="0.25"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</row>
    <row r="106" spans="3:21" x14ac:dyDescent="0.25"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</row>
    <row r="107" spans="3:21" x14ac:dyDescent="0.25"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</row>
    <row r="108" spans="3:21" x14ac:dyDescent="0.25"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</row>
    <row r="109" spans="3:21" x14ac:dyDescent="0.25"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</row>
    <row r="110" spans="3:21" x14ac:dyDescent="0.25"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</row>
    <row r="111" spans="3:21" x14ac:dyDescent="0.25"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</row>
    <row r="112" spans="3:21" x14ac:dyDescent="0.25"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</row>
    <row r="113" spans="3:21" x14ac:dyDescent="0.25"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</row>
    <row r="114" spans="3:21" x14ac:dyDescent="0.25"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</row>
    <row r="115" spans="3:21" x14ac:dyDescent="0.25"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</row>
    <row r="116" spans="3:21" x14ac:dyDescent="0.25"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</row>
    <row r="117" spans="3:21" x14ac:dyDescent="0.25"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</row>
    <row r="118" spans="3:21" x14ac:dyDescent="0.25"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</row>
    <row r="119" spans="3:21" x14ac:dyDescent="0.25"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19"/>
    </row>
    <row r="120" spans="3:21" x14ac:dyDescent="0.25"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</row>
    <row r="121" spans="3:21" x14ac:dyDescent="0.25"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19"/>
    </row>
    <row r="122" spans="3:21" x14ac:dyDescent="0.25"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</row>
    <row r="123" spans="3:21" x14ac:dyDescent="0.25"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</row>
    <row r="124" spans="3:21" x14ac:dyDescent="0.25"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/>
    </row>
    <row r="125" spans="3:21" x14ac:dyDescent="0.25"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19"/>
    </row>
    <row r="126" spans="3:21" x14ac:dyDescent="0.25"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</row>
    <row r="127" spans="3:21" x14ac:dyDescent="0.25"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19"/>
    </row>
    <row r="128" spans="3:21" x14ac:dyDescent="0.25"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9"/>
    </row>
    <row r="129" spans="3:21" x14ac:dyDescent="0.25"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  <c r="Q129" s="19"/>
      <c r="R129" s="19"/>
      <c r="S129" s="19"/>
      <c r="T129" s="19"/>
      <c r="U129" s="19"/>
    </row>
    <row r="130" spans="3:21" x14ac:dyDescent="0.25"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19"/>
    </row>
    <row r="131" spans="3:21" x14ac:dyDescent="0.25"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  <c r="Q131" s="19"/>
      <c r="R131" s="19"/>
      <c r="S131" s="19"/>
      <c r="T131" s="19"/>
      <c r="U131" s="19"/>
    </row>
    <row r="132" spans="3:21" x14ac:dyDescent="0.25"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19"/>
    </row>
    <row r="133" spans="3:21" x14ac:dyDescent="0.25"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19"/>
    </row>
    <row r="134" spans="3:21" x14ac:dyDescent="0.25"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  <c r="Q134" s="19"/>
      <c r="R134" s="19"/>
      <c r="S134" s="19"/>
      <c r="T134" s="19"/>
      <c r="U134" s="19"/>
    </row>
    <row r="135" spans="3:21" x14ac:dyDescent="0.25"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/>
      <c r="Q135" s="19"/>
      <c r="R135" s="19"/>
      <c r="S135" s="19"/>
      <c r="T135" s="19"/>
      <c r="U135" s="19"/>
    </row>
    <row r="136" spans="3:21" x14ac:dyDescent="0.25"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19"/>
    </row>
    <row r="137" spans="3:21" x14ac:dyDescent="0.25"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  <c r="Q137" s="19"/>
      <c r="R137" s="19"/>
      <c r="S137" s="19"/>
      <c r="T137" s="19"/>
      <c r="U137" s="19"/>
    </row>
    <row r="138" spans="3:21" x14ac:dyDescent="0.25"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19"/>
    </row>
    <row r="139" spans="3:21" x14ac:dyDescent="0.25"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  <c r="Q139" s="19"/>
      <c r="R139" s="19"/>
      <c r="S139" s="19"/>
      <c r="T139" s="19"/>
      <c r="U139" s="19"/>
    </row>
    <row r="140" spans="3:21" x14ac:dyDescent="0.25"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19"/>
    </row>
    <row r="141" spans="3:21" x14ac:dyDescent="0.25"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19"/>
      <c r="T141" s="19"/>
      <c r="U141" s="19"/>
    </row>
    <row r="142" spans="3:21" x14ac:dyDescent="0.25"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19"/>
    </row>
    <row r="143" spans="3:21" x14ac:dyDescent="0.25"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19"/>
    </row>
    <row r="144" spans="3:21" x14ac:dyDescent="0.25"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19"/>
    </row>
    <row r="145" spans="3:21" x14ac:dyDescent="0.25"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19"/>
    </row>
    <row r="146" spans="3:21" x14ac:dyDescent="0.25"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19"/>
    </row>
    <row r="147" spans="3:21" x14ac:dyDescent="0.25"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19"/>
    </row>
    <row r="148" spans="3:21" x14ac:dyDescent="0.25"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19"/>
    </row>
    <row r="149" spans="3:21" x14ac:dyDescent="0.25"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19"/>
    </row>
    <row r="150" spans="3:21" x14ac:dyDescent="0.25"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19"/>
    </row>
    <row r="151" spans="3:21" x14ac:dyDescent="0.25"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19"/>
    </row>
    <row r="152" spans="3:21" x14ac:dyDescent="0.25"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19"/>
    </row>
    <row r="153" spans="3:21" x14ac:dyDescent="0.25"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  <c r="Q153" s="19"/>
      <c r="R153" s="19"/>
      <c r="S153" s="19"/>
      <c r="T153" s="19"/>
      <c r="U153" s="19"/>
    </row>
    <row r="154" spans="3:21" x14ac:dyDescent="0.25"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19"/>
    </row>
    <row r="155" spans="3:21" x14ac:dyDescent="0.25"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  <c r="Q155" s="19"/>
      <c r="R155" s="19"/>
      <c r="S155" s="19"/>
      <c r="T155" s="19"/>
      <c r="U155" s="19"/>
    </row>
    <row r="156" spans="3:21" x14ac:dyDescent="0.25"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19"/>
    </row>
    <row r="157" spans="3:21" x14ac:dyDescent="0.25"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  <c r="Q157" s="19"/>
      <c r="R157" s="19"/>
      <c r="S157" s="19"/>
      <c r="T157" s="19"/>
      <c r="U157" s="19"/>
    </row>
    <row r="158" spans="3:21" x14ac:dyDescent="0.25"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  <c r="Q158" s="19"/>
      <c r="R158" s="19"/>
      <c r="S158" s="19"/>
      <c r="T158" s="19"/>
      <c r="U158" s="19"/>
    </row>
    <row r="159" spans="3:21" x14ac:dyDescent="0.25"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19"/>
      <c r="O159" s="19"/>
      <c r="P159" s="19"/>
      <c r="Q159" s="19"/>
      <c r="R159" s="19"/>
      <c r="S159" s="19"/>
      <c r="T159" s="19"/>
      <c r="U159" s="19"/>
    </row>
    <row r="160" spans="3:21" x14ac:dyDescent="0.25"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19"/>
    </row>
    <row r="161" spans="3:21" x14ac:dyDescent="0.25"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19"/>
    </row>
    <row r="162" spans="3:21" x14ac:dyDescent="0.25"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19"/>
    </row>
    <row r="163" spans="3:21" x14ac:dyDescent="0.25"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19"/>
      <c r="Q163" s="19"/>
      <c r="R163" s="19"/>
      <c r="S163" s="19"/>
      <c r="T163" s="19"/>
      <c r="U163" s="19"/>
    </row>
    <row r="164" spans="3:21" x14ac:dyDescent="0.25"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  <c r="Q164" s="19"/>
      <c r="R164" s="19"/>
      <c r="S164" s="19"/>
      <c r="T164" s="19"/>
      <c r="U164" s="19"/>
    </row>
    <row r="165" spans="3:21" x14ac:dyDescent="0.25"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  <c r="Q165" s="19"/>
      <c r="R165" s="19"/>
      <c r="S165" s="19"/>
      <c r="T165" s="19"/>
      <c r="U165" s="19"/>
    </row>
    <row r="166" spans="3:21" x14ac:dyDescent="0.25"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19"/>
    </row>
    <row r="167" spans="3:21" x14ac:dyDescent="0.25"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19"/>
      <c r="O167" s="19"/>
      <c r="P167" s="19"/>
      <c r="Q167" s="19"/>
      <c r="R167" s="19"/>
      <c r="S167" s="19"/>
      <c r="T167" s="19"/>
      <c r="U167" s="19"/>
    </row>
    <row r="168" spans="3:21" x14ac:dyDescent="0.25"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19"/>
    </row>
    <row r="169" spans="3:21" x14ac:dyDescent="0.25"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19"/>
      <c r="O169" s="19"/>
      <c r="P169" s="19"/>
      <c r="Q169" s="19"/>
      <c r="R169" s="19"/>
      <c r="S169" s="19"/>
      <c r="T169" s="19"/>
      <c r="U169" s="19"/>
    </row>
    <row r="170" spans="3:21" x14ac:dyDescent="0.25"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19"/>
    </row>
    <row r="171" spans="3:21" x14ac:dyDescent="0.25"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19"/>
      <c r="O171" s="19"/>
      <c r="P171" s="19"/>
      <c r="Q171" s="19"/>
      <c r="R171" s="19"/>
      <c r="S171" s="19"/>
      <c r="T171" s="19"/>
      <c r="U171" s="19"/>
    </row>
    <row r="172" spans="3:21" x14ac:dyDescent="0.25"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19"/>
    </row>
    <row r="173" spans="3:21" x14ac:dyDescent="0.25"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19"/>
      <c r="O173" s="19"/>
      <c r="P173" s="19"/>
      <c r="Q173" s="19"/>
      <c r="R173" s="19"/>
      <c r="S173" s="19"/>
      <c r="T173" s="19"/>
      <c r="U173" s="19"/>
    </row>
    <row r="174" spans="3:21" x14ac:dyDescent="0.25"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  <c r="Q174" s="19"/>
      <c r="R174" s="19"/>
      <c r="S174" s="19"/>
      <c r="T174" s="19"/>
      <c r="U174" s="19"/>
    </row>
    <row r="175" spans="3:21" x14ac:dyDescent="0.25"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/>
      <c r="Q175" s="19"/>
      <c r="R175" s="19"/>
      <c r="S175" s="19"/>
      <c r="T175" s="19"/>
      <c r="U175" s="19"/>
    </row>
    <row r="176" spans="3:21" x14ac:dyDescent="0.25"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  <c r="Q176" s="19"/>
      <c r="R176" s="19"/>
      <c r="S176" s="19"/>
      <c r="T176" s="19"/>
      <c r="U176" s="19"/>
    </row>
    <row r="177" spans="3:21" x14ac:dyDescent="0.25"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  <c r="N177" s="19"/>
      <c r="O177" s="19"/>
      <c r="P177" s="19"/>
      <c r="Q177" s="19"/>
      <c r="R177" s="19"/>
      <c r="S177" s="19"/>
      <c r="T177" s="19"/>
      <c r="U177" s="19"/>
    </row>
    <row r="178" spans="3:21" x14ac:dyDescent="0.25"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  <c r="Q178" s="19"/>
      <c r="R178" s="19"/>
      <c r="S178" s="19"/>
      <c r="T178" s="19"/>
      <c r="U178" s="19"/>
    </row>
    <row r="179" spans="3:21" x14ac:dyDescent="0.25"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  <c r="N179" s="19"/>
      <c r="O179" s="19"/>
      <c r="P179" s="19"/>
      <c r="Q179" s="19"/>
      <c r="R179" s="19"/>
      <c r="S179" s="19"/>
      <c r="T179" s="19"/>
      <c r="U179" s="19"/>
    </row>
    <row r="180" spans="3:21" x14ac:dyDescent="0.25"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  <c r="Q180" s="19"/>
      <c r="R180" s="19"/>
      <c r="S180" s="19"/>
      <c r="T180" s="19"/>
      <c r="U180" s="19"/>
    </row>
    <row r="181" spans="3:21" x14ac:dyDescent="0.25"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19"/>
      <c r="Q181" s="19"/>
      <c r="R181" s="19"/>
      <c r="S181" s="19"/>
      <c r="T181" s="19"/>
      <c r="U181" s="19"/>
    </row>
    <row r="182" spans="3:21" x14ac:dyDescent="0.25"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  <c r="Q182" s="19"/>
      <c r="R182" s="19"/>
      <c r="S182" s="19"/>
      <c r="T182" s="19"/>
      <c r="U182" s="19"/>
    </row>
    <row r="183" spans="3:21" x14ac:dyDescent="0.25"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  <c r="N183" s="19"/>
      <c r="O183" s="19"/>
      <c r="P183" s="19"/>
      <c r="Q183" s="19"/>
      <c r="R183" s="19"/>
      <c r="S183" s="19"/>
      <c r="T183" s="19"/>
      <c r="U183" s="19"/>
    </row>
    <row r="184" spans="3:21" x14ac:dyDescent="0.25"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  <c r="Q184" s="19"/>
      <c r="R184" s="19"/>
      <c r="S184" s="19"/>
      <c r="T184" s="19"/>
      <c r="U184" s="19"/>
    </row>
    <row r="185" spans="3:21" x14ac:dyDescent="0.25"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19"/>
      <c r="T185" s="19"/>
      <c r="U185" s="19"/>
    </row>
    <row r="186" spans="3:21" x14ac:dyDescent="0.25"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19"/>
      <c r="T186" s="19"/>
      <c r="U186" s="19"/>
    </row>
    <row r="187" spans="3:21" x14ac:dyDescent="0.25"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19"/>
      <c r="T187" s="19"/>
      <c r="U187" s="19"/>
    </row>
    <row r="188" spans="3:21" x14ac:dyDescent="0.25"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19"/>
      <c r="T188" s="19"/>
      <c r="U188" s="19"/>
    </row>
    <row r="189" spans="3:21" x14ac:dyDescent="0.25"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19"/>
      <c r="T189" s="19"/>
      <c r="U189" s="19"/>
    </row>
    <row r="190" spans="3:21" x14ac:dyDescent="0.25"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19"/>
      <c r="T190" s="19"/>
      <c r="U190" s="19"/>
    </row>
    <row r="191" spans="3:21" x14ac:dyDescent="0.25"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19"/>
      <c r="T191" s="19"/>
      <c r="U191" s="19"/>
    </row>
    <row r="192" spans="3:21" x14ac:dyDescent="0.25"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19"/>
      <c r="T192" s="19"/>
      <c r="U192" s="19"/>
    </row>
    <row r="193" spans="3:21" x14ac:dyDescent="0.25"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19"/>
      <c r="T193" s="19"/>
      <c r="U193" s="19"/>
    </row>
    <row r="194" spans="3:21" x14ac:dyDescent="0.25"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19"/>
      <c r="T194" s="19"/>
      <c r="U194" s="19"/>
    </row>
    <row r="195" spans="3:21" x14ac:dyDescent="0.25"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19"/>
      <c r="T195" s="19"/>
      <c r="U195" s="19"/>
    </row>
    <row r="196" spans="3:21" x14ac:dyDescent="0.25"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19"/>
      <c r="T196" s="19"/>
      <c r="U196" s="19"/>
    </row>
    <row r="197" spans="3:21" x14ac:dyDescent="0.25"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19"/>
      <c r="T197" s="19"/>
      <c r="U197" s="19"/>
    </row>
    <row r="198" spans="3:21" x14ac:dyDescent="0.25"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19"/>
      <c r="T198" s="19"/>
      <c r="U198" s="19"/>
    </row>
    <row r="199" spans="3:21" x14ac:dyDescent="0.25"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19"/>
      <c r="T199" s="19"/>
      <c r="U199" s="19"/>
    </row>
    <row r="200" spans="3:21" x14ac:dyDescent="0.25"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19"/>
      <c r="T200" s="19"/>
      <c r="U200" s="19"/>
    </row>
    <row r="201" spans="3:21" x14ac:dyDescent="0.25"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19"/>
      <c r="T201" s="19"/>
      <c r="U201" s="19"/>
    </row>
  </sheetData>
  <sortState ref="A6:A17">
    <sortCondition ref="A5"/>
  </sortState>
  <mergeCells count="4">
    <mergeCell ref="C4:I4"/>
    <mergeCell ref="J4:N4"/>
    <mergeCell ref="O4:S4"/>
    <mergeCell ref="T4:U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ImportGreekVIX_Click">
                <anchor moveWithCells="1" sizeWithCells="1">
                  <from>
                    <xdr:col>3</xdr:col>
                    <xdr:colOff>180975</xdr:colOff>
                    <xdr:row>0</xdr:row>
                    <xdr:rowOff>47625</xdr:rowOff>
                  </from>
                  <to>
                    <xdr:col>4</xdr:col>
                    <xdr:colOff>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RefreshVIX_Click">
                <anchor moveWithCells="1" sizeWithCells="1">
                  <from>
                    <xdr:col>2</xdr:col>
                    <xdr:colOff>247650</xdr:colOff>
                    <xdr:row>0</xdr:row>
                    <xdr:rowOff>47625</xdr:rowOff>
                  </from>
                  <to>
                    <xdr:col>3</xdr:col>
                    <xdr:colOff>66675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U202"/>
  <sheetViews>
    <sheetView workbookViewId="0">
      <selection sqref="A1:A1048576"/>
    </sheetView>
  </sheetViews>
  <sheetFormatPr defaultRowHeight="15" x14ac:dyDescent="0.25"/>
  <cols>
    <col min="1" max="1" width="21.28515625" style="6" customWidth="1"/>
    <col min="2" max="13" width="21.28515625" customWidth="1"/>
    <col min="15" max="15" width="15.140625" bestFit="1" customWidth="1"/>
    <col min="16" max="16" width="16.140625" bestFit="1" customWidth="1"/>
    <col min="17" max="21" width="16.5703125" customWidth="1"/>
  </cols>
  <sheetData>
    <row r="1" spans="1:21" x14ac:dyDescent="0.25">
      <c r="A1" s="6" t="s">
        <v>43</v>
      </c>
      <c r="B1" s="10">
        <v>20141231</v>
      </c>
    </row>
    <row r="2" spans="1:21" x14ac:dyDescent="0.25">
      <c r="A2" s="6" t="s">
        <v>44</v>
      </c>
      <c r="B2" s="10">
        <v>20150505</v>
      </c>
    </row>
    <row r="4" spans="1:21" x14ac:dyDescent="0.25">
      <c r="B4" s="10"/>
      <c r="C4" s="41" t="s">
        <v>45</v>
      </c>
      <c r="D4" s="42"/>
      <c r="E4" s="42"/>
      <c r="F4" s="42"/>
      <c r="G4" s="42"/>
      <c r="H4" s="42"/>
      <c r="I4" s="43"/>
      <c r="J4" s="41" t="s">
        <v>77</v>
      </c>
      <c r="K4" s="42"/>
      <c r="L4" s="42"/>
      <c r="M4" s="42"/>
      <c r="N4" s="43"/>
      <c r="O4" s="41" t="s">
        <v>46</v>
      </c>
      <c r="P4" s="42"/>
      <c r="Q4" s="42"/>
      <c r="R4" s="42"/>
      <c r="S4" s="43"/>
      <c r="T4" s="41" t="s">
        <v>93</v>
      </c>
      <c r="U4" s="43"/>
    </row>
    <row r="5" spans="1:21" x14ac:dyDescent="0.25">
      <c r="A5" s="6" t="s">
        <v>47</v>
      </c>
      <c r="B5" s="10" t="s">
        <v>37</v>
      </c>
      <c r="C5" s="10" t="s">
        <v>38</v>
      </c>
      <c r="D5" s="10" t="s">
        <v>35</v>
      </c>
      <c r="E5" s="10" t="s">
        <v>8</v>
      </c>
      <c r="F5" s="10" t="s">
        <v>36</v>
      </c>
      <c r="G5" s="10" t="s">
        <v>9</v>
      </c>
      <c r="H5" s="10" t="s">
        <v>49</v>
      </c>
      <c r="I5" s="10" t="s">
        <v>48</v>
      </c>
      <c r="J5" s="10" t="s">
        <v>73</v>
      </c>
      <c r="K5" s="10" t="s">
        <v>74</v>
      </c>
      <c r="L5" s="10" t="s">
        <v>75</v>
      </c>
      <c r="M5" s="10" t="s">
        <v>76</v>
      </c>
      <c r="N5" s="10" t="s">
        <v>29</v>
      </c>
      <c r="O5" s="10" t="s">
        <v>39</v>
      </c>
      <c r="P5" s="10" t="s">
        <v>40</v>
      </c>
      <c r="Q5" s="10" t="s">
        <v>10</v>
      </c>
      <c r="R5" s="10" t="s">
        <v>28</v>
      </c>
      <c r="S5" s="10" t="s">
        <v>30</v>
      </c>
      <c r="T5" s="10" t="s">
        <v>94</v>
      </c>
      <c r="U5" s="10" t="s">
        <v>95</v>
      </c>
    </row>
    <row r="6" spans="1:21" x14ac:dyDescent="0.25">
      <c r="A6" s="6">
        <v>20141231</v>
      </c>
      <c r="B6" s="10">
        <v>2058.9</v>
      </c>
      <c r="C6" s="11">
        <v>-3930738.0027000001</v>
      </c>
      <c r="D6" s="11">
        <v>8671.0359593685716</v>
      </c>
      <c r="E6" s="11">
        <v>612351.33594535291</v>
      </c>
      <c r="F6" s="11">
        <v>-201220.5921754688</v>
      </c>
      <c r="G6" s="11">
        <v>-67015.033199995756</v>
      </c>
      <c r="H6" s="11">
        <v>-35454.992809480267</v>
      </c>
      <c r="I6" s="11">
        <v>-137901.1970662878</v>
      </c>
      <c r="J6" s="11">
        <v>-8381.4679344387405</v>
      </c>
      <c r="K6" s="11">
        <v>-36464.9577416717</v>
      </c>
      <c r="L6" s="11">
        <v>0.10311023749796489</v>
      </c>
      <c r="M6" s="11">
        <v>605.39889785318996</v>
      </c>
      <c r="N6" s="11">
        <v>9.5945270385227861</v>
      </c>
      <c r="O6" s="11">
        <v>0</v>
      </c>
      <c r="P6" s="11">
        <v>0</v>
      </c>
      <c r="Q6" s="11"/>
      <c r="R6" s="11"/>
      <c r="S6" s="11"/>
      <c r="T6" s="19">
        <v>0.67748032969854033</v>
      </c>
      <c r="U6" s="19">
        <v>-169.20803729905995</v>
      </c>
    </row>
    <row r="7" spans="1:21" x14ac:dyDescent="0.25">
      <c r="A7" s="6">
        <v>20150210</v>
      </c>
      <c r="B7" s="10">
        <v>2068.59</v>
      </c>
      <c r="C7" s="11">
        <v>-3635576.0765</v>
      </c>
      <c r="D7" s="11">
        <v>7951.8742619920522</v>
      </c>
      <c r="E7" s="11">
        <v>544236.45026659966</v>
      </c>
      <c r="F7" s="11">
        <v>-186437.20662032999</v>
      </c>
      <c r="G7" s="11">
        <v>-69091.358400005847</v>
      </c>
      <c r="H7" s="11">
        <v>87300.178722532874</v>
      </c>
      <c r="I7" s="11">
        <v>-39731.075372578714</v>
      </c>
      <c r="J7" s="11">
        <v>-8161.221613626697</v>
      </c>
      <c r="K7" s="11">
        <v>-16956.432458898762</v>
      </c>
      <c r="L7" s="11">
        <v>2.9570012836080527E-2</v>
      </c>
      <c r="M7" s="11">
        <v>135.59688524150221</v>
      </c>
      <c r="N7" s="11">
        <v>1.5559984527956077</v>
      </c>
      <c r="O7" s="19">
        <v>0</v>
      </c>
      <c r="P7" s="19">
        <v>0</v>
      </c>
      <c r="T7">
        <v>-1.6926095707387363</v>
      </c>
      <c r="U7">
        <v>43.89422339417964</v>
      </c>
    </row>
    <row r="8" spans="1:21" x14ac:dyDescent="0.25">
      <c r="A8" s="6">
        <v>20150320</v>
      </c>
      <c r="B8" s="10">
        <v>2108.1</v>
      </c>
      <c r="C8" s="11">
        <v>-3032797.9027000004</v>
      </c>
      <c r="D8" s="11">
        <v>6887.7773828357458</v>
      </c>
      <c r="E8" s="11">
        <v>461743.54945661873</v>
      </c>
      <c r="F8" s="11">
        <v>-157476.8090248201</v>
      </c>
      <c r="G8" s="11">
        <v>-55138.36839999631</v>
      </c>
      <c r="H8" s="11">
        <v>-52310.717776173478</v>
      </c>
      <c r="I8" s="11">
        <v>60159.416300273573</v>
      </c>
      <c r="J8" s="11">
        <v>-7453.3357002982821</v>
      </c>
      <c r="K8" s="11">
        <v>-38732.205199710552</v>
      </c>
      <c r="L8" s="11">
        <v>5.447122041127839E-4</v>
      </c>
      <c r="M8" s="11">
        <v>1.7239273011928606</v>
      </c>
      <c r="N8" s="11">
        <v>1.41650135846259E-2</v>
      </c>
      <c r="O8" s="19">
        <v>0</v>
      </c>
      <c r="P8" s="19">
        <v>0</v>
      </c>
      <c r="T8">
        <v>1.8245900159646698E-2</v>
      </c>
      <c r="U8">
        <v>-0.11337051651347793</v>
      </c>
    </row>
    <row r="9" spans="1:21" x14ac:dyDescent="0.25">
      <c r="A9" s="6">
        <v>20150106</v>
      </c>
      <c r="B9" s="10">
        <v>2002.61</v>
      </c>
      <c r="C9" s="11">
        <v>-4657718.7726999996</v>
      </c>
      <c r="D9" s="11">
        <v>9821.6892458759248</v>
      </c>
      <c r="E9" s="11">
        <v>670491.102072604</v>
      </c>
      <c r="F9" s="11">
        <v>-221038.14163137786</v>
      </c>
      <c r="G9" s="11">
        <v>-67015.033199995756</v>
      </c>
      <c r="H9" s="11">
        <v>-64421.456790326469</v>
      </c>
      <c r="I9" s="11">
        <v>-169630.37567811759</v>
      </c>
      <c r="J9" s="11">
        <v>-8371.3021062529933</v>
      </c>
      <c r="K9" s="11">
        <v>-32737.14529572715</v>
      </c>
      <c r="L9" s="11">
        <v>0.153719685634329</v>
      </c>
      <c r="M9" s="11">
        <v>832.27829131859482</v>
      </c>
      <c r="N9" s="11">
        <v>12.590671679605288</v>
      </c>
      <c r="O9" s="19">
        <v>0</v>
      </c>
      <c r="P9" s="19">
        <v>0</v>
      </c>
      <c r="T9">
        <v>1.1523690892941454</v>
      </c>
      <c r="U9">
        <v>207.80209833237126</v>
      </c>
    </row>
    <row r="10" spans="1:21" x14ac:dyDescent="0.25">
      <c r="A10" s="6">
        <v>20150109</v>
      </c>
      <c r="B10" s="10">
        <v>2044.81</v>
      </c>
      <c r="C10" s="11">
        <v>-4128269.1604000004</v>
      </c>
      <c r="D10" s="11">
        <v>8941.1035764180124</v>
      </c>
      <c r="E10" s="11">
        <v>623676.97827430069</v>
      </c>
      <c r="F10" s="11">
        <v>-204305.43954665773</v>
      </c>
      <c r="G10" s="11">
        <v>-67015.033199995756</v>
      </c>
      <c r="H10" s="11">
        <v>-38626.978205430365</v>
      </c>
      <c r="I10" s="11">
        <v>175579.99500933182</v>
      </c>
      <c r="J10" s="11">
        <v>-9859.4973764692768</v>
      </c>
      <c r="K10" s="11">
        <v>-37749.961082592337</v>
      </c>
      <c r="L10" s="11">
        <v>0.10002956551416617</v>
      </c>
      <c r="M10" s="11">
        <v>553.64275427624307</v>
      </c>
      <c r="N10" s="11">
        <v>8.2012238593312627</v>
      </c>
      <c r="O10" s="19">
        <v>0</v>
      </c>
      <c r="P10" s="19">
        <v>0</v>
      </c>
      <c r="T10">
        <v>4.752782747503189</v>
      </c>
      <c r="U10">
        <v>-19.55730928814004</v>
      </c>
    </row>
    <row r="11" spans="1:21" x14ac:dyDescent="0.25">
      <c r="A11" s="6">
        <v>20150114</v>
      </c>
      <c r="B11" s="10">
        <v>2011.27</v>
      </c>
      <c r="C11" s="11">
        <v>-4671156.4198000003</v>
      </c>
      <c r="D11" s="11">
        <v>9679.2641089875251</v>
      </c>
      <c r="E11" s="11">
        <v>656578.22352191061</v>
      </c>
      <c r="F11" s="11">
        <v>-216391.05220014788</v>
      </c>
      <c r="G11" s="11">
        <v>-67015.033199995756</v>
      </c>
      <c r="H11" s="11">
        <v>-51540.038329567687</v>
      </c>
      <c r="I11" s="11">
        <v>-144421.54739384603</v>
      </c>
      <c r="J11" s="11">
        <v>-8894.7934867317763</v>
      </c>
      <c r="K11" s="11">
        <v>-31054.292663111304</v>
      </c>
      <c r="L11" s="11">
        <v>0.11970060554235933</v>
      </c>
      <c r="M11" s="11">
        <v>624.18653174723545</v>
      </c>
      <c r="N11" s="11">
        <v>8.900731991575169</v>
      </c>
      <c r="O11" s="19">
        <v>0</v>
      </c>
      <c r="P11" s="19">
        <v>0</v>
      </c>
      <c r="T11">
        <v>2.301409174484923</v>
      </c>
      <c r="U11">
        <v>99.929253886398456</v>
      </c>
    </row>
    <row r="12" spans="1:21" x14ac:dyDescent="0.25">
      <c r="A12" s="6">
        <v>20150120</v>
      </c>
      <c r="B12" s="10">
        <v>2022.55</v>
      </c>
      <c r="C12" s="11">
        <v>-4443047.1178000001</v>
      </c>
      <c r="D12" s="11">
        <v>9317.896297333762</v>
      </c>
      <c r="E12" s="11">
        <v>632315.07498534955</v>
      </c>
      <c r="F12" s="11">
        <v>-207145.04402743466</v>
      </c>
      <c r="G12" s="11">
        <v>-67015.033199995756</v>
      </c>
      <c r="H12" s="11">
        <v>5053.8758158741621</v>
      </c>
      <c r="I12" s="11">
        <v>123731.09547537296</v>
      </c>
      <c r="J12" s="11">
        <v>-9641.8039689357192</v>
      </c>
      <c r="K12" s="11">
        <v>-30695.862051632103</v>
      </c>
      <c r="L12" s="11">
        <v>9.5934253000956468E-2</v>
      </c>
      <c r="M12" s="11">
        <v>488.42229413041224</v>
      </c>
      <c r="N12" s="11">
        <v>6.6418868950625711</v>
      </c>
      <c r="O12" s="19">
        <v>0</v>
      </c>
      <c r="P12" s="19">
        <v>0</v>
      </c>
      <c r="T12">
        <v>-1.354572260829491</v>
      </c>
      <c r="U12">
        <v>99.833570145102385</v>
      </c>
    </row>
    <row r="13" spans="1:21" x14ac:dyDescent="0.25">
      <c r="A13" s="6">
        <v>20150123</v>
      </c>
      <c r="B13" s="10">
        <v>2051.8200000000002</v>
      </c>
      <c r="C13" s="11">
        <v>-4019492.4228000003</v>
      </c>
      <c r="D13" s="11">
        <v>8657.1279063504189</v>
      </c>
      <c r="E13" s="11">
        <v>594522.16137610003</v>
      </c>
      <c r="F13" s="11">
        <v>-193436.65630352311</v>
      </c>
      <c r="G13" s="11">
        <v>-67015.033199995756</v>
      </c>
      <c r="H13" s="11">
        <v>11148.746011514213</v>
      </c>
      <c r="I13" s="11">
        <v>151847.38236811635</v>
      </c>
      <c r="J13" s="11">
        <v>-9641.452761462926</v>
      </c>
      <c r="K13" s="11">
        <v>-29509.509154927116</v>
      </c>
      <c r="L13" s="11">
        <v>6.6848888978163226E-2</v>
      </c>
      <c r="M13" s="11">
        <v>342.82846713629857</v>
      </c>
      <c r="N13" s="11">
        <v>4.5590624767577079</v>
      </c>
      <c r="O13" s="19">
        <v>0</v>
      </c>
      <c r="P13" s="19">
        <v>0</v>
      </c>
      <c r="T13">
        <v>-2.7740443508012223E-2</v>
      </c>
      <c r="U13">
        <v>-10.580506762149124</v>
      </c>
    </row>
    <row r="14" spans="1:21" x14ac:dyDescent="0.25">
      <c r="A14" s="6">
        <v>20150128</v>
      </c>
      <c r="B14" s="10">
        <v>2002.16</v>
      </c>
      <c r="C14" s="11">
        <v>-4679767.9363000002</v>
      </c>
      <c r="D14" s="11">
        <v>9694.0320665054023</v>
      </c>
      <c r="E14" s="11">
        <v>644988.37074112147</v>
      </c>
      <c r="F14" s="11">
        <v>-212233.03149735369</v>
      </c>
      <c r="G14" s="11">
        <v>-67015.033199995756</v>
      </c>
      <c r="H14" s="11">
        <v>-21334.605778848363</v>
      </c>
      <c r="I14" s="11">
        <v>-187513.13004192381</v>
      </c>
      <c r="J14" s="11">
        <v>-8704.0294334382452</v>
      </c>
      <c r="K14" s="11">
        <v>-23614.169767284515</v>
      </c>
      <c r="L14" s="11">
        <v>8.0471227985337401E-2</v>
      </c>
      <c r="M14" s="11">
        <v>375.2872837170508</v>
      </c>
      <c r="N14" s="11">
        <v>4.8617172953809309</v>
      </c>
      <c r="O14" s="19">
        <v>0</v>
      </c>
      <c r="P14" s="19">
        <v>0</v>
      </c>
      <c r="T14">
        <v>0.29284522181125572</v>
      </c>
      <c r="U14">
        <v>-110.47905871172303</v>
      </c>
    </row>
    <row r="15" spans="1:21" x14ac:dyDescent="0.25">
      <c r="A15" s="6">
        <v>20150130</v>
      </c>
      <c r="B15" s="10">
        <v>1994.99</v>
      </c>
      <c r="C15" s="11">
        <v>-4814367.091</v>
      </c>
      <c r="D15" s="11">
        <v>9880.5551291890442</v>
      </c>
      <c r="E15" s="11">
        <v>654322.1220598314</v>
      </c>
      <c r="F15" s="11">
        <v>-215833.61171543971</v>
      </c>
      <c r="G15" s="11">
        <v>-67015.033199995756</v>
      </c>
      <c r="H15" s="11">
        <v>-29388.002248967707</v>
      </c>
      <c r="I15" s="11">
        <v>-46729.930022522283</v>
      </c>
      <c r="J15" s="11">
        <v>-9694.5473791850745</v>
      </c>
      <c r="K15" s="11">
        <v>-25191.990385889014</v>
      </c>
      <c r="L15" s="11">
        <v>8.6469148088846731E-2</v>
      </c>
      <c r="M15" s="11">
        <v>397.59791548791293</v>
      </c>
      <c r="N15" s="11">
        <v>5.0390642754945327</v>
      </c>
      <c r="O15" s="19">
        <v>0</v>
      </c>
      <c r="P15" s="19">
        <v>0</v>
      </c>
      <c r="T15">
        <v>-0.3314145599520979</v>
      </c>
      <c r="U15">
        <v>88.570433925136584</v>
      </c>
    </row>
    <row r="16" spans="1:21" x14ac:dyDescent="0.25">
      <c r="A16" s="6">
        <v>20150227</v>
      </c>
      <c r="B16" s="10">
        <v>2104.5</v>
      </c>
      <c r="C16" s="11">
        <v>-3142299.8310000002</v>
      </c>
      <c r="D16" s="11">
        <v>7163.3631045669317</v>
      </c>
      <c r="E16" s="11">
        <v>489936.50785525888</v>
      </c>
      <c r="F16" s="11">
        <v>-164838.83860929683</v>
      </c>
      <c r="G16" s="11">
        <v>-69091.358400005847</v>
      </c>
      <c r="H16" s="11">
        <v>15993.196557474046</v>
      </c>
      <c r="I16" s="11">
        <v>-6866.7491306001812</v>
      </c>
      <c r="J16" s="11">
        <v>-7437.2746081397936</v>
      </c>
      <c r="K16" s="11">
        <v>-8488.5654098169252</v>
      </c>
      <c r="L16" s="11">
        <v>1.2994712818201356E-2</v>
      </c>
      <c r="M16" s="11">
        <v>55.334359884769121</v>
      </c>
      <c r="N16" s="11">
        <v>0.52608468407718223</v>
      </c>
      <c r="O16" s="19">
        <v>0</v>
      </c>
      <c r="P16" s="19">
        <v>0</v>
      </c>
      <c r="T16">
        <v>-0.1434497804070913</v>
      </c>
      <c r="U16">
        <v>-0.44236810508896723</v>
      </c>
    </row>
    <row r="17" spans="1:21" x14ac:dyDescent="0.25">
      <c r="A17" s="6">
        <v>20150202</v>
      </c>
      <c r="B17" s="10">
        <v>2020.85</v>
      </c>
      <c r="C17" s="11">
        <v>-4465135.4030999998</v>
      </c>
      <c r="D17" s="11">
        <v>9309.5657374337316</v>
      </c>
      <c r="E17" s="11">
        <v>623213.73422491364</v>
      </c>
      <c r="F17" s="11">
        <v>-206050.89735138789</v>
      </c>
      <c r="G17" s="11">
        <v>-67015.033199995756</v>
      </c>
      <c r="H17" s="11">
        <v>-6887.204123665887</v>
      </c>
      <c r="I17" s="11">
        <v>120949.29920015796</v>
      </c>
      <c r="J17" s="11">
        <v>-9681.5606944090487</v>
      </c>
      <c r="K17" s="11">
        <v>-23879.89266795649</v>
      </c>
      <c r="L17" s="11">
        <v>5.975359156795472E-2</v>
      </c>
      <c r="M17" s="11">
        <v>275.56507317674505</v>
      </c>
      <c r="N17" s="11">
        <v>3.4097036470709652</v>
      </c>
      <c r="O17" s="19">
        <v>0</v>
      </c>
      <c r="P17" s="19">
        <v>0</v>
      </c>
      <c r="T17">
        <v>-0.10731478358261572</v>
      </c>
      <c r="U17">
        <v>-6.3103781628747093</v>
      </c>
    </row>
    <row r="18" spans="1:21" x14ac:dyDescent="0.25">
      <c r="A18" s="6">
        <v>20150205</v>
      </c>
      <c r="B18">
        <v>2062.52</v>
      </c>
      <c r="C18" s="19">
        <v>-3743212.3325000005</v>
      </c>
      <c r="D18" s="19">
        <v>8158.2760064546019</v>
      </c>
      <c r="E18" s="19">
        <v>557828.49399827234</v>
      </c>
      <c r="F18" s="19">
        <v>-187516.49464804307</v>
      </c>
      <c r="G18" s="19">
        <v>-69091.358400005847</v>
      </c>
      <c r="H18" s="19">
        <v>35205.514608013837</v>
      </c>
      <c r="I18" s="19">
        <v>149574.0843893314</v>
      </c>
      <c r="J18" s="19">
        <v>-9175.1906062898615</v>
      </c>
      <c r="K18" s="19">
        <v>-21597.435791289117</v>
      </c>
      <c r="L18" s="19">
        <v>3.5945423583820753E-2</v>
      </c>
      <c r="M18" s="19">
        <v>169.00731905999288</v>
      </c>
      <c r="N18" s="19">
        <v>2.0364291995710735</v>
      </c>
      <c r="O18" s="19">
        <v>0</v>
      </c>
      <c r="P18" s="19">
        <v>0</v>
      </c>
      <c r="T18">
        <v>-1.6882260714820803</v>
      </c>
      <c r="U18">
        <v>11.457208799234756</v>
      </c>
    </row>
    <row r="19" spans="1:21" x14ac:dyDescent="0.25">
      <c r="A19" s="6">
        <v>20150309</v>
      </c>
      <c r="B19">
        <v>2079.4299999999998</v>
      </c>
      <c r="C19" s="19">
        <v>-3210361.1196000003</v>
      </c>
      <c r="D19" s="19">
        <v>7305.5491066277027</v>
      </c>
      <c r="E19" s="19">
        <v>486342.6582410913</v>
      </c>
      <c r="F19" s="19">
        <v>-164194.12972219102</v>
      </c>
      <c r="G19" s="19">
        <v>-55138.36839999631</v>
      </c>
      <c r="H19" s="19">
        <v>28313.40732104674</v>
      </c>
      <c r="I19" s="19">
        <v>-28796.924860647203</v>
      </c>
      <c r="J19" s="19">
        <v>-7440.0497255276923</v>
      </c>
      <c r="K19" s="19">
        <v>-4192.7731636532226</v>
      </c>
      <c r="L19" s="19">
        <v>2.503376304189352E-3</v>
      </c>
      <c r="M19" s="19">
        <v>8.6910210456103272</v>
      </c>
      <c r="N19" s="19">
        <v>8.0726572960677478E-2</v>
      </c>
      <c r="O19" s="19">
        <v>0</v>
      </c>
      <c r="P19" s="19">
        <v>0</v>
      </c>
      <c r="T19">
        <v>-5.140965320759236E-2</v>
      </c>
      <c r="U19">
        <v>-2.375381959222215</v>
      </c>
    </row>
    <row r="20" spans="1:21" x14ac:dyDescent="0.25">
      <c r="A20" s="6">
        <v>20150213</v>
      </c>
      <c r="B20">
        <v>2096.9899999999998</v>
      </c>
      <c r="C20" s="19">
        <v>-3302791.9052999998</v>
      </c>
      <c r="D20" s="19">
        <v>7409.1525627449155</v>
      </c>
      <c r="E20" s="19">
        <v>512886.24956554547</v>
      </c>
      <c r="F20" s="19">
        <v>-174021.95970303565</v>
      </c>
      <c r="G20" s="19">
        <v>-69091.358400005847</v>
      </c>
      <c r="H20" s="19">
        <v>-2762.3629927071843</v>
      </c>
      <c r="I20" s="19">
        <v>124612.52652602001</v>
      </c>
      <c r="J20" s="19">
        <v>-8169.8530020564058</v>
      </c>
      <c r="K20" s="19">
        <v>-15807.359153266283</v>
      </c>
      <c r="L20" s="19">
        <v>1.8923393183049378E-2</v>
      </c>
      <c r="M20" s="19">
        <v>86.964013100841768</v>
      </c>
      <c r="N20" s="19">
        <v>0.97277598924802211</v>
      </c>
      <c r="O20" s="19">
        <v>0</v>
      </c>
      <c r="P20" s="19">
        <v>0</v>
      </c>
      <c r="T20">
        <v>0.10748840414126135</v>
      </c>
      <c r="U20">
        <v>-3.433534795412319</v>
      </c>
    </row>
    <row r="21" spans="1:21" x14ac:dyDescent="0.25">
      <c r="A21" s="6">
        <v>20150219</v>
      </c>
      <c r="B21">
        <v>2097.4499999999998</v>
      </c>
      <c r="C21" s="19">
        <v>-3297676.8846000005</v>
      </c>
      <c r="D21" s="19">
        <v>7403.5485461317003</v>
      </c>
      <c r="E21" s="19">
        <v>508741.86776806414</v>
      </c>
      <c r="F21" s="19">
        <v>-173580.49790607579</v>
      </c>
      <c r="G21" s="19">
        <v>-69091.358400005847</v>
      </c>
      <c r="H21" s="19">
        <v>6210.7162297401401</v>
      </c>
      <c r="I21" s="19">
        <v>-11903.502623102342</v>
      </c>
      <c r="J21" s="19">
        <v>-7433.4545038976557</v>
      </c>
      <c r="K21" s="19">
        <v>-11834.874153911556</v>
      </c>
      <c r="L21" s="19">
        <v>1.2780954981277296E-2</v>
      </c>
      <c r="M21" s="19">
        <v>55.606596916050968</v>
      </c>
      <c r="N21" s="19">
        <v>0.5927058692457402</v>
      </c>
      <c r="O21" s="19">
        <v>0</v>
      </c>
      <c r="P21" s="19">
        <v>0</v>
      </c>
      <c r="T21">
        <v>1.9803212450441462E-2</v>
      </c>
      <c r="U21">
        <v>-12.91449641970352</v>
      </c>
    </row>
    <row r="22" spans="1:21" x14ac:dyDescent="0.25">
      <c r="A22" s="6">
        <v>20150224</v>
      </c>
      <c r="B22">
        <v>2115.48</v>
      </c>
      <c r="C22" s="19">
        <v>-3091942.4792999998</v>
      </c>
      <c r="D22" s="19">
        <v>7063.5968244243413</v>
      </c>
      <c r="E22" s="19">
        <v>488031.23977014981</v>
      </c>
      <c r="F22" s="19">
        <v>-163733.13850809447</v>
      </c>
      <c r="G22" s="19">
        <v>-69091.358400005847</v>
      </c>
      <c r="H22" s="19">
        <v>-38254.594641146577</v>
      </c>
      <c r="I22" s="19">
        <v>119211.53204085233</v>
      </c>
      <c r="J22" s="19">
        <v>-7435.4845420516276</v>
      </c>
      <c r="K22" s="19">
        <v>-9810.0309032584428</v>
      </c>
      <c r="L22" s="19">
        <v>1.385671762143631E-2</v>
      </c>
      <c r="M22" s="19">
        <v>61.2920530671948</v>
      </c>
      <c r="N22" s="19">
        <v>0.59930223304654073</v>
      </c>
      <c r="O22" s="19">
        <v>0</v>
      </c>
      <c r="P22" s="19">
        <v>0</v>
      </c>
      <c r="T22">
        <v>0.22797554630280803</v>
      </c>
      <c r="U22">
        <v>76.94104638658348</v>
      </c>
    </row>
    <row r="23" spans="1:21" x14ac:dyDescent="0.25">
      <c r="A23" s="6">
        <v>20150304</v>
      </c>
      <c r="B23">
        <v>2098.5300000000002</v>
      </c>
      <c r="C23" s="19">
        <v>-3143712.4972999999</v>
      </c>
      <c r="D23" s="19">
        <v>7183.0065452698618</v>
      </c>
      <c r="E23" s="19">
        <v>484802.51079194061</v>
      </c>
      <c r="F23" s="19">
        <v>-163396.98660995066</v>
      </c>
      <c r="G23" s="19">
        <v>-55138.36839999631</v>
      </c>
      <c r="H23" s="19">
        <v>13415.312930359616</v>
      </c>
      <c r="I23" s="19">
        <v>-1103.6173031790827</v>
      </c>
      <c r="J23" s="19">
        <v>-7434.8982967293496</v>
      </c>
      <c r="K23" s="19">
        <v>-6342.6082602924262</v>
      </c>
      <c r="L23" s="19">
        <v>3.257221168700304E-3</v>
      </c>
      <c r="M23" s="19">
        <v>12.183309712317802</v>
      </c>
      <c r="N23" s="19">
        <v>0.11837042140143408</v>
      </c>
      <c r="O23" s="19">
        <v>0</v>
      </c>
      <c r="P23" s="19">
        <v>0</v>
      </c>
      <c r="T23">
        <v>-8.8502925510903871E-2</v>
      </c>
      <c r="U23">
        <v>-132.63473849722141</v>
      </c>
    </row>
    <row r="24" spans="1:21" x14ac:dyDescent="0.25">
      <c r="A24" s="6">
        <v>20150312</v>
      </c>
      <c r="B24">
        <v>2065.9499999999998</v>
      </c>
      <c r="C24" s="19">
        <v>-3334939.6946999999</v>
      </c>
      <c r="D24" s="19">
        <v>7516.26367643103</v>
      </c>
      <c r="E24" s="19">
        <v>495022.8808946386</v>
      </c>
      <c r="F24" s="19">
        <v>-167967.10230404884</v>
      </c>
      <c r="G24" s="19">
        <v>-55138.36839999631</v>
      </c>
      <c r="H24" s="19">
        <v>-11122.731139214557</v>
      </c>
      <c r="I24" s="19">
        <v>-35523.373818636901</v>
      </c>
      <c r="J24" s="19">
        <v>-7431.079547314248</v>
      </c>
      <c r="K24" s="19">
        <v>-41170.275861983464</v>
      </c>
      <c r="L24" s="19">
        <v>2.3259037367742087E-3</v>
      </c>
      <c r="M24" s="19">
        <v>7.7255571726079388</v>
      </c>
      <c r="N24" s="19">
        <v>6.9520607343460869E-2</v>
      </c>
      <c r="O24" s="19">
        <v>0</v>
      </c>
      <c r="P24" s="19">
        <v>0</v>
      </c>
      <c r="T24">
        <v>5.1715709046657263E-3</v>
      </c>
      <c r="U24">
        <v>-3.3006990223096402E-2</v>
      </c>
    </row>
    <row r="25" spans="1:21" x14ac:dyDescent="0.25">
      <c r="A25" s="6">
        <v>20150317</v>
      </c>
      <c r="B25">
        <v>2074.2800000000002</v>
      </c>
      <c r="C25" s="19">
        <v>-3279683.6453</v>
      </c>
      <c r="D25" s="19">
        <v>7384.0743091218174</v>
      </c>
      <c r="E25" s="19">
        <v>486065.37054186314</v>
      </c>
      <c r="F25" s="19">
        <v>-166103.97580444627</v>
      </c>
      <c r="G25" s="19">
        <v>-55138.36839999631</v>
      </c>
      <c r="H25" s="19">
        <v>-4671.7756045228216</v>
      </c>
      <c r="I25" s="19">
        <v>-5162.3414571867816</v>
      </c>
      <c r="J25" s="19">
        <v>-7434.3306128494814</v>
      </c>
      <c r="K25" s="19">
        <v>-39264.678209927537</v>
      </c>
      <c r="L25" s="19">
        <v>1.2762640341392236E-3</v>
      </c>
      <c r="M25" s="19">
        <v>4.0492489492618082</v>
      </c>
      <c r="N25" s="19">
        <v>3.4447853497176752E-2</v>
      </c>
      <c r="O25" s="19">
        <v>0</v>
      </c>
      <c r="P25" s="19">
        <v>0</v>
      </c>
      <c r="T25">
        <v>-9.9034748730910879E-3</v>
      </c>
      <c r="U25">
        <v>4.3553376030618797E-2</v>
      </c>
    </row>
    <row r="26" spans="1:21" x14ac:dyDescent="0.25">
      <c r="A26" s="6">
        <v>20150325</v>
      </c>
      <c r="B26">
        <v>2061.0500000000002</v>
      </c>
      <c r="C26" s="19">
        <v>-3482005.8235999998</v>
      </c>
      <c r="D26" s="19">
        <v>7647.7802919521928</v>
      </c>
      <c r="E26" s="19">
        <v>497142.25178160332</v>
      </c>
      <c r="F26" s="19">
        <v>-171736.91351496242</v>
      </c>
      <c r="G26" s="19">
        <v>-55138.36839999631</v>
      </c>
      <c r="H26" s="19">
        <v>-2369.2786716966325</v>
      </c>
      <c r="I26" s="19">
        <v>-117547.22456791099</v>
      </c>
      <c r="J26" s="19">
        <v>-6971.5038111010226</v>
      </c>
      <c r="K26" s="19">
        <v>-33453.108809779042</v>
      </c>
      <c r="L26" s="19">
        <v>6.6889176522202942E-4</v>
      </c>
      <c r="M26" s="19">
        <v>1.9115466341301448</v>
      </c>
      <c r="N26" s="19">
        <v>1.4760697115368043E-2</v>
      </c>
      <c r="O26" s="19">
        <v>0</v>
      </c>
      <c r="P26" s="19">
        <v>0</v>
      </c>
      <c r="T26">
        <v>1.8797996354051334E-3</v>
      </c>
      <c r="U26">
        <v>0.11738480395565527</v>
      </c>
    </row>
    <row r="27" spans="1:21" x14ac:dyDescent="0.25">
      <c r="A27" s="6">
        <v>20150330</v>
      </c>
      <c r="B27">
        <v>2086.2399999999998</v>
      </c>
      <c r="C27" s="19">
        <v>-3226891.2500999998</v>
      </c>
      <c r="D27" s="19">
        <v>7197.8424370996654</v>
      </c>
      <c r="E27" s="19">
        <v>471334.55500129424</v>
      </c>
      <c r="F27" s="19">
        <v>-162760.6968305856</v>
      </c>
      <c r="G27" s="19">
        <v>-55138.36839999631</v>
      </c>
      <c r="H27" s="19">
        <v>-7232.8346414945836</v>
      </c>
      <c r="I27" s="19">
        <v>57597.175437501399</v>
      </c>
      <c r="J27" s="19">
        <v>-7714.0099123905347</v>
      </c>
      <c r="K27" s="19">
        <v>-35322.568947324711</v>
      </c>
      <c r="L27" s="19">
        <v>2.5809601839106995E-4</v>
      </c>
      <c r="M27" s="19">
        <v>0.71343701566480444</v>
      </c>
      <c r="N27" s="19">
        <v>5.135574025104955E-3</v>
      </c>
      <c r="O27" s="19">
        <v>0</v>
      </c>
      <c r="P27" s="19">
        <v>0</v>
      </c>
      <c r="T27">
        <v>7.2139962283180778E-4</v>
      </c>
      <c r="U27">
        <v>0.24379646100427962</v>
      </c>
    </row>
    <row r="28" spans="1:21" x14ac:dyDescent="0.25">
      <c r="A28" s="6">
        <v>20150327</v>
      </c>
      <c r="B28">
        <v>2061.02</v>
      </c>
      <c r="C28" s="19">
        <v>-3471772.4454999999</v>
      </c>
      <c r="D28" s="19">
        <v>7623.4765610098839</v>
      </c>
      <c r="E28" s="19">
        <v>494353.2475236319</v>
      </c>
      <c r="F28" s="19">
        <v>-170766.50823956355</v>
      </c>
      <c r="G28" s="19">
        <v>-55138.36839999631</v>
      </c>
      <c r="H28" s="19">
        <v>-989.10765929162278</v>
      </c>
      <c r="I28" s="19">
        <v>4300.3191811659108</v>
      </c>
      <c r="J28" s="19">
        <v>-7718.9311451299327</v>
      </c>
      <c r="K28" s="19">
        <v>-36214.229913357536</v>
      </c>
      <c r="L28" s="19">
        <v>5.2275256369353426E-4</v>
      </c>
      <c r="M28" s="19">
        <v>1.4570917793120353</v>
      </c>
      <c r="N28" s="19">
        <v>1.0971773808918488E-2</v>
      </c>
      <c r="O28" s="19">
        <v>0</v>
      </c>
      <c r="P28" s="19">
        <v>0</v>
      </c>
      <c r="T28">
        <v>6.7869079751526696E-4</v>
      </c>
      <c r="U28">
        <v>-1.3425777084527992E-2</v>
      </c>
    </row>
    <row r="29" spans="1:21" x14ac:dyDescent="0.25">
      <c r="A29" s="6">
        <v>20150331</v>
      </c>
      <c r="B29">
        <v>2067.89</v>
      </c>
      <c r="C29" s="19">
        <v>-3450692.4056999995</v>
      </c>
      <c r="D29" s="19">
        <v>7546.6328479070216</v>
      </c>
      <c r="E29" s="19">
        <v>489725.89893359691</v>
      </c>
      <c r="F29" s="19">
        <v>-170423.31226744875</v>
      </c>
      <c r="G29" s="19">
        <v>-55138.36839999631</v>
      </c>
      <c r="H29" s="19">
        <v>-7854.7375570007416</v>
      </c>
      <c r="I29" s="19">
        <v>-76391.411446777216</v>
      </c>
      <c r="J29" s="19">
        <v>-7219.4012514063616</v>
      </c>
      <c r="K29" s="19">
        <v>-32335.533062813298</v>
      </c>
      <c r="L29" s="19">
        <v>3.3358334299545727E-4</v>
      </c>
      <c r="M29" s="19">
        <v>0.89798247717049107</v>
      </c>
      <c r="N29" s="19">
        <v>6.3544051108160278E-3</v>
      </c>
      <c r="O29" s="19">
        <v>0</v>
      </c>
      <c r="P29" s="19">
        <v>0</v>
      </c>
      <c r="T29">
        <v>2.0168731301885583E-4</v>
      </c>
      <c r="U29">
        <v>9.1253345307322459E-2</v>
      </c>
    </row>
    <row r="30" spans="1:21" x14ac:dyDescent="0.25">
      <c r="A30" s="6">
        <v>20150408</v>
      </c>
      <c r="B30">
        <v>2081.9</v>
      </c>
      <c r="C30" s="19">
        <v>-3139002.1954999999</v>
      </c>
      <c r="D30" s="19">
        <v>6916.9146182127297</v>
      </c>
      <c r="E30" s="19">
        <v>449937.77190049738</v>
      </c>
      <c r="F30" s="19">
        <v>-157902.33766643144</v>
      </c>
      <c r="G30" s="19">
        <v>-53012.591599998996</v>
      </c>
      <c r="H30" s="19">
        <v>-8851.5325411821796</v>
      </c>
      <c r="I30" s="19">
        <v>29580.763346878135</v>
      </c>
      <c r="J30" s="19">
        <v>-7238.8675061141512</v>
      </c>
      <c r="K30" s="19">
        <v>-29382.805004506958</v>
      </c>
      <c r="L30" s="19">
        <v>6.8173062137280631E-5</v>
      </c>
      <c r="M30" s="19">
        <v>0.16589788397290292</v>
      </c>
      <c r="N30" s="19">
        <v>1.0503075070138624E-3</v>
      </c>
      <c r="O30" s="19">
        <v>0</v>
      </c>
      <c r="P30" s="19">
        <v>0</v>
      </c>
      <c r="T30">
        <v>8.9741591959423706E-4</v>
      </c>
      <c r="U30">
        <v>-6.0491181816118407E-2</v>
      </c>
    </row>
    <row r="31" spans="1:21" x14ac:dyDescent="0.25">
      <c r="A31" s="6">
        <v>20150402</v>
      </c>
      <c r="B31">
        <v>2066.96</v>
      </c>
      <c r="C31" s="19">
        <v>-3428004.4226000002</v>
      </c>
      <c r="D31" s="19">
        <v>7525.4112802837044</v>
      </c>
      <c r="E31" s="19">
        <v>486696.35475075804</v>
      </c>
      <c r="F31" s="19">
        <v>-169120.44749443233</v>
      </c>
      <c r="G31" s="19">
        <v>-53012.591599998996</v>
      </c>
      <c r="H31" s="19">
        <v>-13076.213588934963</v>
      </c>
      <c r="I31" s="19">
        <v>37707.99340428142</v>
      </c>
      <c r="J31" s="19">
        <v>-7235.8083255992551</v>
      </c>
      <c r="K31" s="19">
        <v>-31587.362332731565</v>
      </c>
      <c r="L31" s="19">
        <v>2.5464653821278529E-4</v>
      </c>
      <c r="M31" s="19">
        <v>0.66671112221796625</v>
      </c>
      <c r="N31" s="19">
        <v>4.5914103458146527E-3</v>
      </c>
      <c r="O31" s="19">
        <v>0</v>
      </c>
      <c r="P31" s="19">
        <v>0</v>
      </c>
      <c r="T31">
        <v>-2.2080865109325393E-4</v>
      </c>
      <c r="U31">
        <v>-5.6912239858635614E-3</v>
      </c>
    </row>
    <row r="32" spans="1:21" x14ac:dyDescent="0.25">
      <c r="A32" s="6">
        <v>20150413</v>
      </c>
      <c r="B32">
        <v>2092.4299999999998</v>
      </c>
      <c r="C32" s="19">
        <v>-3006391.8365000002</v>
      </c>
      <c r="D32" s="19">
        <v>6710.3615007735789</v>
      </c>
      <c r="E32" s="19">
        <v>436634.42428999022</v>
      </c>
      <c r="F32" s="19">
        <v>-153479.13405779563</v>
      </c>
      <c r="G32" s="19">
        <v>-53012.591599998996</v>
      </c>
      <c r="H32" s="19">
        <v>2718.94005191017</v>
      </c>
      <c r="I32" s="19">
        <v>29123.343747161329</v>
      </c>
      <c r="J32" s="19">
        <v>-7221.9747866142343</v>
      </c>
      <c r="K32" s="19">
        <v>-27416.65603656918</v>
      </c>
      <c r="L32" s="19">
        <v>1.6748837244469259E-5</v>
      </c>
      <c r="M32" s="19">
        <v>3.7840907312267469E-2</v>
      </c>
      <c r="N32" s="19">
        <v>2.2322162063043231E-4</v>
      </c>
      <c r="O32" s="19">
        <v>0</v>
      </c>
      <c r="P32" s="19">
        <v>0</v>
      </c>
      <c r="T32">
        <v>-4.1672355880473037E-5</v>
      </c>
      <c r="U32">
        <v>-3.9756822448148627E-2</v>
      </c>
    </row>
    <row r="33" spans="1:21" x14ac:dyDescent="0.25">
      <c r="A33" s="6">
        <v>20150421</v>
      </c>
      <c r="B33">
        <v>2097.29</v>
      </c>
      <c r="C33" s="19">
        <v>-2984216.7246999997</v>
      </c>
      <c r="D33" s="19">
        <v>6642.5618519000709</v>
      </c>
      <c r="E33" s="19">
        <v>429840.19222202711</v>
      </c>
      <c r="F33" s="19">
        <v>-153064.72595166601</v>
      </c>
      <c r="G33" s="19">
        <v>-53012.591599998996</v>
      </c>
      <c r="H33" s="19">
        <v>16959.631613606176</v>
      </c>
      <c r="I33" s="19">
        <v>-19416.029122947431</v>
      </c>
      <c r="J33" s="19">
        <v>-6726.8441162004701</v>
      </c>
      <c r="K33" s="19">
        <v>-22524.183251191997</v>
      </c>
      <c r="L33" s="19">
        <v>2.7704792075766974E-6</v>
      </c>
      <c r="M33" s="19">
        <v>5.5437589910491292E-3</v>
      </c>
      <c r="N33" s="19">
        <v>2.8201906853705546E-5</v>
      </c>
      <c r="O33" s="19">
        <v>0</v>
      </c>
      <c r="P33" s="19">
        <v>0</v>
      </c>
      <c r="T33">
        <v>-2.0633408240334669E-5</v>
      </c>
      <c r="U33">
        <v>4.2503215344327321E-3</v>
      </c>
    </row>
    <row r="34" spans="1:21" x14ac:dyDescent="0.25">
      <c r="A34" s="6">
        <v>20150416</v>
      </c>
      <c r="B34">
        <v>2104.9899999999998</v>
      </c>
      <c r="C34" s="19">
        <v>-2955410.5252</v>
      </c>
      <c r="D34" s="19">
        <v>6574.6733370665461</v>
      </c>
      <c r="E34" s="19">
        <v>430003.85114548169</v>
      </c>
      <c r="F34" s="19">
        <v>-151955.2839464657</v>
      </c>
      <c r="G34" s="19">
        <v>-53012.591599998996</v>
      </c>
      <c r="H34" s="19">
        <v>-20212.461092838897</v>
      </c>
      <c r="I34" s="19">
        <v>-820.77551333097688</v>
      </c>
      <c r="J34" s="19">
        <v>-6726.424281593374</v>
      </c>
      <c r="K34" s="19">
        <v>-24520.524814810105</v>
      </c>
      <c r="L34" s="19">
        <v>6.3064888103834742E-6</v>
      </c>
      <c r="M34" s="19">
        <v>1.3725690781568182E-2</v>
      </c>
      <c r="N34" s="19">
        <v>7.7057385220865519E-5</v>
      </c>
      <c r="O34" s="19">
        <v>0</v>
      </c>
      <c r="P34" s="19">
        <v>0</v>
      </c>
      <c r="T34">
        <v>4.7779437233648915E-5</v>
      </c>
      <c r="U34">
        <v>-6.2335672565242372E-4</v>
      </c>
    </row>
    <row r="35" spans="1:21" x14ac:dyDescent="0.25">
      <c r="A35" s="6">
        <v>20150424</v>
      </c>
      <c r="B35">
        <v>2117.69</v>
      </c>
      <c r="C35" s="19">
        <v>-2859620.6601</v>
      </c>
      <c r="D35" s="19">
        <v>6388.5062477439642</v>
      </c>
      <c r="E35" s="19">
        <v>416600.46479511447</v>
      </c>
      <c r="F35" s="19">
        <v>-149140.02795933746</v>
      </c>
      <c r="G35" s="19">
        <v>-53012.591599998996</v>
      </c>
      <c r="H35" s="19">
        <v>-9090.7009896780364</v>
      </c>
      <c r="I35" s="19">
        <v>9006.3808444813822</v>
      </c>
      <c r="J35" s="19">
        <v>-6716.4670261904776</v>
      </c>
      <c r="K35" s="19">
        <v>-21555.728218637916</v>
      </c>
      <c r="L35" s="19">
        <v>6.6282289964961814E-7</v>
      </c>
      <c r="M35" s="19">
        <v>1.2775719246660643E-3</v>
      </c>
      <c r="N35" s="19">
        <v>6.1407056892167669E-6</v>
      </c>
      <c r="O35" s="19">
        <v>0</v>
      </c>
      <c r="P35" s="19">
        <v>0</v>
      </c>
      <c r="T35">
        <v>3.099318515490959E-6</v>
      </c>
      <c r="U35">
        <v>-1.1952248263379721E-4</v>
      </c>
    </row>
    <row r="36" spans="1:21" x14ac:dyDescent="0.25">
      <c r="A36" s="6">
        <v>20150429</v>
      </c>
      <c r="B36">
        <v>2106.85</v>
      </c>
      <c r="C36" s="19">
        <v>-2989999.5031000003</v>
      </c>
      <c r="D36" s="19">
        <v>6565.7672736588866</v>
      </c>
      <c r="E36" s="19">
        <v>423401.01341870986</v>
      </c>
      <c r="F36" s="19">
        <v>-153662.15900192037</v>
      </c>
      <c r="G36" s="19">
        <v>-53012.591599998996</v>
      </c>
      <c r="H36" s="19">
        <v>17831.429392958922</v>
      </c>
      <c r="I36" s="19">
        <v>-45712.451063117216</v>
      </c>
      <c r="J36" s="19">
        <v>-6458.3600069192198</v>
      </c>
      <c r="K36" s="19">
        <v>-18773.929457519691</v>
      </c>
      <c r="L36" s="19">
        <v>1.9016360792914174E-7</v>
      </c>
      <c r="M36" s="19">
        <v>3.3018662982597658E-4</v>
      </c>
      <c r="N36" s="19">
        <v>1.4224951676106623E-6</v>
      </c>
      <c r="O36" s="19">
        <v>0</v>
      </c>
      <c r="P36" s="19">
        <v>0</v>
      </c>
      <c r="T36">
        <v>-8.9069086139612723E-7</v>
      </c>
      <c r="U36">
        <v>2.679934559401801E-4</v>
      </c>
    </row>
    <row r="37" spans="1:21" x14ac:dyDescent="0.25">
      <c r="A37" s="6">
        <v>20150430</v>
      </c>
      <c r="B37">
        <v>2085.5100000000002</v>
      </c>
      <c r="C37" s="19">
        <v>-3131977.8521999996</v>
      </c>
      <c r="D37" s="19">
        <v>6836.5810161996633</v>
      </c>
      <c r="E37" s="19">
        <v>434408.58384599909</v>
      </c>
      <c r="F37" s="19">
        <v>-158142.12307018228</v>
      </c>
      <c r="G37" s="19">
        <v>-53012.591599998996</v>
      </c>
      <c r="H37" s="19">
        <v>8812.4002765217374</v>
      </c>
      <c r="I37" s="19">
        <v>-30106.954778335061</v>
      </c>
      <c r="J37" s="19">
        <v>-6449.8300081019133</v>
      </c>
      <c r="K37" s="19">
        <v>-18196.546847851336</v>
      </c>
      <c r="L37" s="19">
        <v>2.2655659700303947E-7</v>
      </c>
      <c r="M37" s="19">
        <v>3.7715122991833176E-4</v>
      </c>
      <c r="N37" s="19">
        <v>1.5904576598771552E-6</v>
      </c>
      <c r="O37" s="19">
        <v>0</v>
      </c>
      <c r="P37" s="19">
        <v>0</v>
      </c>
      <c r="T37">
        <v>-1.9797317873686814E-7</v>
      </c>
      <c r="U37">
        <v>-2.5547516494033502E-6</v>
      </c>
    </row>
    <row r="38" spans="1:21" x14ac:dyDescent="0.25">
      <c r="A38" s="6">
        <v>20150504</v>
      </c>
      <c r="B38">
        <v>2114.4899999999998</v>
      </c>
      <c r="C38" s="19">
        <v>-2894163.1822000002</v>
      </c>
      <c r="D38" s="19">
        <v>6397.9273255635053</v>
      </c>
      <c r="E38" s="19">
        <v>411290.99563160539</v>
      </c>
      <c r="F38" s="19">
        <v>-149800.7594117932</v>
      </c>
      <c r="G38" s="19">
        <v>-46536.779600000009</v>
      </c>
      <c r="H38" s="19">
        <v>7549.2568031864957</v>
      </c>
      <c r="I38" s="19">
        <v>65567.921800433265</v>
      </c>
      <c r="J38" s="19">
        <v>-6943.5190005710801</v>
      </c>
      <c r="K38" s="19">
        <v>-18288.473133250325</v>
      </c>
      <c r="L38" s="19">
        <v>1.7513644346752564E-8</v>
      </c>
      <c r="M38" s="19">
        <v>2.7392266749842448E-5</v>
      </c>
      <c r="N38" s="19">
        <v>1.0513513233731822E-7</v>
      </c>
      <c r="O38" s="19">
        <v>0</v>
      </c>
      <c r="P38" s="19">
        <v>0</v>
      </c>
      <c r="T38">
        <v>-4.1021329640491003E-7</v>
      </c>
      <c r="U38">
        <v>1.1471990199383427E-5</v>
      </c>
    </row>
    <row r="39" spans="1:21" x14ac:dyDescent="0.25"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</row>
    <row r="40" spans="1:21" x14ac:dyDescent="0.25"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</row>
    <row r="41" spans="1:21" x14ac:dyDescent="0.25"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</row>
    <row r="42" spans="1:21" x14ac:dyDescent="0.25"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</row>
    <row r="43" spans="1:21" x14ac:dyDescent="0.25"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</row>
    <row r="44" spans="1:21" x14ac:dyDescent="0.25"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</row>
    <row r="45" spans="1:21" x14ac:dyDescent="0.25"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</row>
    <row r="46" spans="1:21" x14ac:dyDescent="0.25"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</row>
    <row r="47" spans="1:21" x14ac:dyDescent="0.25"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</row>
    <row r="48" spans="1:21" x14ac:dyDescent="0.25"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</row>
    <row r="49" spans="3:16" x14ac:dyDescent="0.25"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</row>
    <row r="50" spans="3:16" x14ac:dyDescent="0.25"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</row>
    <row r="51" spans="3:16" x14ac:dyDescent="0.25"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</row>
    <row r="52" spans="3:16" x14ac:dyDescent="0.25"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</row>
    <row r="53" spans="3:16" x14ac:dyDescent="0.25"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</row>
    <row r="54" spans="3:16" x14ac:dyDescent="0.25"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</row>
    <row r="55" spans="3:16" x14ac:dyDescent="0.25"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</row>
    <row r="56" spans="3:16" x14ac:dyDescent="0.25"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</row>
    <row r="57" spans="3:16" x14ac:dyDescent="0.25"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</row>
    <row r="58" spans="3:16" x14ac:dyDescent="0.25"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</row>
    <row r="59" spans="3:16" x14ac:dyDescent="0.25"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</row>
    <row r="60" spans="3:16" x14ac:dyDescent="0.25"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</row>
    <row r="61" spans="3:16" x14ac:dyDescent="0.25"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</row>
    <row r="62" spans="3:16" x14ac:dyDescent="0.25"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</row>
    <row r="63" spans="3:16" x14ac:dyDescent="0.25"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</row>
    <row r="64" spans="3:16" x14ac:dyDescent="0.25"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</row>
    <row r="65" spans="3:16" x14ac:dyDescent="0.25"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</row>
    <row r="66" spans="3:16" x14ac:dyDescent="0.25"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</row>
    <row r="67" spans="3:16" x14ac:dyDescent="0.25"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</row>
    <row r="68" spans="3:16" x14ac:dyDescent="0.25"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</row>
    <row r="69" spans="3:16" x14ac:dyDescent="0.25"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</row>
    <row r="70" spans="3:16" x14ac:dyDescent="0.25"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</row>
    <row r="71" spans="3:16" x14ac:dyDescent="0.25"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</row>
    <row r="72" spans="3:16" x14ac:dyDescent="0.25"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</row>
    <row r="73" spans="3:16" x14ac:dyDescent="0.25"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</row>
    <row r="74" spans="3:16" x14ac:dyDescent="0.25"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</row>
    <row r="75" spans="3:16" x14ac:dyDescent="0.25"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</row>
    <row r="76" spans="3:16" x14ac:dyDescent="0.25"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</row>
    <row r="77" spans="3:16" x14ac:dyDescent="0.25"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</row>
    <row r="78" spans="3:16" x14ac:dyDescent="0.25"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</row>
    <row r="79" spans="3:16" x14ac:dyDescent="0.25"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</row>
    <row r="80" spans="3:16" x14ac:dyDescent="0.25"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</row>
    <row r="81" spans="3:16" x14ac:dyDescent="0.25"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</row>
    <row r="82" spans="3:16" x14ac:dyDescent="0.25"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</row>
    <row r="83" spans="3:16" x14ac:dyDescent="0.25"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</row>
    <row r="84" spans="3:16" x14ac:dyDescent="0.25"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</row>
    <row r="85" spans="3:16" x14ac:dyDescent="0.25"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</row>
    <row r="86" spans="3:16" x14ac:dyDescent="0.25"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</row>
    <row r="87" spans="3:16" x14ac:dyDescent="0.25"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</row>
    <row r="88" spans="3:16" x14ac:dyDescent="0.25"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</row>
    <row r="89" spans="3:16" x14ac:dyDescent="0.25"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</row>
    <row r="90" spans="3:16" x14ac:dyDescent="0.25"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</row>
    <row r="91" spans="3:16" x14ac:dyDescent="0.25"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</row>
    <row r="92" spans="3:16" x14ac:dyDescent="0.25"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</row>
    <row r="93" spans="3:16" x14ac:dyDescent="0.25"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</row>
    <row r="94" spans="3:16" x14ac:dyDescent="0.25"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</row>
    <row r="95" spans="3:16" x14ac:dyDescent="0.25"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</row>
    <row r="96" spans="3:16" x14ac:dyDescent="0.25"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</row>
    <row r="97" spans="3:16" x14ac:dyDescent="0.25"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</row>
    <row r="98" spans="3:16" x14ac:dyDescent="0.25"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</row>
    <row r="99" spans="3:16" x14ac:dyDescent="0.25"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</row>
    <row r="100" spans="3:16" x14ac:dyDescent="0.25"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</row>
    <row r="101" spans="3:16" x14ac:dyDescent="0.25"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</row>
    <row r="102" spans="3:16" x14ac:dyDescent="0.25"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</row>
    <row r="103" spans="3:16" x14ac:dyDescent="0.25"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</row>
    <row r="104" spans="3:16" x14ac:dyDescent="0.25"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</row>
    <row r="105" spans="3:16" x14ac:dyDescent="0.25"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</row>
    <row r="106" spans="3:16" x14ac:dyDescent="0.25"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</row>
    <row r="107" spans="3:16" x14ac:dyDescent="0.25"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</row>
    <row r="108" spans="3:16" x14ac:dyDescent="0.25"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</row>
    <row r="109" spans="3:16" x14ac:dyDescent="0.25"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</row>
    <row r="110" spans="3:16" x14ac:dyDescent="0.25"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</row>
    <row r="111" spans="3:16" x14ac:dyDescent="0.25"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</row>
    <row r="112" spans="3:16" x14ac:dyDescent="0.25"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</row>
    <row r="113" spans="3:16" x14ac:dyDescent="0.25"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</row>
    <row r="114" spans="3:16" x14ac:dyDescent="0.25"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</row>
    <row r="115" spans="3:16" x14ac:dyDescent="0.25"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</row>
    <row r="116" spans="3:16" x14ac:dyDescent="0.25"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</row>
    <row r="117" spans="3:16" x14ac:dyDescent="0.25"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</row>
    <row r="118" spans="3:16" x14ac:dyDescent="0.25"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</row>
    <row r="119" spans="3:16" x14ac:dyDescent="0.25"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</row>
    <row r="120" spans="3:16" x14ac:dyDescent="0.25"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</row>
    <row r="121" spans="3:16" x14ac:dyDescent="0.25"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</row>
    <row r="122" spans="3:16" x14ac:dyDescent="0.25"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</row>
    <row r="123" spans="3:16" x14ac:dyDescent="0.25"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</row>
    <row r="124" spans="3:16" x14ac:dyDescent="0.25"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</row>
    <row r="125" spans="3:16" x14ac:dyDescent="0.25"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</row>
    <row r="126" spans="3:16" x14ac:dyDescent="0.25"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</row>
    <row r="127" spans="3:16" x14ac:dyDescent="0.25"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</row>
    <row r="128" spans="3:16" x14ac:dyDescent="0.25"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</row>
    <row r="129" spans="3:16" x14ac:dyDescent="0.25"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</row>
    <row r="130" spans="3:16" x14ac:dyDescent="0.25"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</row>
    <row r="131" spans="3:16" x14ac:dyDescent="0.25"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</row>
    <row r="132" spans="3:16" x14ac:dyDescent="0.25"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</row>
    <row r="133" spans="3:16" x14ac:dyDescent="0.25"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</row>
    <row r="134" spans="3:16" x14ac:dyDescent="0.25"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</row>
    <row r="135" spans="3:16" x14ac:dyDescent="0.25"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/>
    </row>
    <row r="136" spans="3:16" x14ac:dyDescent="0.25"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</row>
    <row r="137" spans="3:16" x14ac:dyDescent="0.25"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</row>
    <row r="138" spans="3:16" x14ac:dyDescent="0.25"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</row>
    <row r="139" spans="3:16" x14ac:dyDescent="0.25"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</row>
    <row r="140" spans="3:16" x14ac:dyDescent="0.25"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</row>
    <row r="141" spans="3:16" x14ac:dyDescent="0.25"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</row>
    <row r="142" spans="3:16" x14ac:dyDescent="0.25"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</row>
    <row r="143" spans="3:16" x14ac:dyDescent="0.25"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</row>
    <row r="144" spans="3:16" x14ac:dyDescent="0.25"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</row>
    <row r="145" spans="3:16" x14ac:dyDescent="0.25"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</row>
    <row r="146" spans="3:16" x14ac:dyDescent="0.25"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</row>
    <row r="147" spans="3:16" x14ac:dyDescent="0.25"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</row>
    <row r="148" spans="3:16" x14ac:dyDescent="0.25"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</row>
    <row r="149" spans="3:16" x14ac:dyDescent="0.25"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</row>
    <row r="150" spans="3:16" x14ac:dyDescent="0.25"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</row>
    <row r="151" spans="3:16" x14ac:dyDescent="0.25"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</row>
    <row r="152" spans="3:16" x14ac:dyDescent="0.25"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</row>
    <row r="153" spans="3:16" x14ac:dyDescent="0.25"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</row>
    <row r="154" spans="3:16" x14ac:dyDescent="0.25"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</row>
    <row r="155" spans="3:16" x14ac:dyDescent="0.25"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</row>
    <row r="156" spans="3:16" x14ac:dyDescent="0.25"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</row>
    <row r="157" spans="3:16" x14ac:dyDescent="0.25"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</row>
    <row r="158" spans="3:16" x14ac:dyDescent="0.25"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</row>
    <row r="159" spans="3:16" x14ac:dyDescent="0.25"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19"/>
      <c r="O159" s="19"/>
      <c r="P159" s="19"/>
    </row>
    <row r="160" spans="3:16" x14ac:dyDescent="0.25"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</row>
    <row r="161" spans="3:16" x14ac:dyDescent="0.25"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</row>
    <row r="162" spans="3:16" x14ac:dyDescent="0.25"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</row>
    <row r="163" spans="3:16" x14ac:dyDescent="0.25"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19"/>
    </row>
    <row r="164" spans="3:16" x14ac:dyDescent="0.25"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</row>
    <row r="165" spans="3:16" x14ac:dyDescent="0.25"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</row>
    <row r="166" spans="3:16" x14ac:dyDescent="0.25"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</row>
    <row r="167" spans="3:16" x14ac:dyDescent="0.25"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19"/>
      <c r="O167" s="19"/>
      <c r="P167" s="19"/>
    </row>
    <row r="168" spans="3:16" x14ac:dyDescent="0.25"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</row>
    <row r="169" spans="3:16" x14ac:dyDescent="0.25"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19"/>
      <c r="O169" s="19"/>
      <c r="P169" s="19"/>
    </row>
    <row r="170" spans="3:16" x14ac:dyDescent="0.25"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</row>
    <row r="171" spans="3:16" x14ac:dyDescent="0.25"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19"/>
      <c r="O171" s="19"/>
      <c r="P171" s="19"/>
    </row>
    <row r="172" spans="3:16" x14ac:dyDescent="0.25"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</row>
    <row r="173" spans="3:16" x14ac:dyDescent="0.25"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19"/>
      <c r="O173" s="19"/>
      <c r="P173" s="19"/>
    </row>
    <row r="174" spans="3:16" x14ac:dyDescent="0.25"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</row>
    <row r="175" spans="3:16" x14ac:dyDescent="0.25"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/>
    </row>
    <row r="176" spans="3:16" x14ac:dyDescent="0.25"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</row>
    <row r="177" spans="3:16" x14ac:dyDescent="0.25"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  <c r="N177" s="19"/>
      <c r="O177" s="19"/>
      <c r="P177" s="19"/>
    </row>
    <row r="178" spans="3:16" x14ac:dyDescent="0.25"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</row>
    <row r="179" spans="3:16" x14ac:dyDescent="0.25"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  <c r="N179" s="19"/>
      <c r="O179" s="19"/>
      <c r="P179" s="19"/>
    </row>
    <row r="180" spans="3:16" x14ac:dyDescent="0.25"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</row>
    <row r="181" spans="3:16" x14ac:dyDescent="0.25"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19"/>
    </row>
    <row r="182" spans="3:16" x14ac:dyDescent="0.25"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</row>
    <row r="183" spans="3:16" x14ac:dyDescent="0.25"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  <c r="N183" s="19"/>
      <c r="O183" s="19"/>
      <c r="P183" s="19"/>
    </row>
    <row r="184" spans="3:16" x14ac:dyDescent="0.25"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</row>
    <row r="185" spans="3:16" x14ac:dyDescent="0.25"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</row>
    <row r="186" spans="3:16" x14ac:dyDescent="0.25"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</row>
    <row r="187" spans="3:16" x14ac:dyDescent="0.25"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</row>
    <row r="188" spans="3:16" x14ac:dyDescent="0.25"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</row>
    <row r="189" spans="3:16" x14ac:dyDescent="0.25"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</row>
    <row r="190" spans="3:16" x14ac:dyDescent="0.25"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</row>
    <row r="191" spans="3:16" x14ac:dyDescent="0.25"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</row>
    <row r="192" spans="3:16" x14ac:dyDescent="0.25"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</row>
    <row r="193" spans="3:16" x14ac:dyDescent="0.25"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</row>
    <row r="194" spans="3:16" x14ac:dyDescent="0.25"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</row>
    <row r="195" spans="3:16" x14ac:dyDescent="0.25"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</row>
    <row r="196" spans="3:16" x14ac:dyDescent="0.25"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</row>
    <row r="197" spans="3:16" x14ac:dyDescent="0.25"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</row>
    <row r="198" spans="3:16" x14ac:dyDescent="0.25"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</row>
    <row r="199" spans="3:16" x14ac:dyDescent="0.25"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</row>
    <row r="200" spans="3:16" x14ac:dyDescent="0.25"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</row>
    <row r="201" spans="3:16" x14ac:dyDescent="0.25"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</row>
    <row r="202" spans="3:16" x14ac:dyDescent="0.25"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</row>
  </sheetData>
  <sortState ref="A6:A17">
    <sortCondition ref="A5"/>
  </sortState>
  <mergeCells count="4">
    <mergeCell ref="C4:I4"/>
    <mergeCell ref="J4:N4"/>
    <mergeCell ref="O4:S4"/>
    <mergeCell ref="T4:U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ImportGreekGMAB_Click">
                <anchor moveWithCells="1" sizeWithCells="1">
                  <from>
                    <xdr:col>2</xdr:col>
                    <xdr:colOff>1390650</xdr:colOff>
                    <xdr:row>0</xdr:row>
                    <xdr:rowOff>38100</xdr:rowOff>
                  </from>
                  <to>
                    <xdr:col>3</xdr:col>
                    <xdr:colOff>1076325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RefreshGMAB_Click">
                <anchor moveWithCells="1" sizeWithCells="1">
                  <from>
                    <xdr:col>2</xdr:col>
                    <xdr:colOff>171450</xdr:colOff>
                    <xdr:row>0</xdr:row>
                    <xdr:rowOff>38100</xdr:rowOff>
                  </from>
                  <to>
                    <xdr:col>2</xdr:col>
                    <xdr:colOff>1276350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AE13"/>
  <sheetViews>
    <sheetView topLeftCell="T1" workbookViewId="0">
      <selection activeCell="T44" sqref="T44"/>
    </sheetView>
  </sheetViews>
  <sheetFormatPr defaultRowHeight="15" x14ac:dyDescent="0.25"/>
  <cols>
    <col min="2" max="3" width="20.42578125" customWidth="1"/>
    <col min="4" max="10" width="24.28515625" customWidth="1"/>
    <col min="11" max="11" width="20.7109375" customWidth="1"/>
    <col min="12" max="12" width="20.85546875" customWidth="1"/>
    <col min="13" max="13" width="17.85546875" customWidth="1"/>
    <col min="14" max="18" width="18.28515625" customWidth="1"/>
    <col min="19" max="19" width="18.28515625" bestFit="1" customWidth="1"/>
    <col min="20" max="20" width="22.5703125" customWidth="1"/>
    <col min="21" max="21" width="18.28515625" customWidth="1"/>
    <col min="22" max="22" width="20.140625" customWidth="1"/>
    <col min="23" max="23" width="19.28515625" customWidth="1"/>
    <col min="24" max="24" width="21.5703125" bestFit="1" customWidth="1"/>
    <col min="25" max="26" width="17.7109375" customWidth="1"/>
    <col min="27" max="27" width="19.7109375" customWidth="1"/>
    <col min="28" max="28" width="19.85546875" customWidth="1"/>
    <col min="29" max="29" width="18.140625" customWidth="1"/>
    <col min="30" max="30" width="15.5703125" bestFit="1" customWidth="1"/>
    <col min="31" max="31" width="16.5703125" bestFit="1" customWidth="1"/>
  </cols>
  <sheetData>
    <row r="3" spans="2:31" x14ac:dyDescent="0.25">
      <c r="B3" t="s">
        <v>0</v>
      </c>
      <c r="C3" s="7" t="s">
        <v>27</v>
      </c>
    </row>
    <row r="4" spans="2:31" x14ac:dyDescent="0.25">
      <c r="C4" s="6"/>
      <c r="D4" s="6"/>
      <c r="E4" s="6"/>
      <c r="F4" s="6"/>
      <c r="G4" s="6"/>
      <c r="H4" s="6"/>
      <c r="I4" s="6"/>
      <c r="J4" s="6"/>
      <c r="K4" s="6"/>
      <c r="L4" s="6"/>
      <c r="M4" s="6"/>
    </row>
    <row r="5" spans="2:31" x14ac:dyDescent="0.25">
      <c r="C5" t="s">
        <v>26</v>
      </c>
      <c r="D5" s="1" t="s">
        <v>11</v>
      </c>
      <c r="E5" s="1" t="s">
        <v>25</v>
      </c>
      <c r="F5" s="1" t="s">
        <v>22</v>
      </c>
      <c r="G5" s="1" t="s">
        <v>12</v>
      </c>
      <c r="H5" s="1" t="s">
        <v>63</v>
      </c>
      <c r="I5" s="1" t="s">
        <v>80</v>
      </c>
      <c r="J5" s="1" t="s">
        <v>14</v>
      </c>
      <c r="K5" s="1" t="s">
        <v>31</v>
      </c>
      <c r="L5" s="1" t="s">
        <v>29</v>
      </c>
      <c r="M5" s="1" t="s">
        <v>30</v>
      </c>
      <c r="N5" s="1" t="s">
        <v>39</v>
      </c>
      <c r="O5" s="1" t="s">
        <v>40</v>
      </c>
      <c r="P5" s="1" t="s">
        <v>54</v>
      </c>
      <c r="Q5" s="1" t="s">
        <v>55</v>
      </c>
      <c r="R5" s="1" t="s">
        <v>58</v>
      </c>
      <c r="S5" s="1" t="s">
        <v>37</v>
      </c>
      <c r="T5" s="1" t="s">
        <v>51</v>
      </c>
      <c r="U5" s="1" t="s">
        <v>49</v>
      </c>
      <c r="V5" s="1" t="s">
        <v>48</v>
      </c>
      <c r="W5" s="1" t="s">
        <v>61</v>
      </c>
      <c r="X5" s="1" t="s">
        <v>13</v>
      </c>
      <c r="Y5" s="1" t="s">
        <v>65</v>
      </c>
      <c r="Z5" s="1" t="s">
        <v>70</v>
      </c>
      <c r="AA5" s="1" t="s">
        <v>66</v>
      </c>
      <c r="AB5" s="1" t="s">
        <v>67</v>
      </c>
      <c r="AC5" s="1" t="s">
        <v>81</v>
      </c>
      <c r="AD5" s="1" t="s">
        <v>94</v>
      </c>
      <c r="AE5" s="1" t="s">
        <v>100</v>
      </c>
    </row>
    <row r="6" spans="2:31" x14ac:dyDescent="0.25">
      <c r="B6" s="2" t="s">
        <v>1</v>
      </c>
      <c r="C6" s="6">
        <v>20141120</v>
      </c>
      <c r="D6" s="3" t="s">
        <v>15</v>
      </c>
      <c r="E6" s="5" t="str">
        <f>B6&amp;"-Hedge-"</f>
        <v>DAP-Hedge-</v>
      </c>
      <c r="F6" s="4" t="s">
        <v>20</v>
      </c>
      <c r="G6" s="4" t="s">
        <v>21</v>
      </c>
      <c r="H6" s="3" t="s">
        <v>64</v>
      </c>
      <c r="I6" s="3" t="s">
        <v>78</v>
      </c>
      <c r="J6" s="3" t="s">
        <v>82</v>
      </c>
      <c r="K6" s="3" t="s">
        <v>83</v>
      </c>
      <c r="L6" s="3" t="s">
        <v>33</v>
      </c>
      <c r="M6" s="3" t="s">
        <v>32</v>
      </c>
      <c r="N6" s="3" t="s">
        <v>41</v>
      </c>
      <c r="O6" s="3" t="s">
        <v>79</v>
      </c>
      <c r="P6" s="3" t="s">
        <v>56</v>
      </c>
      <c r="Q6" s="3" t="s">
        <v>57</v>
      </c>
      <c r="R6" s="3" t="s">
        <v>59</v>
      </c>
      <c r="S6" s="12" t="s">
        <v>60</v>
      </c>
      <c r="T6" s="3" t="s">
        <v>50</v>
      </c>
      <c r="U6" s="3" t="s">
        <v>52</v>
      </c>
      <c r="V6" s="3" t="s">
        <v>53</v>
      </c>
      <c r="W6" s="3" t="s">
        <v>62</v>
      </c>
      <c r="X6" s="3" t="s">
        <v>23</v>
      </c>
      <c r="Y6" s="3" t="s">
        <v>68</v>
      </c>
      <c r="Z6" s="3" t="s">
        <v>71</v>
      </c>
      <c r="AA6" s="3" t="s">
        <v>69</v>
      </c>
      <c r="AB6" s="3" t="s">
        <v>72</v>
      </c>
      <c r="AC6" s="3" t="s">
        <v>24</v>
      </c>
      <c r="AD6" s="3" t="s">
        <v>96</v>
      </c>
      <c r="AE6" s="3" t="s">
        <v>99</v>
      </c>
    </row>
    <row r="7" spans="2:31" x14ac:dyDescent="0.25">
      <c r="B7" s="2" t="s">
        <v>2</v>
      </c>
      <c r="C7" s="6">
        <v>20141120</v>
      </c>
      <c r="D7" s="3" t="s">
        <v>16</v>
      </c>
      <c r="E7" s="5" t="str">
        <f t="shared" ref="E7:E12" si="0">B7&amp;"-Hedge-"</f>
        <v>ML-Hedge-</v>
      </c>
      <c r="F7" s="4" t="s">
        <v>20</v>
      </c>
      <c r="G7" s="4" t="s">
        <v>21</v>
      </c>
      <c r="H7" s="3" t="s">
        <v>64</v>
      </c>
      <c r="I7" s="3" t="s">
        <v>78</v>
      </c>
      <c r="J7" s="3" t="s">
        <v>98</v>
      </c>
      <c r="K7" s="3" t="s">
        <v>34</v>
      </c>
      <c r="L7" s="3" t="s">
        <v>33</v>
      </c>
      <c r="M7" s="3" t="s">
        <v>32</v>
      </c>
      <c r="N7" s="3" t="s">
        <v>97</v>
      </c>
      <c r="O7" s="3" t="s">
        <v>42</v>
      </c>
      <c r="P7" s="3" t="s">
        <v>56</v>
      </c>
      <c r="Q7" s="3" t="s">
        <v>57</v>
      </c>
      <c r="R7" s="3" t="s">
        <v>59</v>
      </c>
      <c r="S7" s="12" t="s">
        <v>60</v>
      </c>
      <c r="T7" s="3" t="s">
        <v>50</v>
      </c>
      <c r="U7" s="3" t="s">
        <v>52</v>
      </c>
      <c r="V7" s="3" t="s">
        <v>53</v>
      </c>
      <c r="W7" s="3" t="s">
        <v>62</v>
      </c>
      <c r="X7" s="3" t="s">
        <v>23</v>
      </c>
      <c r="Y7" s="3" t="s">
        <v>68</v>
      </c>
      <c r="Z7" s="3" t="s">
        <v>71</v>
      </c>
      <c r="AA7" s="3" t="s">
        <v>69</v>
      </c>
      <c r="AB7" s="3" t="s">
        <v>72</v>
      </c>
      <c r="AC7" s="3" t="s">
        <v>24</v>
      </c>
      <c r="AD7" s="3" t="s">
        <v>96</v>
      </c>
      <c r="AE7" s="3" t="s">
        <v>99</v>
      </c>
    </row>
    <row r="8" spans="2:31" x14ac:dyDescent="0.25">
      <c r="B8" s="2" t="s">
        <v>3</v>
      </c>
      <c r="C8" s="6">
        <v>20141119</v>
      </c>
      <c r="D8" s="3" t="s">
        <v>3</v>
      </c>
      <c r="E8" s="5" t="str">
        <f t="shared" si="0"/>
        <v>USL-Hedge-</v>
      </c>
      <c r="F8" s="4" t="s">
        <v>20</v>
      </c>
      <c r="G8" s="4" t="s">
        <v>21</v>
      </c>
      <c r="H8" s="3" t="s">
        <v>64</v>
      </c>
      <c r="I8" s="3" t="s">
        <v>78</v>
      </c>
      <c r="J8" s="3" t="s">
        <v>98</v>
      </c>
      <c r="K8" s="3" t="s">
        <v>34</v>
      </c>
      <c r="L8" s="3" t="s">
        <v>33</v>
      </c>
      <c r="M8" s="3" t="s">
        <v>32</v>
      </c>
      <c r="N8" s="3" t="s">
        <v>97</v>
      </c>
      <c r="O8" s="3" t="s">
        <v>42</v>
      </c>
      <c r="P8" s="3" t="s">
        <v>56</v>
      </c>
      <c r="Q8" s="3" t="s">
        <v>57</v>
      </c>
      <c r="R8" s="3" t="s">
        <v>59</v>
      </c>
      <c r="S8" s="12" t="s">
        <v>60</v>
      </c>
      <c r="T8" s="3" t="s">
        <v>50</v>
      </c>
      <c r="U8" s="3" t="s">
        <v>52</v>
      </c>
      <c r="V8" s="3" t="s">
        <v>53</v>
      </c>
      <c r="W8" s="3" t="s">
        <v>62</v>
      </c>
      <c r="X8" s="3" t="s">
        <v>23</v>
      </c>
      <c r="Y8" s="3" t="s">
        <v>68</v>
      </c>
      <c r="Z8" s="3" t="s">
        <v>71</v>
      </c>
      <c r="AA8" s="3" t="s">
        <v>69</v>
      </c>
      <c r="AB8" s="3" t="s">
        <v>72</v>
      </c>
      <c r="AC8" s="3" t="s">
        <v>24</v>
      </c>
      <c r="AD8" s="3" t="s">
        <v>96</v>
      </c>
      <c r="AE8" s="3" t="s">
        <v>99</v>
      </c>
    </row>
    <row r="9" spans="2:31" x14ac:dyDescent="0.25">
      <c r="B9" s="2" t="s">
        <v>4</v>
      </c>
      <c r="C9" s="6">
        <v>20141119</v>
      </c>
      <c r="D9" s="3" t="s">
        <v>17</v>
      </c>
      <c r="E9" s="5" t="str">
        <f t="shared" si="0"/>
        <v>VALIC-GMWB-Hedge-</v>
      </c>
      <c r="F9" s="4" t="s">
        <v>20</v>
      </c>
      <c r="G9" s="4" t="s">
        <v>21</v>
      </c>
      <c r="H9" s="3" t="s">
        <v>64</v>
      </c>
      <c r="I9" s="3" t="s">
        <v>78</v>
      </c>
      <c r="J9" s="3" t="s">
        <v>98</v>
      </c>
      <c r="K9" s="3" t="s">
        <v>34</v>
      </c>
      <c r="L9" s="3" t="s">
        <v>33</v>
      </c>
      <c r="M9" s="3" t="s">
        <v>32</v>
      </c>
      <c r="N9" s="3" t="s">
        <v>97</v>
      </c>
      <c r="O9" s="3" t="s">
        <v>42</v>
      </c>
      <c r="P9" s="3" t="s">
        <v>56</v>
      </c>
      <c r="Q9" s="3" t="s">
        <v>57</v>
      </c>
      <c r="R9" s="3" t="s">
        <v>59</v>
      </c>
      <c r="S9" s="12" t="s">
        <v>60</v>
      </c>
      <c r="T9" s="3" t="s">
        <v>50</v>
      </c>
      <c r="U9" s="3" t="s">
        <v>52</v>
      </c>
      <c r="V9" s="3" t="s">
        <v>53</v>
      </c>
      <c r="W9" s="3" t="s">
        <v>62</v>
      </c>
      <c r="X9" s="3" t="s">
        <v>23</v>
      </c>
      <c r="Y9" s="3" t="s">
        <v>68</v>
      </c>
      <c r="Z9" s="3" t="s">
        <v>71</v>
      </c>
      <c r="AA9" s="3" t="s">
        <v>69</v>
      </c>
      <c r="AB9" s="3" t="s">
        <v>72</v>
      </c>
      <c r="AC9" s="3" t="s">
        <v>24</v>
      </c>
      <c r="AD9" s="3" t="s">
        <v>96</v>
      </c>
      <c r="AE9" s="3" t="s">
        <v>99</v>
      </c>
    </row>
    <row r="10" spans="2:31" x14ac:dyDescent="0.25">
      <c r="B10" s="2" t="s">
        <v>5</v>
      </c>
      <c r="C10" s="6">
        <v>20141119</v>
      </c>
      <c r="D10" s="3" t="s">
        <v>18</v>
      </c>
      <c r="E10" s="5" t="str">
        <f t="shared" si="0"/>
        <v>VALIC-VIX-DAP-Hedge-</v>
      </c>
      <c r="F10" s="4" t="s">
        <v>20</v>
      </c>
      <c r="G10" s="4" t="s">
        <v>21</v>
      </c>
      <c r="H10" s="3" t="s">
        <v>64</v>
      </c>
      <c r="I10" s="3" t="s">
        <v>78</v>
      </c>
      <c r="J10" s="3" t="s">
        <v>98</v>
      </c>
      <c r="K10" s="3" t="s">
        <v>34</v>
      </c>
      <c r="L10" s="3" t="s">
        <v>33</v>
      </c>
      <c r="M10" s="3" t="s">
        <v>32</v>
      </c>
      <c r="N10" s="3" t="s">
        <v>97</v>
      </c>
      <c r="O10" s="3" t="s">
        <v>42</v>
      </c>
      <c r="P10" s="3" t="s">
        <v>56</v>
      </c>
      <c r="Q10" s="3" t="s">
        <v>57</v>
      </c>
      <c r="R10" s="3" t="s">
        <v>59</v>
      </c>
      <c r="S10" s="12" t="s">
        <v>60</v>
      </c>
      <c r="T10" s="3" t="s">
        <v>50</v>
      </c>
      <c r="U10" s="3" t="s">
        <v>52</v>
      </c>
      <c r="V10" s="3" t="s">
        <v>53</v>
      </c>
      <c r="W10" s="3" t="s">
        <v>62</v>
      </c>
      <c r="X10" s="3" t="s">
        <v>23</v>
      </c>
      <c r="Y10" s="3" t="s">
        <v>68</v>
      </c>
      <c r="Z10" s="3" t="s">
        <v>71</v>
      </c>
      <c r="AA10" s="3" t="s">
        <v>69</v>
      </c>
      <c r="AB10" s="3" t="s">
        <v>72</v>
      </c>
      <c r="AC10" s="3" t="s">
        <v>24</v>
      </c>
      <c r="AD10" s="3" t="s">
        <v>96</v>
      </c>
      <c r="AE10" s="3" t="s">
        <v>99</v>
      </c>
    </row>
    <row r="11" spans="2:31" x14ac:dyDescent="0.25">
      <c r="B11" s="2" t="s">
        <v>6</v>
      </c>
      <c r="C11" s="6">
        <v>20141118</v>
      </c>
      <c r="D11" s="3" t="s">
        <v>19</v>
      </c>
      <c r="E11" s="5" t="str">
        <f t="shared" si="0"/>
        <v>VIX-Hedge-</v>
      </c>
      <c r="F11" s="4" t="s">
        <v>20</v>
      </c>
      <c r="G11" s="4" t="s">
        <v>21</v>
      </c>
      <c r="H11" s="3" t="s">
        <v>64</v>
      </c>
      <c r="I11" s="3" t="s">
        <v>78</v>
      </c>
      <c r="J11" s="3" t="s">
        <v>98</v>
      </c>
      <c r="K11" s="3" t="s">
        <v>34</v>
      </c>
      <c r="L11" s="3" t="s">
        <v>33</v>
      </c>
      <c r="M11" s="3" t="s">
        <v>32</v>
      </c>
      <c r="N11" s="3" t="s">
        <v>97</v>
      </c>
      <c r="O11" s="3" t="s">
        <v>42</v>
      </c>
      <c r="P11" s="3" t="s">
        <v>56</v>
      </c>
      <c r="Q11" s="3" t="s">
        <v>57</v>
      </c>
      <c r="R11" s="3" t="s">
        <v>59</v>
      </c>
      <c r="S11" s="12" t="s">
        <v>60</v>
      </c>
      <c r="T11" s="3" t="s">
        <v>50</v>
      </c>
      <c r="U11" s="3" t="s">
        <v>52</v>
      </c>
      <c r="V11" s="3" t="s">
        <v>53</v>
      </c>
      <c r="W11" s="3" t="s">
        <v>62</v>
      </c>
      <c r="X11" s="3" t="s">
        <v>23</v>
      </c>
      <c r="Y11" s="3" t="s">
        <v>68</v>
      </c>
      <c r="Z11" s="3" t="s">
        <v>71</v>
      </c>
      <c r="AA11" s="3" t="s">
        <v>69</v>
      </c>
      <c r="AB11" s="3" t="s">
        <v>72</v>
      </c>
      <c r="AC11" s="3" t="s">
        <v>24</v>
      </c>
      <c r="AD11" s="3" t="s">
        <v>96</v>
      </c>
      <c r="AE11" s="3" t="s">
        <v>99</v>
      </c>
    </row>
    <row r="12" spans="2:31" x14ac:dyDescent="0.25">
      <c r="B12" s="2" t="s">
        <v>7</v>
      </c>
      <c r="C12" s="6">
        <v>20141120</v>
      </c>
      <c r="D12" s="3" t="s">
        <v>7</v>
      </c>
      <c r="E12" s="5" t="str">
        <f t="shared" si="0"/>
        <v>GMAB-Hedge-</v>
      </c>
      <c r="F12" s="4" t="s">
        <v>20</v>
      </c>
      <c r="G12" s="4" t="s">
        <v>21</v>
      </c>
      <c r="H12" s="3" t="s">
        <v>64</v>
      </c>
      <c r="I12" s="3" t="s">
        <v>78</v>
      </c>
      <c r="J12" s="3" t="s">
        <v>98</v>
      </c>
      <c r="K12" s="3" t="s">
        <v>34</v>
      </c>
      <c r="L12" s="3" t="s">
        <v>33</v>
      </c>
      <c r="M12" s="3" t="s">
        <v>32</v>
      </c>
      <c r="N12" s="3" t="s">
        <v>97</v>
      </c>
      <c r="O12" s="3" t="s">
        <v>42</v>
      </c>
      <c r="P12" s="3" t="s">
        <v>56</v>
      </c>
      <c r="Q12" s="3" t="s">
        <v>57</v>
      </c>
      <c r="R12" s="3" t="s">
        <v>59</v>
      </c>
      <c r="S12" s="12" t="s">
        <v>60</v>
      </c>
      <c r="T12" s="3" t="s">
        <v>50</v>
      </c>
      <c r="U12" s="3" t="s">
        <v>52</v>
      </c>
      <c r="V12" s="3" t="s">
        <v>53</v>
      </c>
      <c r="W12" s="3" t="s">
        <v>62</v>
      </c>
      <c r="X12" s="3" t="s">
        <v>23</v>
      </c>
      <c r="Y12" s="3" t="s">
        <v>68</v>
      </c>
      <c r="Z12" s="3" t="s">
        <v>71</v>
      </c>
      <c r="AA12" s="3" t="s">
        <v>69</v>
      </c>
      <c r="AB12" s="3" t="s">
        <v>72</v>
      </c>
      <c r="AC12" s="3" t="s">
        <v>24</v>
      </c>
      <c r="AD12" s="3" t="s">
        <v>96</v>
      </c>
      <c r="AE12" s="3" t="s">
        <v>99</v>
      </c>
    </row>
    <row r="13" spans="2:31" s="6" customFormat="1" x14ac:dyDescent="0.25">
      <c r="B13" s="6">
        <v>0</v>
      </c>
      <c r="C13" s="6">
        <f>B13+1</f>
        <v>1</v>
      </c>
      <c r="D13" s="6">
        <f t="shared" ref="D13:AC13" si="1">C13+1</f>
        <v>2</v>
      </c>
      <c r="E13" s="6">
        <f t="shared" si="1"/>
        <v>3</v>
      </c>
      <c r="F13" s="6">
        <f t="shared" si="1"/>
        <v>4</v>
      </c>
      <c r="G13" s="6">
        <f t="shared" si="1"/>
        <v>5</v>
      </c>
      <c r="H13" s="6">
        <f t="shared" si="1"/>
        <v>6</v>
      </c>
      <c r="I13" s="6">
        <f t="shared" si="1"/>
        <v>7</v>
      </c>
      <c r="J13" s="6">
        <f t="shared" si="1"/>
        <v>8</v>
      </c>
      <c r="K13" s="6">
        <f t="shared" si="1"/>
        <v>9</v>
      </c>
      <c r="L13" s="6">
        <f t="shared" si="1"/>
        <v>10</v>
      </c>
      <c r="M13" s="6">
        <f t="shared" si="1"/>
        <v>11</v>
      </c>
      <c r="N13" s="6">
        <f t="shared" si="1"/>
        <v>12</v>
      </c>
      <c r="O13" s="6">
        <f t="shared" si="1"/>
        <v>13</v>
      </c>
      <c r="P13" s="6">
        <f t="shared" si="1"/>
        <v>14</v>
      </c>
      <c r="Q13" s="6">
        <f t="shared" si="1"/>
        <v>15</v>
      </c>
      <c r="R13" s="6">
        <f t="shared" si="1"/>
        <v>16</v>
      </c>
      <c r="S13" s="6">
        <f t="shared" si="1"/>
        <v>17</v>
      </c>
      <c r="T13" s="6">
        <f t="shared" si="1"/>
        <v>18</v>
      </c>
      <c r="U13" s="6">
        <f t="shared" si="1"/>
        <v>19</v>
      </c>
      <c r="V13" s="6">
        <f t="shared" si="1"/>
        <v>20</v>
      </c>
      <c r="W13" s="6">
        <f t="shared" si="1"/>
        <v>21</v>
      </c>
      <c r="X13" s="6">
        <f t="shared" si="1"/>
        <v>22</v>
      </c>
      <c r="Y13" s="6">
        <f t="shared" si="1"/>
        <v>23</v>
      </c>
      <c r="Z13" s="6">
        <f t="shared" si="1"/>
        <v>24</v>
      </c>
      <c r="AA13" s="6">
        <f t="shared" si="1"/>
        <v>25</v>
      </c>
      <c r="AB13" s="6">
        <f t="shared" si="1"/>
        <v>26</v>
      </c>
      <c r="AC13" s="6">
        <f t="shared" si="1"/>
        <v>27</v>
      </c>
      <c r="AD13" s="6">
        <f t="shared" ref="AD13" si="2">AC13+1</f>
        <v>28</v>
      </c>
      <c r="AE13" s="6">
        <f t="shared" ref="AE13" si="3">AD13+1</f>
        <v>29</v>
      </c>
    </row>
  </sheetData>
  <hyperlinks>
    <hyperlink ref="C3" r:id="rId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92"/>
  <sheetViews>
    <sheetView tabSelected="1" workbookViewId="0">
      <pane ySplit="4" topLeftCell="A5" activePane="bottomLeft" state="frozen"/>
      <selection pane="bottomLeft" activeCell="D7" sqref="D7"/>
    </sheetView>
  </sheetViews>
  <sheetFormatPr defaultRowHeight="15" x14ac:dyDescent="0.25"/>
  <cols>
    <col min="1" max="1" width="14.7109375" bestFit="1" customWidth="1"/>
    <col min="2" max="2" width="20.7109375" style="10" customWidth="1"/>
    <col min="3" max="8" width="18.42578125" style="10" customWidth="1"/>
    <col min="9" max="9" width="18.42578125" customWidth="1"/>
  </cols>
  <sheetData>
    <row r="1" spans="1:9" x14ac:dyDescent="0.25">
      <c r="A1" t="s">
        <v>101</v>
      </c>
      <c r="B1" s="10" t="s">
        <v>8</v>
      </c>
    </row>
    <row r="2" spans="1:9" x14ac:dyDescent="0.25">
      <c r="A2" t="s">
        <v>102</v>
      </c>
      <c r="B2" s="10">
        <f>MATCH(B1,DAP!A5:O5,0)</f>
        <v>5</v>
      </c>
    </row>
    <row r="3" spans="1:9" x14ac:dyDescent="0.25">
      <c r="A3" s="37" t="s">
        <v>103</v>
      </c>
      <c r="B3" s="33"/>
      <c r="C3" s="33"/>
      <c r="D3" s="33"/>
    </row>
    <row r="4" spans="1:9" x14ac:dyDescent="0.25">
      <c r="A4" s="6" t="s">
        <v>47</v>
      </c>
      <c r="B4" s="10" t="s">
        <v>1</v>
      </c>
      <c r="C4" s="10" t="s">
        <v>2</v>
      </c>
      <c r="D4" s="10" t="s">
        <v>3</v>
      </c>
      <c r="E4" s="10" t="s">
        <v>4</v>
      </c>
      <c r="F4" s="10" t="s">
        <v>5</v>
      </c>
      <c r="G4" s="10" t="s">
        <v>6</v>
      </c>
      <c r="H4" s="10" t="s">
        <v>7</v>
      </c>
      <c r="I4" s="36" t="s">
        <v>89</v>
      </c>
    </row>
    <row r="5" spans="1:9" x14ac:dyDescent="0.25">
      <c r="A5" s="34">
        <v>20141231</v>
      </c>
      <c r="B5" s="35">
        <f>VLOOKUP($A5,DAP!$A$6:$U$93,$B$2,FALSE)</f>
        <v>667603485.65405416</v>
      </c>
      <c r="C5" s="35">
        <f>VLOOKUP($A5,ML!$A$6:$U$38,$B$2,FALSE)</f>
        <v>188604438.8307519</v>
      </c>
      <c r="D5" s="35">
        <f>VLOOKUP($A5,USL!$A$6:$U$38,$B$2,FALSE)</f>
        <v>70096904.222228169</v>
      </c>
      <c r="E5" s="35">
        <f>VLOOKUP($A5,'VALIC-GMWB'!$A$6:$U$38,$B$2,FALSE)</f>
        <v>87740115.127978057</v>
      </c>
      <c r="F5" s="35">
        <f>VLOOKUP($A5,'VALIC-VIX-DAP'!$A$6:$U$38,$B$2,FALSE)</f>
        <v>87069953.900425434</v>
      </c>
      <c r="G5" s="35">
        <f>VLOOKUP($A5,VIX!$A$6:$U$38,$B$2,FALSE)</f>
        <v>154271751.39145422</v>
      </c>
      <c r="H5" s="35">
        <f>VLOOKUP($A5,GMAB!$A$6:$U$38,$B$2,FALSE)</f>
        <v>612351.33594535291</v>
      </c>
      <c r="I5" s="19">
        <f>SUM(B5:H5)</f>
        <v>1255999000.4628375</v>
      </c>
    </row>
    <row r="6" spans="1:9" x14ac:dyDescent="0.25">
      <c r="A6" s="6">
        <v>20150102</v>
      </c>
      <c r="B6" s="11">
        <f>VLOOKUP($A6,DAP!$A$6:$U$93,5,FALSE)</f>
        <v>679216001.95260048</v>
      </c>
      <c r="C6" s="11">
        <f>IF(ISNA(VLOOKUP($A6,ML!$A$6:$U$38,$B$2,FALSE)),C5,VLOOKUP(A6,ML!$A$6:$U$38,$B$2,FALSE))</f>
        <v>188604438.8307519</v>
      </c>
      <c r="D6" s="11">
        <f>IF(ISNA(VLOOKUP($A6,USL!$A$6:$U$38,$B$2,FALSE)),D5,VLOOKUP($A6,USL!$A$6:$U$38,$B$2,FALSE))</f>
        <v>70096904.222228169</v>
      </c>
      <c r="E6" s="11">
        <f>IF(ISNA(VLOOKUP($A6,'VALIC-GMWB'!$A$6:$U$38,$B$2,FALSE)),E5,VLOOKUP($A6,'VALIC-GMWB'!$A$6:$U$38,$B$2,FALSE))</f>
        <v>87740115.127978057</v>
      </c>
      <c r="F6" s="11">
        <f>IF(ISNA(VLOOKUP($A6,'VALIC-VIX-DAP'!$A$6:$U$38,$B$2,FALSE)),F5,VLOOKUP($A6,'VALIC-VIX-DAP'!$A$6:$U$38,$B$2,FALSE))</f>
        <v>87069953.900425434</v>
      </c>
      <c r="G6" s="11">
        <f>IF(ISNA(VLOOKUP($A6,VIX!$A$6:$U$38,$B$2,FALSE)),G5,VLOOKUP($A6,VIX!$A$6:$U$38,$B$2,FALSE))</f>
        <v>156275486.12468195</v>
      </c>
      <c r="H6" s="11">
        <f>IF(ISNA(VLOOKUP($A6,GMAB!$A$6:$U$38,$B$2,FALSE)),H5,VLOOKUP($A6,GMAB!$A$6:$U$38,$B$2,FALSE))</f>
        <v>612351.33594535291</v>
      </c>
      <c r="I6" s="19">
        <f t="shared" ref="I6:I69" si="0">SUM(B6:H6)</f>
        <v>1269615251.4946115</v>
      </c>
    </row>
    <row r="7" spans="1:9" x14ac:dyDescent="0.25">
      <c r="A7" s="6">
        <v>20150105</v>
      </c>
      <c r="B7" s="11">
        <f>VLOOKUP(A7,DAP!$A$6:$U$93,5,FALSE)</f>
        <v>706475180.22331548</v>
      </c>
      <c r="C7" s="11">
        <f>IF(ISNA(VLOOKUP($A7,ML!$A$6:$U$38,$B$2,FALSE)),C6,VLOOKUP(A7,ML!$A$6:$U$38,$B$2,FALSE))</f>
        <v>188604438.8307519</v>
      </c>
      <c r="D7" s="11">
        <f>IF(ISNA(VLOOKUP($A7,USL!$A$6:$U$38,$B$2,FALSE)),D6,VLOOKUP($A7,USL!$A$6:$U$38,$B$2,FALSE))</f>
        <v>74079366.161317527</v>
      </c>
      <c r="E7" s="11">
        <f>IF(ISNA(VLOOKUP($A7,'VALIC-GMWB'!$A$6:$U$38,$B$2,FALSE)),E6,VLOOKUP($A7,'VALIC-GMWB'!$A$6:$U$38,$B$2,FALSE))</f>
        <v>91610949.654144138</v>
      </c>
      <c r="F7" s="11">
        <f>IF(ISNA(VLOOKUP($A7,'VALIC-VIX-DAP'!$A$6:$U$38,$B$2,FALSE)),F6,VLOOKUP($A7,'VALIC-VIX-DAP'!$A$6:$U$38,$B$2,FALSE))</f>
        <v>91003412.128569603</v>
      </c>
      <c r="G7" s="11">
        <f>IF(ISNA(VLOOKUP($A7,VIX!$A$6:$U$38,$B$2,FALSE)),G6,VLOOKUP($A7,VIX!$A$6:$U$38,$B$2,FALSE))</f>
        <v>156275486.12468195</v>
      </c>
      <c r="H7" s="11">
        <f>IF(ISNA(VLOOKUP($A7,GMAB!$A$6:$U$38,$B$2,FALSE)),H6,VLOOKUP($A7,GMAB!$A$6:$U$38,$B$2,FALSE))</f>
        <v>612351.33594535291</v>
      </c>
      <c r="I7" s="19">
        <f t="shared" si="0"/>
        <v>1308661184.4587262</v>
      </c>
    </row>
    <row r="8" spans="1:9" x14ac:dyDescent="0.25">
      <c r="A8" s="6">
        <v>20150106</v>
      </c>
      <c r="B8" s="11">
        <f>VLOOKUP(A8,DAP!$A$6:$U$93,5,FALSE)</f>
        <v>734478460.59892559</v>
      </c>
      <c r="C8" s="11">
        <f>IF(ISNA(VLOOKUP($A8,ML!$A$6:$U$38,$B$2,FALSE)),C7,VLOOKUP(A8,ML!$A$6:$U$38,$B$2,FALSE))</f>
        <v>203879938.92942595</v>
      </c>
      <c r="D8" s="11">
        <f>IF(ISNA(VLOOKUP($A8,USL!$A$6:$U$38,$B$2,FALSE)),D7,VLOOKUP($A8,USL!$A$6:$U$38,$B$2,FALSE))</f>
        <v>74079366.161317527</v>
      </c>
      <c r="E8" s="11">
        <f>IF(ISNA(VLOOKUP($A8,'VALIC-GMWB'!$A$6:$U$38,$B$2,FALSE)),E7,VLOOKUP($A8,'VALIC-GMWB'!$A$6:$U$38,$B$2,FALSE))</f>
        <v>91610949.654144138</v>
      </c>
      <c r="F8" s="11">
        <f>IF(ISNA(VLOOKUP($A8,'VALIC-VIX-DAP'!$A$6:$U$38,$B$2,FALSE)),F7,VLOOKUP($A8,'VALIC-VIX-DAP'!$A$6:$U$38,$B$2,FALSE))</f>
        <v>91003412.128569603</v>
      </c>
      <c r="G8" s="11">
        <f>IF(ISNA(VLOOKUP($A8,VIX!$A$6:$U$38,$B$2,FALSE)),G7,VLOOKUP($A8,VIX!$A$6:$U$38,$B$2,FALSE))</f>
        <v>156275486.12468195</v>
      </c>
      <c r="H8" s="11">
        <f>IF(ISNA(VLOOKUP($A8,GMAB!$A$6:$U$38,$B$2,FALSE)),H7,VLOOKUP($A8,GMAB!$A$6:$U$38,$B$2,FALSE))</f>
        <v>670491.102072604</v>
      </c>
      <c r="I8" s="19">
        <f t="shared" si="0"/>
        <v>1351998104.6991374</v>
      </c>
    </row>
    <row r="9" spans="1:9" x14ac:dyDescent="0.25">
      <c r="A9" s="6">
        <v>20150107</v>
      </c>
      <c r="B9" s="11">
        <f>VLOOKUP(A9,DAP!$A$6:$U$93,5,FALSE)</f>
        <v>720876054.23984075</v>
      </c>
      <c r="C9" s="11">
        <f>IF(ISNA(VLOOKUP($A9,ML!$A$6:$U$38,$B$2,FALSE)),C8,VLOOKUP(A9,ML!$A$6:$U$38,$B$2,FALSE))</f>
        <v>203879938.92942595</v>
      </c>
      <c r="D9" s="11">
        <f>IF(ISNA(VLOOKUP($A9,USL!$A$6:$U$38,$B$2,FALSE)),D8,VLOOKUP($A9,USL!$A$6:$U$38,$B$2,FALSE))</f>
        <v>74079366.161317527</v>
      </c>
      <c r="E9" s="11">
        <f>IF(ISNA(VLOOKUP($A9,'VALIC-GMWB'!$A$6:$U$38,$B$2,FALSE)),E8,VLOOKUP($A9,'VALIC-GMWB'!$A$6:$U$38,$B$2,FALSE))</f>
        <v>91610949.654144138</v>
      </c>
      <c r="F9" s="11">
        <f>IF(ISNA(VLOOKUP($A9,'VALIC-VIX-DAP'!$A$6:$U$38,$B$2,FALSE)),F8,VLOOKUP($A9,'VALIC-VIX-DAP'!$A$6:$U$38,$B$2,FALSE))</f>
        <v>91003412.128569603</v>
      </c>
      <c r="G9" s="11">
        <f>IF(ISNA(VLOOKUP($A9,VIX!$A$6:$U$38,$B$2,FALSE)),G8,VLOOKUP($A9,VIX!$A$6:$U$38,$B$2,FALSE))</f>
        <v>164395853.33136368</v>
      </c>
      <c r="H9" s="11">
        <f>IF(ISNA(VLOOKUP($A9,GMAB!$A$6:$U$38,$B$2,FALSE)),H8,VLOOKUP($A9,GMAB!$A$6:$U$38,$B$2,FALSE))</f>
        <v>670491.102072604</v>
      </c>
      <c r="I9" s="19">
        <f t="shared" si="0"/>
        <v>1346516065.5467343</v>
      </c>
    </row>
    <row r="10" spans="1:9" x14ac:dyDescent="0.25">
      <c r="A10" s="6">
        <v>20150108</v>
      </c>
      <c r="B10" s="11">
        <f>VLOOKUP(A10,DAP!$A$6:$U$93,5,FALSE)</f>
        <v>702407202.17804074</v>
      </c>
      <c r="C10" s="11">
        <f>IF(ISNA(VLOOKUP($A10,ML!$A$6:$U$38,$B$2,FALSE)),C9,VLOOKUP(A10,ML!$A$6:$U$38,$B$2,FALSE))</f>
        <v>203879938.92942595</v>
      </c>
      <c r="D10" s="11">
        <f>IF(ISNA(VLOOKUP($A10,USL!$A$6:$U$38,$B$2,FALSE)),D9,VLOOKUP($A10,USL!$A$6:$U$38,$B$2,FALSE))</f>
        <v>75698031.875759542</v>
      </c>
      <c r="E10" s="11">
        <f>IF(ISNA(VLOOKUP($A10,'VALIC-GMWB'!$A$6:$U$38,$B$2,FALSE)),E9,VLOOKUP($A10,'VALIC-GMWB'!$A$6:$U$38,$B$2,FALSE))</f>
        <v>90961126.751622587</v>
      </c>
      <c r="F10" s="11">
        <f>IF(ISNA(VLOOKUP($A10,'VALIC-VIX-DAP'!$A$6:$U$38,$B$2,FALSE)),F9,VLOOKUP($A10,'VALIC-VIX-DAP'!$A$6:$U$38,$B$2,FALSE))</f>
        <v>90680288.35857296</v>
      </c>
      <c r="G10" s="11">
        <f>IF(ISNA(VLOOKUP($A10,VIX!$A$6:$U$38,$B$2,FALSE)),G9,VLOOKUP($A10,VIX!$A$6:$U$38,$B$2,FALSE))</f>
        <v>164395853.33136368</v>
      </c>
      <c r="H10" s="11">
        <f>IF(ISNA(VLOOKUP($A10,GMAB!$A$6:$U$38,$B$2,FALSE)),H9,VLOOKUP($A10,GMAB!$A$6:$U$38,$B$2,FALSE))</f>
        <v>670491.102072604</v>
      </c>
      <c r="I10" s="19">
        <f t="shared" si="0"/>
        <v>1328692932.5268583</v>
      </c>
    </row>
    <row r="11" spans="1:9" x14ac:dyDescent="0.25">
      <c r="A11" s="6">
        <v>20150109</v>
      </c>
      <c r="B11" s="11">
        <f>VLOOKUP(A11,DAP!$A$6:$U$93,5,FALSE)</f>
        <v>722768890.63190198</v>
      </c>
      <c r="C11" s="11">
        <f>IF(ISNA(VLOOKUP($A11,ML!$A$6:$U$38,$B$2,FALSE)),C10,VLOOKUP(A11,ML!$A$6:$U$38,$B$2,FALSE))</f>
        <v>199984422.71373945</v>
      </c>
      <c r="D11" s="11">
        <f>IF(ISNA(VLOOKUP($A11,USL!$A$6:$U$38,$B$2,FALSE)),D10,VLOOKUP($A11,USL!$A$6:$U$38,$B$2,FALSE))</f>
        <v>75698031.875759542</v>
      </c>
      <c r="E11" s="11">
        <f>IF(ISNA(VLOOKUP($A11,'VALIC-GMWB'!$A$6:$U$38,$B$2,FALSE)),E10,VLOOKUP($A11,'VALIC-GMWB'!$A$6:$U$38,$B$2,FALSE))</f>
        <v>90961126.751622587</v>
      </c>
      <c r="F11" s="11">
        <f>IF(ISNA(VLOOKUP($A11,'VALIC-VIX-DAP'!$A$6:$U$38,$B$2,FALSE)),F10,VLOOKUP($A11,'VALIC-VIX-DAP'!$A$6:$U$38,$B$2,FALSE))</f>
        <v>90680288.35857296</v>
      </c>
      <c r="G11" s="11">
        <f>IF(ISNA(VLOOKUP($A11,VIX!$A$6:$U$38,$B$2,FALSE)),G10,VLOOKUP($A11,VIX!$A$6:$U$38,$B$2,FALSE))</f>
        <v>164395853.33136368</v>
      </c>
      <c r="H11" s="11">
        <f>IF(ISNA(VLOOKUP($A11,GMAB!$A$6:$U$38,$B$2,FALSE)),H10,VLOOKUP($A11,GMAB!$A$6:$U$38,$B$2,FALSE))</f>
        <v>623676.97827430069</v>
      </c>
      <c r="I11" s="19">
        <f t="shared" si="0"/>
        <v>1345112290.6412346</v>
      </c>
    </row>
    <row r="12" spans="1:9" x14ac:dyDescent="0.25">
      <c r="A12" s="6">
        <v>20150112</v>
      </c>
      <c r="B12" s="11">
        <f>VLOOKUP(A12,DAP!$A$6:$U$93,5,FALSE)</f>
        <v>736090849.57519531</v>
      </c>
      <c r="C12" s="11">
        <f>IF(ISNA(VLOOKUP($A12,ML!$A$6:$U$38,$B$2,FALSE)),C11,VLOOKUP(A12,ML!$A$6:$U$38,$B$2,FALSE))</f>
        <v>199984422.71373945</v>
      </c>
      <c r="D12" s="11">
        <f>IF(ISNA(VLOOKUP($A12,USL!$A$6:$U$38,$B$2,FALSE)),D11,VLOOKUP($A12,USL!$A$6:$U$38,$B$2,FALSE))</f>
        <v>75698031.875759542</v>
      </c>
      <c r="E12" s="11">
        <f>IF(ISNA(VLOOKUP($A12,'VALIC-GMWB'!$A$6:$U$38,$B$2,FALSE)),E11,VLOOKUP($A12,'VALIC-GMWB'!$A$6:$U$38,$B$2,FALSE))</f>
        <v>90961126.751622587</v>
      </c>
      <c r="F12" s="11">
        <f>IF(ISNA(VLOOKUP($A12,'VALIC-VIX-DAP'!$A$6:$U$38,$B$2,FALSE)),F11,VLOOKUP($A12,'VALIC-VIX-DAP'!$A$6:$U$38,$B$2,FALSE))</f>
        <v>90680288.35857296</v>
      </c>
      <c r="G12" s="11">
        <f>IF(ISNA(VLOOKUP($A12,VIX!$A$6:$U$38,$B$2,FALSE)),G11,VLOOKUP($A12,VIX!$A$6:$U$38,$B$2,FALSE))</f>
        <v>165632182.89807796</v>
      </c>
      <c r="H12" s="11">
        <f>IF(ISNA(VLOOKUP($A12,GMAB!$A$6:$U$38,$B$2,FALSE)),H11,VLOOKUP($A12,GMAB!$A$6:$U$38,$B$2,FALSE))</f>
        <v>623676.97827430069</v>
      </c>
      <c r="I12" s="19">
        <f t="shared" si="0"/>
        <v>1359670579.1512423</v>
      </c>
    </row>
    <row r="13" spans="1:9" x14ac:dyDescent="0.25">
      <c r="A13" s="6">
        <v>20150113</v>
      </c>
      <c r="B13" s="11">
        <f>VLOOKUP(A13,DAP!$A$6:$U$93,5,FALSE)</f>
        <v>734647638.74983788</v>
      </c>
      <c r="C13" s="11">
        <f>IF(ISNA(VLOOKUP($A13,ML!$A$6:$U$38,$B$2,FALSE)),C12,VLOOKUP(A13,ML!$A$6:$U$38,$B$2,FALSE))</f>
        <v>199984422.71373945</v>
      </c>
      <c r="D13" s="11">
        <f>IF(ISNA(VLOOKUP($A13,USL!$A$6:$U$38,$B$2,FALSE)),D12,VLOOKUP($A13,USL!$A$6:$U$38,$B$2,FALSE))</f>
        <v>78832895.8010903</v>
      </c>
      <c r="E13" s="11">
        <f>IF(ISNA(VLOOKUP($A13,'VALIC-GMWB'!$A$6:$U$38,$B$2,FALSE)),E12,VLOOKUP($A13,'VALIC-GMWB'!$A$6:$U$38,$B$2,FALSE))</f>
        <v>93944831.796602577</v>
      </c>
      <c r="F13" s="11">
        <f>IF(ISNA(VLOOKUP($A13,'VALIC-VIX-DAP'!$A$6:$U$38,$B$2,FALSE)),F12,VLOOKUP($A13,'VALIC-VIX-DAP'!$A$6:$U$38,$B$2,FALSE))</f>
        <v>93951746.395134926</v>
      </c>
      <c r="G13" s="11">
        <f>IF(ISNA(VLOOKUP($A13,VIX!$A$6:$U$38,$B$2,FALSE)),G12,VLOOKUP($A13,VIX!$A$6:$U$38,$B$2,FALSE))</f>
        <v>165632182.89807796</v>
      </c>
      <c r="H13" s="11">
        <f>IF(ISNA(VLOOKUP($A13,GMAB!$A$6:$U$38,$B$2,FALSE)),H12,VLOOKUP($A13,GMAB!$A$6:$U$38,$B$2,FALSE))</f>
        <v>623676.97827430069</v>
      </c>
      <c r="I13" s="19">
        <f t="shared" si="0"/>
        <v>1367617395.3327572</v>
      </c>
    </row>
    <row r="14" spans="1:9" x14ac:dyDescent="0.25">
      <c r="A14" s="6">
        <v>20150114</v>
      </c>
      <c r="B14" s="11">
        <f>VLOOKUP(A14,DAP!$A$6:$U$93,5,FALSE)</f>
        <v>750374852.06596327</v>
      </c>
      <c r="C14" s="11">
        <f>IF(ISNA(VLOOKUP($A14,ML!$A$6:$U$38,$B$2,FALSE)),C13,VLOOKUP(A14,ML!$A$6:$U$38,$B$2,FALSE))</f>
        <v>206329889.6877265</v>
      </c>
      <c r="D14" s="11">
        <f>IF(ISNA(VLOOKUP($A14,USL!$A$6:$U$38,$B$2,FALSE)),D13,VLOOKUP($A14,USL!$A$6:$U$38,$B$2,FALSE))</f>
        <v>78832895.8010903</v>
      </c>
      <c r="E14" s="11">
        <f>IF(ISNA(VLOOKUP($A14,'VALIC-GMWB'!$A$6:$U$38,$B$2,FALSE)),E13,VLOOKUP($A14,'VALIC-GMWB'!$A$6:$U$38,$B$2,FALSE))</f>
        <v>93944831.796602577</v>
      </c>
      <c r="F14" s="11">
        <f>IF(ISNA(VLOOKUP($A14,'VALIC-VIX-DAP'!$A$6:$U$38,$B$2,FALSE)),F13,VLOOKUP($A14,'VALIC-VIX-DAP'!$A$6:$U$38,$B$2,FALSE))</f>
        <v>93951746.395134926</v>
      </c>
      <c r="G14" s="11">
        <f>IF(ISNA(VLOOKUP($A14,VIX!$A$6:$U$38,$B$2,FALSE)),G13,VLOOKUP($A14,VIX!$A$6:$U$38,$B$2,FALSE))</f>
        <v>165632182.89807796</v>
      </c>
      <c r="H14" s="11">
        <f>IF(ISNA(VLOOKUP($A14,GMAB!$A$6:$U$38,$B$2,FALSE)),H13,VLOOKUP($A14,GMAB!$A$6:$U$38,$B$2,FALSE))</f>
        <v>656578.22352191061</v>
      </c>
      <c r="I14" s="19">
        <f t="shared" si="0"/>
        <v>1389722976.8681173</v>
      </c>
    </row>
    <row r="15" spans="1:9" x14ac:dyDescent="0.25">
      <c r="A15" s="6">
        <v>20150115</v>
      </c>
      <c r="B15" s="11">
        <f>VLOOKUP(A15,DAP!$A$6:$U$93,5,FALSE)</f>
        <v>780062731.88387632</v>
      </c>
      <c r="C15" s="11">
        <f>IF(ISNA(VLOOKUP($A15,ML!$A$6:$U$38,$B$2,FALSE)),C14,VLOOKUP(A15,ML!$A$6:$U$38,$B$2,FALSE))</f>
        <v>206329889.6877265</v>
      </c>
      <c r="D15" s="11">
        <f>IF(ISNA(VLOOKUP($A15,USL!$A$6:$U$38,$B$2,FALSE)),D14,VLOOKUP($A15,USL!$A$6:$U$38,$B$2,FALSE))</f>
        <v>78832895.8010903</v>
      </c>
      <c r="E15" s="11">
        <f>IF(ISNA(VLOOKUP($A15,'VALIC-GMWB'!$A$6:$U$38,$B$2,FALSE)),E14,VLOOKUP($A15,'VALIC-GMWB'!$A$6:$U$38,$B$2,FALSE))</f>
        <v>93944831.796602577</v>
      </c>
      <c r="F15" s="11">
        <f>IF(ISNA(VLOOKUP($A15,'VALIC-VIX-DAP'!$A$6:$U$38,$B$2,FALSE)),F14,VLOOKUP($A15,'VALIC-VIX-DAP'!$A$6:$U$38,$B$2,FALSE))</f>
        <v>93951746.395134926</v>
      </c>
      <c r="G15" s="11">
        <f>IF(ISNA(VLOOKUP($A15,VIX!$A$6:$U$38,$B$2,FALSE)),G14,VLOOKUP($A15,VIX!$A$6:$U$38,$B$2,FALSE))</f>
        <v>174354114.737988</v>
      </c>
      <c r="H15" s="11">
        <f>IF(ISNA(VLOOKUP($A15,GMAB!$A$6:$U$38,$B$2,FALSE)),H14,VLOOKUP($A15,GMAB!$A$6:$U$38,$B$2,FALSE))</f>
        <v>656578.22352191061</v>
      </c>
      <c r="I15" s="19">
        <f t="shared" si="0"/>
        <v>1428132788.5259404</v>
      </c>
    </row>
    <row r="16" spans="1:9" x14ac:dyDescent="0.25">
      <c r="A16" s="6">
        <v>20150116</v>
      </c>
      <c r="B16" s="11">
        <f>VLOOKUP(A16,DAP!$A$6:$U$93,5,FALSE)</f>
        <v>750005646.77316499</v>
      </c>
      <c r="C16" s="11">
        <f>IF(ISNA(VLOOKUP($A16,ML!$A$6:$U$38,$B$2,FALSE)),C15,VLOOKUP(A16,ML!$A$6:$U$38,$B$2,FALSE))</f>
        <v>206329889.6877265</v>
      </c>
      <c r="D16" s="11">
        <f>IF(ISNA(VLOOKUP($A16,USL!$A$6:$U$38,$B$2,FALSE)),D15,VLOOKUP($A16,USL!$A$6:$U$38,$B$2,FALSE))</f>
        <v>80094782.725196928</v>
      </c>
      <c r="E16" s="11">
        <f>IF(ISNA(VLOOKUP($A16,'VALIC-GMWB'!$A$6:$U$38,$B$2,FALSE)),E15,VLOOKUP($A16,'VALIC-GMWB'!$A$6:$U$38,$B$2,FALSE))</f>
        <v>95383445.066405356</v>
      </c>
      <c r="F16" s="11">
        <f>IF(ISNA(VLOOKUP($A16,'VALIC-VIX-DAP'!$A$6:$U$38,$B$2,FALSE)),F15,VLOOKUP($A16,'VALIC-VIX-DAP'!$A$6:$U$38,$B$2,FALSE))</f>
        <v>95136123.302226543</v>
      </c>
      <c r="G16" s="11">
        <f>IF(ISNA(VLOOKUP($A16,VIX!$A$6:$U$38,$B$2,FALSE)),G15,VLOOKUP($A16,VIX!$A$6:$U$38,$B$2,FALSE))</f>
        <v>174354114.737988</v>
      </c>
      <c r="H16" s="11">
        <f>IF(ISNA(VLOOKUP($A16,GMAB!$A$6:$U$38,$B$2,FALSE)),H15,VLOOKUP($A16,GMAB!$A$6:$U$38,$B$2,FALSE))</f>
        <v>656578.22352191061</v>
      </c>
      <c r="I16" s="19">
        <f t="shared" si="0"/>
        <v>1401960580.5162303</v>
      </c>
    </row>
    <row r="17" spans="1:9" x14ac:dyDescent="0.25">
      <c r="A17" s="6">
        <v>20150120</v>
      </c>
      <c r="B17" s="11">
        <f>VLOOKUP(A17,DAP!$A$6:$U$93,5,FALSE)</f>
        <v>766688497.38156605</v>
      </c>
      <c r="C17" s="11">
        <f>IF(ISNA(VLOOKUP($A17,ML!$A$6:$U$38,$B$2,FALSE)),C16,VLOOKUP(A17,ML!$A$6:$U$38,$B$2,FALSE))</f>
        <v>207497565.42911118</v>
      </c>
      <c r="D17" s="11">
        <f>IF(ISNA(VLOOKUP($A17,USL!$A$6:$U$38,$B$2,FALSE)),D16,VLOOKUP($A17,USL!$A$6:$U$38,$B$2,FALSE))</f>
        <v>80094782.725196928</v>
      </c>
      <c r="E17" s="11">
        <f>IF(ISNA(VLOOKUP($A17,'VALIC-GMWB'!$A$6:$U$38,$B$2,FALSE)),E16,VLOOKUP($A17,'VALIC-GMWB'!$A$6:$U$38,$B$2,FALSE))</f>
        <v>95383445.066405356</v>
      </c>
      <c r="F17" s="11">
        <f>IF(ISNA(VLOOKUP($A17,'VALIC-VIX-DAP'!$A$6:$U$38,$B$2,FALSE)),F16,VLOOKUP($A17,'VALIC-VIX-DAP'!$A$6:$U$38,$B$2,FALSE))</f>
        <v>95136123.302226543</v>
      </c>
      <c r="G17" s="11">
        <f>IF(ISNA(VLOOKUP($A17,VIX!$A$6:$U$38,$B$2,FALSE)),G16,VLOOKUP($A17,VIX!$A$6:$U$38,$B$2,FALSE))</f>
        <v>174354114.737988</v>
      </c>
      <c r="H17" s="11">
        <f>IF(ISNA(VLOOKUP($A17,GMAB!$A$6:$U$38,$B$2,FALSE)),H16,VLOOKUP($A17,GMAB!$A$6:$U$38,$B$2,FALSE))</f>
        <v>632315.07498534955</v>
      </c>
      <c r="I17" s="19">
        <f t="shared" si="0"/>
        <v>1419786843.7174795</v>
      </c>
    </row>
    <row r="18" spans="1:9" x14ac:dyDescent="0.25">
      <c r="A18" s="6">
        <v>20150121</v>
      </c>
      <c r="B18" s="11">
        <f>VLOOKUP(A18,DAP!$A$6:$U$93,5,FALSE)</f>
        <v>744454339.62816072</v>
      </c>
      <c r="C18" s="11">
        <f>IF(ISNA(VLOOKUP($A18,ML!$A$6:$U$38,$B$2,FALSE)),C17,VLOOKUP(A18,ML!$A$6:$U$38,$B$2,FALSE))</f>
        <v>207497565.42911118</v>
      </c>
      <c r="D18" s="11">
        <f>IF(ISNA(VLOOKUP($A18,USL!$A$6:$U$38,$B$2,FALSE)),D17,VLOOKUP($A18,USL!$A$6:$U$38,$B$2,FALSE))</f>
        <v>80094782.725196928</v>
      </c>
      <c r="E18" s="11">
        <f>IF(ISNA(VLOOKUP($A18,'VALIC-GMWB'!$A$6:$U$38,$B$2,FALSE)),E17,VLOOKUP($A18,'VALIC-GMWB'!$A$6:$U$38,$B$2,FALSE))</f>
        <v>95383445.066405356</v>
      </c>
      <c r="F18" s="11">
        <f>IF(ISNA(VLOOKUP($A18,'VALIC-VIX-DAP'!$A$6:$U$38,$B$2,FALSE)),F17,VLOOKUP($A18,'VALIC-VIX-DAP'!$A$6:$U$38,$B$2,FALSE))</f>
        <v>95136123.302226543</v>
      </c>
      <c r="G18" s="11">
        <f>IF(ISNA(VLOOKUP($A18,VIX!$A$6:$U$38,$B$2,FALSE)),G17,VLOOKUP($A18,VIX!$A$6:$U$38,$B$2,FALSE))</f>
        <v>165602046.10596228</v>
      </c>
      <c r="H18" s="11">
        <f>IF(ISNA(VLOOKUP($A18,GMAB!$A$6:$U$38,$B$2,FALSE)),H17,VLOOKUP($A18,GMAB!$A$6:$U$38,$B$2,FALSE))</f>
        <v>632315.07498534955</v>
      </c>
      <c r="I18" s="19">
        <f t="shared" si="0"/>
        <v>1388800617.3320484</v>
      </c>
    </row>
    <row r="19" spans="1:9" x14ac:dyDescent="0.25">
      <c r="A19" s="6">
        <v>20150122</v>
      </c>
      <c r="B19" s="11">
        <f>VLOOKUP(A19,DAP!$A$6:$U$93,5,FALSE)</f>
        <v>740531222.0243988</v>
      </c>
      <c r="C19" s="11">
        <f>IF(ISNA(VLOOKUP($A19,ML!$A$6:$U$38,$B$2,FALSE)),C18,VLOOKUP(A19,ML!$A$6:$U$38,$B$2,FALSE))</f>
        <v>207497565.42911118</v>
      </c>
      <c r="D19" s="11">
        <f>IF(ISNA(VLOOKUP($A19,USL!$A$6:$U$38,$B$2,FALSE)),D18,VLOOKUP($A19,USL!$A$6:$U$38,$B$2,FALSE))</f>
        <v>78180788.742307603</v>
      </c>
      <c r="E19" s="11">
        <f>IF(ISNA(VLOOKUP($A19,'VALIC-GMWB'!$A$6:$U$38,$B$2,FALSE)),E18,VLOOKUP($A19,'VALIC-GMWB'!$A$6:$U$38,$B$2,FALSE))</f>
        <v>93750806.545014501</v>
      </c>
      <c r="F19" s="11">
        <f>IF(ISNA(VLOOKUP($A19,'VALIC-VIX-DAP'!$A$6:$U$38,$B$2,FALSE)),F18,VLOOKUP($A19,'VALIC-VIX-DAP'!$A$6:$U$38,$B$2,FALSE))</f>
        <v>93812280.505518913</v>
      </c>
      <c r="G19" s="11">
        <f>IF(ISNA(VLOOKUP($A19,VIX!$A$6:$U$38,$B$2,FALSE)),G18,VLOOKUP($A19,VIX!$A$6:$U$38,$B$2,FALSE))</f>
        <v>165602046.10596228</v>
      </c>
      <c r="H19" s="11">
        <f>IF(ISNA(VLOOKUP($A19,GMAB!$A$6:$U$38,$B$2,FALSE)),H18,VLOOKUP($A19,GMAB!$A$6:$U$38,$B$2,FALSE))</f>
        <v>632315.07498534955</v>
      </c>
      <c r="I19" s="19">
        <f t="shared" si="0"/>
        <v>1380007024.4272988</v>
      </c>
    </row>
    <row r="20" spans="1:9" x14ac:dyDescent="0.25">
      <c r="A20" s="6">
        <v>20150123</v>
      </c>
      <c r="B20" s="11">
        <f>VLOOKUP(A20,DAP!$A$6:$U$93,5,FALSE)</f>
        <v>755894368.56546068</v>
      </c>
      <c r="C20" s="11">
        <f>IF(ISNA(VLOOKUP($A20,ML!$A$6:$U$38,$B$2,FALSE)),C19,VLOOKUP(A20,ML!$A$6:$U$38,$B$2,FALSE))</f>
        <v>203532298.3231889</v>
      </c>
      <c r="D20" s="11">
        <f>IF(ISNA(VLOOKUP($A20,USL!$A$6:$U$38,$B$2,FALSE)),D19,VLOOKUP($A20,USL!$A$6:$U$38,$B$2,FALSE))</f>
        <v>78180788.742307603</v>
      </c>
      <c r="E20" s="11">
        <f>IF(ISNA(VLOOKUP($A20,'VALIC-GMWB'!$A$6:$U$38,$B$2,FALSE)),E19,VLOOKUP($A20,'VALIC-GMWB'!$A$6:$U$38,$B$2,FALSE))</f>
        <v>93750806.545014501</v>
      </c>
      <c r="F20" s="11">
        <f>IF(ISNA(VLOOKUP($A20,'VALIC-VIX-DAP'!$A$6:$U$38,$B$2,FALSE)),F19,VLOOKUP($A20,'VALIC-VIX-DAP'!$A$6:$U$38,$B$2,FALSE))</f>
        <v>93812280.505518913</v>
      </c>
      <c r="G20" s="11">
        <f>IF(ISNA(VLOOKUP($A20,VIX!$A$6:$U$38,$B$2,FALSE)),G19,VLOOKUP($A20,VIX!$A$6:$U$38,$B$2,FALSE))</f>
        <v>165602046.10596228</v>
      </c>
      <c r="H20" s="11">
        <f>IF(ISNA(VLOOKUP($A20,GMAB!$A$6:$U$38,$B$2,FALSE)),H19,VLOOKUP($A20,GMAB!$A$6:$U$38,$B$2,FALSE))</f>
        <v>594522.16137610003</v>
      </c>
      <c r="I20" s="19">
        <f t="shared" si="0"/>
        <v>1391367110.9488287</v>
      </c>
    </row>
    <row r="21" spans="1:9" x14ac:dyDescent="0.25">
      <c r="A21" s="6">
        <v>20150126</v>
      </c>
      <c r="B21" s="11">
        <f>VLOOKUP(A21,DAP!$A$6:$U$93,5,FALSE)</f>
        <v>751379604.06311584</v>
      </c>
      <c r="C21" s="11">
        <f>IF(ISNA(VLOOKUP($A21,ML!$A$6:$U$38,$B$2,FALSE)),C20,VLOOKUP(A21,ML!$A$6:$U$38,$B$2,FALSE))</f>
        <v>203532298.3231889</v>
      </c>
      <c r="D21" s="11">
        <f>IF(ISNA(VLOOKUP($A21,USL!$A$6:$U$38,$B$2,FALSE)),D20,VLOOKUP($A21,USL!$A$6:$U$38,$B$2,FALSE))</f>
        <v>78180788.742307603</v>
      </c>
      <c r="E21" s="11">
        <f>IF(ISNA(VLOOKUP($A21,'VALIC-GMWB'!$A$6:$U$38,$B$2,FALSE)),E20,VLOOKUP($A21,'VALIC-GMWB'!$A$6:$U$38,$B$2,FALSE))</f>
        <v>93750806.545014501</v>
      </c>
      <c r="F21" s="11">
        <f>IF(ISNA(VLOOKUP($A21,'VALIC-VIX-DAP'!$A$6:$U$38,$B$2,FALSE)),F20,VLOOKUP($A21,'VALIC-VIX-DAP'!$A$6:$U$38,$B$2,FALSE))</f>
        <v>93812280.505518913</v>
      </c>
      <c r="G21" s="11">
        <f>IF(ISNA(VLOOKUP($A21,VIX!$A$6:$U$38,$B$2,FALSE)),G20,VLOOKUP($A21,VIX!$A$6:$U$38,$B$2,FALSE))</f>
        <v>165702576.00423384</v>
      </c>
      <c r="H21" s="11">
        <f>IF(ISNA(VLOOKUP($A21,GMAB!$A$6:$U$38,$B$2,FALSE)),H20,VLOOKUP($A21,GMAB!$A$6:$U$38,$B$2,FALSE))</f>
        <v>594522.16137610003</v>
      </c>
      <c r="I21" s="19">
        <f t="shared" si="0"/>
        <v>1386952876.3447556</v>
      </c>
    </row>
    <row r="22" spans="1:9" x14ac:dyDescent="0.25">
      <c r="A22" s="6">
        <v>20150127</v>
      </c>
      <c r="B22" s="11">
        <f>VLOOKUP(A22,DAP!$A$6:$U$93,5,FALSE)</f>
        <v>754261039.09199405</v>
      </c>
      <c r="C22" s="11">
        <f>IF(ISNA(VLOOKUP($A22,ML!$A$6:$U$38,$B$2,FALSE)),C21,VLOOKUP(A22,ML!$A$6:$U$38,$B$2,FALSE))</f>
        <v>203532298.3231889</v>
      </c>
      <c r="D22" s="11">
        <f>IF(ISNA(VLOOKUP($A22,USL!$A$6:$U$38,$B$2,FALSE)),D21,VLOOKUP($A22,USL!$A$6:$U$38,$B$2,FALSE))</f>
        <v>79716999.397134483</v>
      </c>
      <c r="E22" s="11">
        <f>IF(ISNA(VLOOKUP($A22,'VALIC-GMWB'!$A$6:$U$38,$B$2,FALSE)),E21,VLOOKUP($A22,'VALIC-GMWB'!$A$6:$U$38,$B$2,FALSE))</f>
        <v>94805862.95873791</v>
      </c>
      <c r="F22" s="11">
        <f>IF(ISNA(VLOOKUP($A22,'VALIC-VIX-DAP'!$A$6:$U$38,$B$2,FALSE)),F21,VLOOKUP($A22,'VALIC-VIX-DAP'!$A$6:$U$38,$B$2,FALSE))</f>
        <v>94973278.876288414</v>
      </c>
      <c r="G22" s="11">
        <f>IF(ISNA(VLOOKUP($A22,VIX!$A$6:$U$38,$B$2,FALSE)),G21,VLOOKUP($A22,VIX!$A$6:$U$38,$B$2,FALSE))</f>
        <v>165702576.00423384</v>
      </c>
      <c r="H22" s="11">
        <f>IF(ISNA(VLOOKUP($A22,GMAB!$A$6:$U$38,$B$2,FALSE)),H21,VLOOKUP($A22,GMAB!$A$6:$U$38,$B$2,FALSE))</f>
        <v>594522.16137610003</v>
      </c>
      <c r="I22" s="19">
        <f t="shared" si="0"/>
        <v>1393586576.8129535</v>
      </c>
    </row>
    <row r="23" spans="1:9" x14ac:dyDescent="0.25">
      <c r="A23" s="6">
        <v>20150128</v>
      </c>
      <c r="B23" s="11">
        <f>VLOOKUP(A23,DAP!$A$6:$U$93,5,FALSE)</f>
        <v>786137653.77407408</v>
      </c>
      <c r="C23" s="11">
        <f>IF(ISNA(VLOOKUP($A23,ML!$A$6:$U$38,$B$2,FALSE)),C22,VLOOKUP(A23,ML!$A$6:$U$38,$B$2,FALSE))</f>
        <v>211125577.04058975</v>
      </c>
      <c r="D23" s="11">
        <f>IF(ISNA(VLOOKUP($A23,USL!$A$6:$U$38,$B$2,FALSE)),D22,VLOOKUP($A23,USL!$A$6:$U$38,$B$2,FALSE))</f>
        <v>79716999.397134483</v>
      </c>
      <c r="E23" s="11">
        <f>IF(ISNA(VLOOKUP($A23,'VALIC-GMWB'!$A$6:$U$38,$B$2,FALSE)),E22,VLOOKUP($A23,'VALIC-GMWB'!$A$6:$U$38,$B$2,FALSE))</f>
        <v>94805862.95873791</v>
      </c>
      <c r="F23" s="11">
        <f>IF(ISNA(VLOOKUP($A23,'VALIC-VIX-DAP'!$A$6:$U$38,$B$2,FALSE)),F22,VLOOKUP($A23,'VALIC-VIX-DAP'!$A$6:$U$38,$B$2,FALSE))</f>
        <v>94973278.876288414</v>
      </c>
      <c r="G23" s="11">
        <f>IF(ISNA(VLOOKUP($A23,VIX!$A$6:$U$38,$B$2,FALSE)),G22,VLOOKUP($A23,VIX!$A$6:$U$38,$B$2,FALSE))</f>
        <v>165702576.00423384</v>
      </c>
      <c r="H23" s="11">
        <f>IF(ISNA(VLOOKUP($A23,GMAB!$A$6:$U$38,$B$2,FALSE)),H22,VLOOKUP($A23,GMAB!$A$6:$U$38,$B$2,FALSE))</f>
        <v>644988.37074112147</v>
      </c>
      <c r="I23" s="19">
        <f t="shared" si="0"/>
        <v>1433106936.4217997</v>
      </c>
    </row>
    <row r="24" spans="1:9" x14ac:dyDescent="0.25">
      <c r="A24" s="6">
        <v>20150129</v>
      </c>
      <c r="B24" s="11">
        <f>VLOOKUP(A24,DAP!$A$6:$U$93,5,FALSE)</f>
        <v>777062110.48715353</v>
      </c>
      <c r="C24" s="11">
        <f>IF(ISNA(VLOOKUP($A24,ML!$A$6:$U$38,$B$2,FALSE)),C23,VLOOKUP(A24,ML!$A$6:$U$38,$B$2,FALSE))</f>
        <v>211125577.04058975</v>
      </c>
      <c r="D24" s="11">
        <f>IF(ISNA(VLOOKUP($A24,USL!$A$6:$U$38,$B$2,FALSE)),D23,VLOOKUP($A24,USL!$A$6:$U$38,$B$2,FALSE))</f>
        <v>79716999.397134483</v>
      </c>
      <c r="E24" s="11">
        <f>IF(ISNA(VLOOKUP($A24,'VALIC-GMWB'!$A$6:$U$38,$B$2,FALSE)),E23,VLOOKUP($A24,'VALIC-GMWB'!$A$6:$U$38,$B$2,FALSE))</f>
        <v>94805862.95873791</v>
      </c>
      <c r="F24" s="11">
        <f>IF(ISNA(VLOOKUP($A24,'VALIC-VIX-DAP'!$A$6:$U$38,$B$2,FALSE)),F23,VLOOKUP($A24,'VALIC-VIX-DAP'!$A$6:$U$38,$B$2,FALSE))</f>
        <v>94973278.876288414</v>
      </c>
      <c r="G24" s="11">
        <f>IF(ISNA(VLOOKUP($A24,VIX!$A$6:$U$38,$B$2,FALSE)),G23,VLOOKUP($A24,VIX!$A$6:$U$38,$B$2,FALSE))</f>
        <v>170251567.59754682</v>
      </c>
      <c r="H24" s="11">
        <f>IF(ISNA(VLOOKUP($A24,GMAB!$A$6:$U$38,$B$2,FALSE)),H23,VLOOKUP($A24,GMAB!$A$6:$U$38,$B$2,FALSE))</f>
        <v>644988.37074112147</v>
      </c>
      <c r="I24" s="19">
        <f t="shared" si="0"/>
        <v>1428580384.7281921</v>
      </c>
    </row>
    <row r="25" spans="1:9" x14ac:dyDescent="0.25">
      <c r="A25" s="6">
        <v>20150130</v>
      </c>
      <c r="B25" s="11">
        <f>VLOOKUP(A25,DAP!$A$6:$U$93,5,FALSE)</f>
        <v>804016446.38731694</v>
      </c>
      <c r="C25" s="11">
        <f>IF(ISNA(VLOOKUP($A25,ML!$A$6:$U$38,$B$2,FALSE)),C24,VLOOKUP(A25,ML!$A$6:$U$38,$B$2,FALSE))</f>
        <v>214728517.6904667</v>
      </c>
      <c r="D25" s="11">
        <f>IF(ISNA(VLOOKUP($A25,USL!$A$6:$U$38,$B$2,FALSE)),D24,VLOOKUP($A25,USL!$A$6:$U$38,$B$2,FALSE))</f>
        <v>84586820.117773324</v>
      </c>
      <c r="E25" s="11">
        <f>IF(ISNA(VLOOKUP($A25,'VALIC-GMWB'!$A$6:$U$38,$B$2,FALSE)),E24,VLOOKUP($A25,'VALIC-GMWB'!$A$6:$U$38,$B$2,FALSE))</f>
        <v>100033248.70669138</v>
      </c>
      <c r="F25" s="11">
        <f>IF(ISNA(VLOOKUP($A25,'VALIC-VIX-DAP'!$A$6:$U$38,$B$2,FALSE)),F24,VLOOKUP($A25,'VALIC-VIX-DAP'!$A$6:$U$38,$B$2,FALSE))</f>
        <v>100095704.37009907</v>
      </c>
      <c r="G25" s="11">
        <f>IF(ISNA(VLOOKUP($A25,VIX!$A$6:$U$38,$B$2,FALSE)),G24,VLOOKUP($A25,VIX!$A$6:$U$38,$B$2,FALSE))</f>
        <v>176429270.09793115</v>
      </c>
      <c r="H25" s="11">
        <f>IF(ISNA(VLOOKUP($A25,GMAB!$A$6:$U$38,$B$2,FALSE)),H24,VLOOKUP($A25,GMAB!$A$6:$U$38,$B$2,FALSE))</f>
        <v>654322.1220598314</v>
      </c>
      <c r="I25" s="19">
        <f t="shared" si="0"/>
        <v>1480544329.4923384</v>
      </c>
    </row>
    <row r="26" spans="1:9" x14ac:dyDescent="0.25">
      <c r="A26" s="6">
        <v>20150202</v>
      </c>
      <c r="B26" s="11">
        <f>VLOOKUP(A26,DAP!$A$6:$U$93,5,FALSE)</f>
        <v>793348482.57890368</v>
      </c>
      <c r="C26" s="11">
        <f>IF(ISNA(VLOOKUP($A26,ML!$A$6:$U$38,$B$2,FALSE)),C25,VLOOKUP(A26,ML!$A$6:$U$38,$B$2,FALSE))</f>
        <v>211186531.4244169</v>
      </c>
      <c r="D26" s="11">
        <f>IF(ISNA(VLOOKUP($A26,USL!$A$6:$U$38,$B$2,FALSE)),D25,VLOOKUP($A26,USL!$A$6:$U$38,$B$2,FALSE))</f>
        <v>84586820.117773324</v>
      </c>
      <c r="E26" s="11">
        <f>IF(ISNA(VLOOKUP($A26,'VALIC-GMWB'!$A$6:$U$38,$B$2,FALSE)),E25,VLOOKUP($A26,'VALIC-GMWB'!$A$6:$U$38,$B$2,FALSE))</f>
        <v>100033248.70669138</v>
      </c>
      <c r="F26" s="11">
        <f>IF(ISNA(VLOOKUP($A26,'VALIC-VIX-DAP'!$A$6:$U$38,$B$2,FALSE)),F25,VLOOKUP($A26,'VALIC-VIX-DAP'!$A$6:$U$38,$B$2,FALSE))</f>
        <v>100095704.37009907</v>
      </c>
      <c r="G26" s="11">
        <f>IF(ISNA(VLOOKUP($A26,VIX!$A$6:$U$38,$B$2,FALSE)),G25,VLOOKUP($A26,VIX!$A$6:$U$38,$B$2,FALSE))</f>
        <v>176429270.09793115</v>
      </c>
      <c r="H26" s="11">
        <f>IF(ISNA(VLOOKUP($A26,GMAB!$A$6:$U$38,$B$2,FALSE)),H25,VLOOKUP($A26,GMAB!$A$6:$U$38,$B$2,FALSE))</f>
        <v>623213.73422491364</v>
      </c>
      <c r="I26" s="19">
        <f t="shared" si="0"/>
        <v>1466303271.0300405</v>
      </c>
    </row>
    <row r="27" spans="1:9" x14ac:dyDescent="0.25">
      <c r="A27" s="6">
        <v>20150203</v>
      </c>
      <c r="B27" s="11">
        <f>VLOOKUP(A27,DAP!$A$6:$U$93,5,FALSE)</f>
        <v>755177629.64270091</v>
      </c>
      <c r="C27" s="11">
        <f>IF(ISNA(VLOOKUP($A27,ML!$A$6:$U$38,$B$2,FALSE)),C26,VLOOKUP(A27,ML!$A$6:$U$38,$B$2,FALSE))</f>
        <v>211186531.4244169</v>
      </c>
      <c r="D27" s="11">
        <f>IF(ISNA(VLOOKUP($A27,USL!$A$6:$U$38,$B$2,FALSE)),D26,VLOOKUP($A27,USL!$A$6:$U$38,$B$2,FALSE))</f>
        <v>84586820.117773324</v>
      </c>
      <c r="E27" s="11">
        <f>IF(ISNA(VLOOKUP($A27,'VALIC-GMWB'!$A$6:$U$38,$B$2,FALSE)),E26,VLOOKUP($A27,'VALIC-GMWB'!$A$6:$U$38,$B$2,FALSE))</f>
        <v>100033248.70669138</v>
      </c>
      <c r="F27" s="11">
        <f>IF(ISNA(VLOOKUP($A27,'VALIC-VIX-DAP'!$A$6:$U$38,$B$2,FALSE)),F26,VLOOKUP($A27,'VALIC-VIX-DAP'!$A$6:$U$38,$B$2,FALSE))</f>
        <v>100095704.37009907</v>
      </c>
      <c r="G27" s="11">
        <f>IF(ISNA(VLOOKUP($A27,VIX!$A$6:$U$38,$B$2,FALSE)),G26,VLOOKUP($A27,VIX!$A$6:$U$38,$B$2,FALSE))</f>
        <v>165545822.23402381</v>
      </c>
      <c r="H27" s="11">
        <f>IF(ISNA(VLOOKUP($A27,GMAB!$A$6:$U$38,$B$2,FALSE)),H26,VLOOKUP($A27,GMAB!$A$6:$U$38,$B$2,FALSE))</f>
        <v>623213.73422491364</v>
      </c>
      <c r="I27" s="19">
        <f t="shared" si="0"/>
        <v>1417248970.2299302</v>
      </c>
    </row>
    <row r="28" spans="1:9" x14ac:dyDescent="0.25">
      <c r="A28" s="6">
        <v>20150204</v>
      </c>
      <c r="B28" s="11">
        <f>VLOOKUP(A28,DAP!$A$6:$U$93,5,FALSE)</f>
        <v>772779231.67484093</v>
      </c>
      <c r="C28" s="11">
        <f>IF(ISNA(VLOOKUP($A28,ML!$A$6:$U$38,$B$2,FALSE)),C27,VLOOKUP(A28,ML!$A$6:$U$38,$B$2,FALSE))</f>
        <v>211186531.4244169</v>
      </c>
      <c r="D28" s="11">
        <f>IF(ISNA(VLOOKUP($A28,USL!$A$6:$U$38,$B$2,FALSE)),D27,VLOOKUP($A28,USL!$A$6:$U$38,$B$2,FALSE))</f>
        <v>83117972.909596235</v>
      </c>
      <c r="E28" s="11">
        <f>IF(ISNA(VLOOKUP($A28,'VALIC-GMWB'!$A$6:$U$38,$B$2,FALSE)),E27,VLOOKUP($A28,'VALIC-GMWB'!$A$6:$U$38,$B$2,FALSE))</f>
        <v>95845266.541114926</v>
      </c>
      <c r="F28" s="11">
        <f>IF(ISNA(VLOOKUP($A28,'VALIC-VIX-DAP'!$A$6:$U$38,$B$2,FALSE)),F27,VLOOKUP($A28,'VALIC-VIX-DAP'!$A$6:$U$38,$B$2,FALSE))</f>
        <v>95868813.100323677</v>
      </c>
      <c r="G28" s="11">
        <f>IF(ISNA(VLOOKUP($A28,VIX!$A$6:$U$38,$B$2,FALSE)),G27,VLOOKUP($A28,VIX!$A$6:$U$38,$B$2,FALSE))</f>
        <v>165545822.23402381</v>
      </c>
      <c r="H28" s="11">
        <f>IF(ISNA(VLOOKUP($A28,GMAB!$A$6:$U$38,$B$2,FALSE)),H27,VLOOKUP($A28,GMAB!$A$6:$U$38,$B$2,FALSE))</f>
        <v>623213.73422491364</v>
      </c>
      <c r="I28" s="19">
        <f t="shared" si="0"/>
        <v>1424966851.6185412</v>
      </c>
    </row>
    <row r="29" spans="1:9" x14ac:dyDescent="0.25">
      <c r="A29" s="6">
        <v>20150205</v>
      </c>
      <c r="B29" s="11">
        <f>VLOOKUP(A29,DAP!$A$6:$U$93,5,FALSE)</f>
        <v>750151870.25847936</v>
      </c>
      <c r="C29" s="11">
        <f>IF(ISNA(VLOOKUP($A29,ML!$A$6:$U$38,$B$2,FALSE)),C28,VLOOKUP(A29,ML!$A$6:$U$38,$B$2,FALSE))</f>
        <v>198793663.71804732</v>
      </c>
      <c r="D29" s="11">
        <f>IF(ISNA(VLOOKUP($A29,USL!$A$6:$U$38,$B$2,FALSE)),D28,VLOOKUP($A29,USL!$A$6:$U$38,$B$2,FALSE))</f>
        <v>83117972.909596235</v>
      </c>
      <c r="E29" s="11">
        <f>IF(ISNA(VLOOKUP($A29,'VALIC-GMWB'!$A$6:$U$38,$B$2,FALSE)),E28,VLOOKUP($A29,'VALIC-GMWB'!$A$6:$U$38,$B$2,FALSE))</f>
        <v>95845266.541114926</v>
      </c>
      <c r="F29" s="11">
        <f>IF(ISNA(VLOOKUP($A29,'VALIC-VIX-DAP'!$A$6:$U$38,$B$2,FALSE)),F28,VLOOKUP($A29,'VALIC-VIX-DAP'!$A$6:$U$38,$B$2,FALSE))</f>
        <v>95868813.100323677</v>
      </c>
      <c r="G29" s="11">
        <f>IF(ISNA(VLOOKUP($A29,VIX!$A$6:$U$38,$B$2,FALSE)),G28,VLOOKUP($A29,VIX!$A$6:$U$38,$B$2,FALSE))</f>
        <v>165545822.23402381</v>
      </c>
      <c r="H29" s="11">
        <f>IF(ISNA(VLOOKUP($A29,GMAB!$A$6:$U$38,$B$2,FALSE)),H28,VLOOKUP($A29,GMAB!$A$6:$U$38,$B$2,FALSE))</f>
        <v>557828.49399827234</v>
      </c>
      <c r="I29" s="19">
        <f t="shared" si="0"/>
        <v>1389881237.2555838</v>
      </c>
    </row>
    <row r="30" spans="1:9" x14ac:dyDescent="0.25">
      <c r="A30" s="6">
        <v>20150206</v>
      </c>
      <c r="B30" s="11">
        <f>VLOOKUP(A30,DAP!$A$6:$U$93,5,FALSE)</f>
        <v>729356811.123806</v>
      </c>
      <c r="C30" s="11">
        <f>IF(ISNA(VLOOKUP($A30,ML!$A$6:$U$38,$B$2,FALSE)),C29,VLOOKUP(A30,ML!$A$6:$U$38,$B$2,FALSE))</f>
        <v>198793663.71804732</v>
      </c>
      <c r="D30" s="11">
        <f>IF(ISNA(VLOOKUP($A30,USL!$A$6:$U$38,$B$2,FALSE)),D29,VLOOKUP($A30,USL!$A$6:$U$38,$B$2,FALSE))</f>
        <v>83117972.909596235</v>
      </c>
      <c r="E30" s="11">
        <f>IF(ISNA(VLOOKUP($A30,'VALIC-GMWB'!$A$6:$U$38,$B$2,FALSE)),E29,VLOOKUP($A30,'VALIC-GMWB'!$A$6:$U$38,$B$2,FALSE))</f>
        <v>95845266.541114926</v>
      </c>
      <c r="F30" s="11">
        <f>IF(ISNA(VLOOKUP($A30,'VALIC-VIX-DAP'!$A$6:$U$38,$B$2,FALSE)),F29,VLOOKUP($A30,'VALIC-VIX-DAP'!$A$6:$U$38,$B$2,FALSE))</f>
        <v>95868813.100323677</v>
      </c>
      <c r="G30" s="11">
        <f>IF(ISNA(VLOOKUP($A30,VIX!$A$6:$U$38,$B$2,FALSE)),G29,VLOOKUP($A30,VIX!$A$6:$U$38,$B$2,FALSE))</f>
        <v>159117334.55808544</v>
      </c>
      <c r="H30" s="11">
        <f>IF(ISNA(VLOOKUP($A30,GMAB!$A$6:$U$38,$B$2,FALSE)),H29,VLOOKUP($A30,GMAB!$A$6:$U$38,$B$2,FALSE))</f>
        <v>557828.49399827234</v>
      </c>
      <c r="I30" s="19">
        <f t="shared" si="0"/>
        <v>1362657690.4449718</v>
      </c>
    </row>
    <row r="31" spans="1:9" x14ac:dyDescent="0.25">
      <c r="A31" s="6">
        <v>20150209</v>
      </c>
      <c r="B31" s="11">
        <f>VLOOKUP(A31,DAP!$A$6:$U$93,5,FALSE)</f>
        <v>728248096.59212375</v>
      </c>
      <c r="C31" s="11">
        <f>IF(ISNA(VLOOKUP($A31,ML!$A$6:$U$38,$B$2,FALSE)),C30,VLOOKUP(A31,ML!$A$6:$U$38,$B$2,FALSE))</f>
        <v>198793663.71804732</v>
      </c>
      <c r="D31" s="11">
        <f>IF(ISNA(VLOOKUP($A31,USL!$A$6:$U$38,$B$2,FALSE)),D30,VLOOKUP($A31,USL!$A$6:$U$38,$B$2,FALSE))</f>
        <v>78346255.175713509</v>
      </c>
      <c r="E31" s="11">
        <f>IF(ISNA(VLOOKUP($A31,'VALIC-GMWB'!$A$6:$U$38,$B$2,FALSE)),E30,VLOOKUP($A31,'VALIC-GMWB'!$A$6:$U$38,$B$2,FALSE))</f>
        <v>90373467.924491286</v>
      </c>
      <c r="F31" s="11">
        <f>IF(ISNA(VLOOKUP($A31,'VALIC-VIX-DAP'!$A$6:$U$38,$B$2,FALSE)),F30,VLOOKUP($A31,'VALIC-VIX-DAP'!$A$6:$U$38,$B$2,FALSE))</f>
        <v>90492531.919127941</v>
      </c>
      <c r="G31" s="11">
        <f>IF(ISNA(VLOOKUP($A31,VIX!$A$6:$U$38,$B$2,FALSE)),G30,VLOOKUP($A31,VIX!$A$6:$U$38,$B$2,FALSE))</f>
        <v>159117334.55808544</v>
      </c>
      <c r="H31" s="11">
        <f>IF(ISNA(VLOOKUP($A31,GMAB!$A$6:$U$38,$B$2,FALSE)),H30,VLOOKUP($A31,GMAB!$A$6:$U$38,$B$2,FALSE))</f>
        <v>557828.49399827234</v>
      </c>
      <c r="I31" s="19">
        <f t="shared" si="0"/>
        <v>1345929178.3815877</v>
      </c>
    </row>
    <row r="32" spans="1:9" x14ac:dyDescent="0.25">
      <c r="A32" s="6">
        <v>20150209</v>
      </c>
      <c r="B32" s="11">
        <f>VLOOKUP(A32,DAP!$A$6:$U$93,5,FALSE)</f>
        <v>728248096.59212375</v>
      </c>
      <c r="C32" s="11">
        <f>IF(ISNA(VLOOKUP($A32,ML!$A$6:$U$38,$B$2,FALSE)),C31,VLOOKUP(A32,ML!$A$6:$U$38,$B$2,FALSE))</f>
        <v>198793663.71804732</v>
      </c>
      <c r="D32" s="11">
        <f>IF(ISNA(VLOOKUP($A32,USL!$A$6:$U$38,$B$2,FALSE)),D31,VLOOKUP($A32,USL!$A$6:$U$38,$B$2,FALSE))</f>
        <v>78346255.175713509</v>
      </c>
      <c r="E32" s="11">
        <f>IF(ISNA(VLOOKUP($A32,'VALIC-GMWB'!$A$6:$U$38,$B$2,FALSE)),E31,VLOOKUP($A32,'VALIC-GMWB'!$A$6:$U$38,$B$2,FALSE))</f>
        <v>90373467.924491286</v>
      </c>
      <c r="F32" s="11">
        <f>IF(ISNA(VLOOKUP($A32,'VALIC-VIX-DAP'!$A$6:$U$38,$B$2,FALSE)),F31,VLOOKUP($A32,'VALIC-VIX-DAP'!$A$6:$U$38,$B$2,FALSE))</f>
        <v>90492531.919127941</v>
      </c>
      <c r="G32" s="11">
        <f>IF(ISNA(VLOOKUP($A32,VIX!$A$6:$U$38,$B$2,FALSE)),G31,VLOOKUP($A32,VIX!$A$6:$U$38,$B$2,FALSE))</f>
        <v>159117334.55808544</v>
      </c>
      <c r="H32" s="11">
        <f>IF(ISNA(VLOOKUP($A32,GMAB!$A$6:$U$38,$B$2,FALSE)),H31,VLOOKUP($A32,GMAB!$A$6:$U$38,$B$2,FALSE))</f>
        <v>557828.49399827234</v>
      </c>
      <c r="I32" s="19">
        <f t="shared" si="0"/>
        <v>1345929178.3815877</v>
      </c>
    </row>
    <row r="33" spans="1:9" x14ac:dyDescent="0.25">
      <c r="A33" s="6">
        <v>20150210</v>
      </c>
      <c r="B33" s="11">
        <f>VLOOKUP(A33,DAP!$A$6:$U$93,5,FALSE)</f>
        <v>723704743.9452107</v>
      </c>
      <c r="C33" s="11">
        <f>IF(ISNA(VLOOKUP($A33,ML!$A$6:$U$38,$B$2,FALSE)),C32,VLOOKUP(A33,ML!$A$6:$U$38,$B$2,FALSE))</f>
        <v>191364665.46628505</v>
      </c>
      <c r="D33" s="11">
        <f>IF(ISNA(VLOOKUP($A33,USL!$A$6:$U$38,$B$2,FALSE)),D32,VLOOKUP($A33,USL!$A$6:$U$38,$B$2,FALSE))</f>
        <v>78346255.175713509</v>
      </c>
      <c r="E33" s="11">
        <f>IF(ISNA(VLOOKUP($A33,'VALIC-GMWB'!$A$6:$U$38,$B$2,FALSE)),E32,VLOOKUP($A33,'VALIC-GMWB'!$A$6:$U$38,$B$2,FALSE))</f>
        <v>90373467.924491286</v>
      </c>
      <c r="F33" s="11">
        <f>IF(ISNA(VLOOKUP($A33,'VALIC-VIX-DAP'!$A$6:$U$38,$B$2,FALSE)),F32,VLOOKUP($A33,'VALIC-VIX-DAP'!$A$6:$U$38,$B$2,FALSE))</f>
        <v>90492531.919127941</v>
      </c>
      <c r="G33" s="11">
        <f>IF(ISNA(VLOOKUP($A33,VIX!$A$6:$U$38,$B$2,FALSE)),G32,VLOOKUP($A33,VIX!$A$6:$U$38,$B$2,FALSE))</f>
        <v>159117334.55808544</v>
      </c>
      <c r="H33" s="11">
        <f>IF(ISNA(VLOOKUP($A33,GMAB!$A$6:$U$38,$B$2,FALSE)),H32,VLOOKUP($A33,GMAB!$A$6:$U$38,$B$2,FALSE))</f>
        <v>544236.45026659966</v>
      </c>
      <c r="I33" s="19">
        <f t="shared" si="0"/>
        <v>1333943235.4391806</v>
      </c>
    </row>
    <row r="34" spans="1:9" x14ac:dyDescent="0.25">
      <c r="A34" s="6">
        <v>20150211</v>
      </c>
      <c r="B34" s="11">
        <f>VLOOKUP(A34,DAP!$A$6:$U$93,5,FALSE)</f>
        <v>722833242.52783728</v>
      </c>
      <c r="C34" s="11">
        <f>IF(ISNA(VLOOKUP($A34,ML!$A$6:$U$38,$B$2,FALSE)),C33,VLOOKUP(A34,ML!$A$6:$U$38,$B$2,FALSE))</f>
        <v>191364665.46628505</v>
      </c>
      <c r="D34" s="11">
        <f>IF(ISNA(VLOOKUP($A34,USL!$A$6:$U$38,$B$2,FALSE)),D33,VLOOKUP($A34,USL!$A$6:$U$38,$B$2,FALSE))</f>
        <v>78346255.175713509</v>
      </c>
      <c r="E34" s="11">
        <f>IF(ISNA(VLOOKUP($A34,'VALIC-GMWB'!$A$6:$U$38,$B$2,FALSE)),E33,VLOOKUP($A34,'VALIC-GMWB'!$A$6:$U$38,$B$2,FALSE))</f>
        <v>90373467.924491286</v>
      </c>
      <c r="F34" s="11">
        <f>IF(ISNA(VLOOKUP($A34,'VALIC-VIX-DAP'!$A$6:$U$38,$B$2,FALSE)),F33,VLOOKUP($A34,'VALIC-VIX-DAP'!$A$6:$U$38,$B$2,FALSE))</f>
        <v>90492531.919127941</v>
      </c>
      <c r="G34" s="11">
        <f>IF(ISNA(VLOOKUP($A34,VIX!$A$6:$U$38,$B$2,FALSE)),G33,VLOOKUP($A34,VIX!$A$6:$U$38,$B$2,FALSE))</f>
        <v>157195449.08618307</v>
      </c>
      <c r="H34" s="11">
        <f>IF(ISNA(VLOOKUP($A34,GMAB!$A$6:$U$38,$B$2,FALSE)),H33,VLOOKUP($A34,GMAB!$A$6:$U$38,$B$2,FALSE))</f>
        <v>544236.45026659966</v>
      </c>
      <c r="I34" s="19">
        <f t="shared" si="0"/>
        <v>1331149848.5499046</v>
      </c>
    </row>
    <row r="35" spans="1:9" x14ac:dyDescent="0.25">
      <c r="A35" s="6">
        <v>20150212</v>
      </c>
      <c r="B35" s="11">
        <f>VLOOKUP(A35,DAP!$A$6:$U$93,5,FALSE)</f>
        <v>719496864.95002365</v>
      </c>
      <c r="C35" s="11">
        <f>IF(ISNA(VLOOKUP($A35,ML!$A$6:$U$38,$B$2,FALSE)),C34,VLOOKUP(A35,ML!$A$6:$U$38,$B$2,FALSE))</f>
        <v>191364665.46628505</v>
      </c>
      <c r="D35" s="11">
        <f>IF(ISNA(VLOOKUP($A35,USL!$A$6:$U$38,$B$2,FALSE)),D34,VLOOKUP($A35,USL!$A$6:$U$38,$B$2,FALSE))</f>
        <v>76996239.695793062</v>
      </c>
      <c r="E35" s="11">
        <f>IF(ISNA(VLOOKUP($A35,'VALIC-GMWB'!$A$6:$U$38,$B$2,FALSE)),E34,VLOOKUP($A35,'VALIC-GMWB'!$A$6:$U$38,$B$2,FALSE))</f>
        <v>89351053.873495728</v>
      </c>
      <c r="F35" s="11">
        <f>IF(ISNA(VLOOKUP($A35,'VALIC-VIX-DAP'!$A$6:$U$38,$B$2,FALSE)),F34,VLOOKUP($A35,'VALIC-VIX-DAP'!$A$6:$U$38,$B$2,FALSE))</f>
        <v>89496890.132962227</v>
      </c>
      <c r="G35" s="11">
        <f>IF(ISNA(VLOOKUP($A35,VIX!$A$6:$U$38,$B$2,FALSE)),G34,VLOOKUP($A35,VIX!$A$6:$U$38,$B$2,FALSE))</f>
        <v>157195449.08618307</v>
      </c>
      <c r="H35" s="11">
        <f>IF(ISNA(VLOOKUP($A35,GMAB!$A$6:$U$38,$B$2,FALSE)),H34,VLOOKUP($A35,GMAB!$A$6:$U$38,$B$2,FALSE))</f>
        <v>544236.45026659966</v>
      </c>
      <c r="I35" s="19">
        <f t="shared" si="0"/>
        <v>1324445399.6550093</v>
      </c>
    </row>
    <row r="36" spans="1:9" x14ac:dyDescent="0.25">
      <c r="A36" s="6">
        <v>20150213</v>
      </c>
      <c r="B36" s="11">
        <f>VLOOKUP(A36,DAP!$A$6:$U$93,5,FALSE)</f>
        <v>704551697.7459054</v>
      </c>
      <c r="C36" s="11">
        <f>IF(ISNA(VLOOKUP($A36,ML!$A$6:$U$38,$B$2,FALSE)),C35,VLOOKUP(A36,ML!$A$6:$U$38,$B$2,FALSE))</f>
        <v>186321788.51338547</v>
      </c>
      <c r="D36" s="11">
        <f>IF(ISNA(VLOOKUP($A36,USL!$A$6:$U$38,$B$2,FALSE)),D35,VLOOKUP($A36,USL!$A$6:$U$38,$B$2,FALSE))</f>
        <v>76996239.695793062</v>
      </c>
      <c r="E36" s="11">
        <f>IF(ISNA(VLOOKUP($A36,'VALIC-GMWB'!$A$6:$U$38,$B$2,FALSE)),E35,VLOOKUP($A36,'VALIC-GMWB'!$A$6:$U$38,$B$2,FALSE))</f>
        <v>89351053.873495728</v>
      </c>
      <c r="F36" s="11">
        <f>IF(ISNA(VLOOKUP($A36,'VALIC-VIX-DAP'!$A$6:$U$38,$B$2,FALSE)),F35,VLOOKUP($A36,'VALIC-VIX-DAP'!$A$6:$U$38,$B$2,FALSE))</f>
        <v>89496890.132962227</v>
      </c>
      <c r="G36" s="11">
        <f>IF(ISNA(VLOOKUP($A36,VIX!$A$6:$U$38,$B$2,FALSE)),G35,VLOOKUP($A36,VIX!$A$6:$U$38,$B$2,FALSE))</f>
        <v>157195449.08618307</v>
      </c>
      <c r="H36" s="11">
        <f>IF(ISNA(VLOOKUP($A36,GMAB!$A$6:$U$38,$B$2,FALSE)),H35,VLOOKUP($A36,GMAB!$A$6:$U$38,$B$2,FALSE))</f>
        <v>512886.24956554547</v>
      </c>
      <c r="I36" s="19">
        <f t="shared" si="0"/>
        <v>1304426005.2972906</v>
      </c>
    </row>
    <row r="37" spans="1:9" x14ac:dyDescent="0.25">
      <c r="A37" s="6">
        <v>20150217</v>
      </c>
      <c r="B37" s="11">
        <f>VLOOKUP(A37,DAP!$A$6:$U$93,5,FALSE)</f>
        <v>687535284.34462428</v>
      </c>
      <c r="C37" s="11">
        <f>IF(ISNA(VLOOKUP($A37,ML!$A$6:$U$38,$B$2,FALSE)),C36,VLOOKUP(A37,ML!$A$6:$U$38,$B$2,FALSE))</f>
        <v>186321788.51338547</v>
      </c>
      <c r="D37" s="11">
        <f>IF(ISNA(VLOOKUP($A37,USL!$A$6:$U$38,$B$2,FALSE)),D36,VLOOKUP($A37,USL!$A$6:$U$38,$B$2,FALSE))</f>
        <v>76996239.695793062</v>
      </c>
      <c r="E37" s="11">
        <f>IF(ISNA(VLOOKUP($A37,'VALIC-GMWB'!$A$6:$U$38,$B$2,FALSE)),E36,VLOOKUP($A37,'VALIC-GMWB'!$A$6:$U$38,$B$2,FALSE))</f>
        <v>89351053.873495728</v>
      </c>
      <c r="F37" s="11">
        <f>IF(ISNA(VLOOKUP($A37,'VALIC-VIX-DAP'!$A$6:$U$38,$B$2,FALSE)),F36,VLOOKUP($A37,'VALIC-VIX-DAP'!$A$6:$U$38,$B$2,FALSE))</f>
        <v>89496890.132962227</v>
      </c>
      <c r="G37" s="11">
        <f>IF(ISNA(VLOOKUP($A37,VIX!$A$6:$U$38,$B$2,FALSE)),G36,VLOOKUP($A37,VIX!$A$6:$U$38,$B$2,FALSE))</f>
        <v>150099042.31755066</v>
      </c>
      <c r="H37" s="11">
        <f>IF(ISNA(VLOOKUP($A37,GMAB!$A$6:$U$38,$B$2,FALSE)),H36,VLOOKUP($A37,GMAB!$A$6:$U$38,$B$2,FALSE))</f>
        <v>512886.24956554547</v>
      </c>
      <c r="I37" s="19">
        <f t="shared" si="0"/>
        <v>1280313185.127377</v>
      </c>
    </row>
    <row r="38" spans="1:9" x14ac:dyDescent="0.25">
      <c r="A38" s="6">
        <v>20150218</v>
      </c>
      <c r="B38" s="11">
        <f>VLOOKUP(A38,DAP!$A$6:$U$93,5,FALSE)</f>
        <v>692359503.32005811</v>
      </c>
      <c r="C38" s="11">
        <f>IF(ISNA(VLOOKUP($A38,ML!$A$6:$U$38,$B$2,FALSE)),C37,VLOOKUP(A38,ML!$A$6:$U$38,$B$2,FALSE))</f>
        <v>186321788.51338547</v>
      </c>
      <c r="D38" s="11">
        <f>IF(ISNA(VLOOKUP($A38,USL!$A$6:$U$38,$B$2,FALSE)),D37,VLOOKUP($A38,USL!$A$6:$U$38,$B$2,FALSE))</f>
        <v>73901431.985177845</v>
      </c>
      <c r="E38" s="11">
        <f>IF(ISNA(VLOOKUP($A38,'VALIC-GMWB'!$A$6:$U$38,$B$2,FALSE)),E37,VLOOKUP($A38,'VALIC-GMWB'!$A$6:$U$38,$B$2,FALSE))</f>
        <v>86292963.452515513</v>
      </c>
      <c r="F38" s="11">
        <f>IF(ISNA(VLOOKUP($A38,'VALIC-VIX-DAP'!$A$6:$U$38,$B$2,FALSE)),F37,VLOOKUP($A38,'VALIC-VIX-DAP'!$A$6:$U$38,$B$2,FALSE))</f>
        <v>86635259.52817297</v>
      </c>
      <c r="G38" s="11">
        <f>IF(ISNA(VLOOKUP($A38,VIX!$A$6:$U$38,$B$2,FALSE)),G37,VLOOKUP($A38,VIX!$A$6:$U$38,$B$2,FALSE))</f>
        <v>150099042.31755066</v>
      </c>
      <c r="H38" s="11">
        <f>IF(ISNA(VLOOKUP($A38,GMAB!$A$6:$U$38,$B$2,FALSE)),H37,VLOOKUP($A38,GMAB!$A$6:$U$38,$B$2,FALSE))</f>
        <v>512886.24956554547</v>
      </c>
      <c r="I38" s="19">
        <f t="shared" si="0"/>
        <v>1276122875.3664262</v>
      </c>
    </row>
    <row r="39" spans="1:9" x14ac:dyDescent="0.25">
      <c r="A39" s="6">
        <v>20150219</v>
      </c>
      <c r="B39" s="11">
        <f>VLOOKUP(A39,DAP!$A$6:$U$93,5,FALSE)</f>
        <v>689002901.49051476</v>
      </c>
      <c r="C39" s="11">
        <f>IF(ISNA(VLOOKUP($A39,ML!$A$6:$U$38,$B$2,FALSE)),C38,VLOOKUP(A39,ML!$A$6:$U$38,$B$2,FALSE))</f>
        <v>182749407.63597357</v>
      </c>
      <c r="D39" s="11">
        <f>IF(ISNA(VLOOKUP($A39,USL!$A$6:$U$38,$B$2,FALSE)),D38,VLOOKUP($A39,USL!$A$6:$U$38,$B$2,FALSE))</f>
        <v>73901431.985177845</v>
      </c>
      <c r="E39" s="11">
        <f>IF(ISNA(VLOOKUP($A39,'VALIC-GMWB'!$A$6:$U$38,$B$2,FALSE)),E38,VLOOKUP($A39,'VALIC-GMWB'!$A$6:$U$38,$B$2,FALSE))</f>
        <v>86292963.452515513</v>
      </c>
      <c r="F39" s="11">
        <f>IF(ISNA(VLOOKUP($A39,'VALIC-VIX-DAP'!$A$6:$U$38,$B$2,FALSE)),F38,VLOOKUP($A39,'VALIC-VIX-DAP'!$A$6:$U$38,$B$2,FALSE))</f>
        <v>86635259.52817297</v>
      </c>
      <c r="G39" s="11">
        <f>IF(ISNA(VLOOKUP($A39,VIX!$A$6:$U$38,$B$2,FALSE)),G38,VLOOKUP($A39,VIX!$A$6:$U$38,$B$2,FALSE))</f>
        <v>150099042.31755066</v>
      </c>
      <c r="H39" s="11">
        <f>IF(ISNA(VLOOKUP($A39,GMAB!$A$6:$U$38,$B$2,FALSE)),H38,VLOOKUP($A39,GMAB!$A$6:$U$38,$B$2,FALSE))</f>
        <v>508741.86776806414</v>
      </c>
      <c r="I39" s="19">
        <f t="shared" si="0"/>
        <v>1269189748.2776735</v>
      </c>
    </row>
    <row r="40" spans="1:9" x14ac:dyDescent="0.25">
      <c r="A40" s="6">
        <v>20150220</v>
      </c>
      <c r="B40" s="11">
        <f>VLOOKUP(A40,DAP!$A$6:$U$93,5,FALSE)</f>
        <v>696641150.98986983</v>
      </c>
      <c r="C40" s="11">
        <f>IF(ISNA(VLOOKUP($A40,ML!$A$6:$U$38,$B$2,FALSE)),C39,VLOOKUP(A40,ML!$A$6:$U$38,$B$2,FALSE))</f>
        <v>182749407.63597357</v>
      </c>
      <c r="D40" s="11">
        <f>IF(ISNA(VLOOKUP($A40,USL!$A$6:$U$38,$B$2,FALSE)),D39,VLOOKUP($A40,USL!$A$6:$U$38,$B$2,FALSE))</f>
        <v>73901431.985177845</v>
      </c>
      <c r="E40" s="11">
        <f>IF(ISNA(VLOOKUP($A40,'VALIC-GMWB'!$A$6:$U$38,$B$2,FALSE)),E39,VLOOKUP($A40,'VALIC-GMWB'!$A$6:$U$38,$B$2,FALSE))</f>
        <v>86292963.452515513</v>
      </c>
      <c r="F40" s="11">
        <f>IF(ISNA(VLOOKUP($A40,'VALIC-VIX-DAP'!$A$6:$U$38,$B$2,FALSE)),F39,VLOOKUP($A40,'VALIC-VIX-DAP'!$A$6:$U$38,$B$2,FALSE))</f>
        <v>86635259.52817297</v>
      </c>
      <c r="G40" s="11">
        <f>IF(ISNA(VLOOKUP($A40,VIX!$A$6:$U$38,$B$2,FALSE)),G39,VLOOKUP($A40,VIX!$A$6:$U$38,$B$2,FALSE))</f>
        <v>151464622.36625457</v>
      </c>
      <c r="H40" s="11">
        <f>IF(ISNA(VLOOKUP($A40,GMAB!$A$6:$U$38,$B$2,FALSE)),H39,VLOOKUP($A40,GMAB!$A$6:$U$38,$B$2,FALSE))</f>
        <v>508741.86776806414</v>
      </c>
      <c r="I40" s="19">
        <f t="shared" si="0"/>
        <v>1278193577.8257322</v>
      </c>
    </row>
    <row r="41" spans="1:9" x14ac:dyDescent="0.25">
      <c r="A41" s="6">
        <v>20150223</v>
      </c>
      <c r="B41" s="11">
        <f>VLOOKUP(A41,DAP!$A$6:$U$93,5,FALSE)</f>
        <v>706790900.93388104</v>
      </c>
      <c r="C41" s="11">
        <f>IF(ISNA(VLOOKUP($A41,ML!$A$6:$U$38,$B$2,FALSE)),C40,VLOOKUP(A41,ML!$A$6:$U$38,$B$2,FALSE))</f>
        <v>182749407.63597357</v>
      </c>
      <c r="D41" s="11">
        <f>IF(ISNA(VLOOKUP($A41,USL!$A$6:$U$38,$B$2,FALSE)),D40,VLOOKUP($A41,USL!$A$6:$U$38,$B$2,FALSE))</f>
        <v>75031535.40108189</v>
      </c>
      <c r="E41" s="11">
        <f>IF(ISNA(VLOOKUP($A41,'VALIC-GMWB'!$A$6:$U$38,$B$2,FALSE)),E40,VLOOKUP($A41,'VALIC-GMWB'!$A$6:$U$38,$B$2,FALSE))</f>
        <v>87697879.763167858</v>
      </c>
      <c r="F41" s="11">
        <f>IF(ISNA(VLOOKUP($A41,'VALIC-VIX-DAP'!$A$6:$U$38,$B$2,FALSE)),F40,VLOOKUP($A41,'VALIC-VIX-DAP'!$A$6:$U$38,$B$2,FALSE))</f>
        <v>88331678.197345257</v>
      </c>
      <c r="G41" s="11">
        <f>IF(ISNA(VLOOKUP($A41,VIX!$A$6:$U$38,$B$2,FALSE)),G40,VLOOKUP($A41,VIX!$A$6:$U$38,$B$2,FALSE))</f>
        <v>151464622.36625457</v>
      </c>
      <c r="H41" s="11">
        <f>IF(ISNA(VLOOKUP($A41,GMAB!$A$6:$U$38,$B$2,FALSE)),H40,VLOOKUP($A41,GMAB!$A$6:$U$38,$B$2,FALSE))</f>
        <v>508741.86776806414</v>
      </c>
      <c r="I41" s="19">
        <f t="shared" si="0"/>
        <v>1292574766.1654723</v>
      </c>
    </row>
    <row r="42" spans="1:9" x14ac:dyDescent="0.25">
      <c r="A42" s="6">
        <v>20150224</v>
      </c>
      <c r="B42" s="11">
        <f>VLOOKUP(A42,DAP!$A$6:$U$93,5,FALSE)</f>
        <v>725572595.55351067</v>
      </c>
      <c r="C42" s="11">
        <f>IF(ISNA(VLOOKUP($A42,ML!$A$6:$U$38,$B$2,FALSE)),C41,VLOOKUP(A42,ML!$A$6:$U$38,$B$2,FALSE))</f>
        <v>189110973.69111902</v>
      </c>
      <c r="D42" s="11">
        <f>IF(ISNA(VLOOKUP($A42,USL!$A$6:$U$38,$B$2,FALSE)),D41,VLOOKUP($A42,USL!$A$6:$U$38,$B$2,FALSE))</f>
        <v>75031535.40108189</v>
      </c>
      <c r="E42" s="11">
        <f>IF(ISNA(VLOOKUP($A42,'VALIC-GMWB'!$A$6:$U$38,$B$2,FALSE)),E41,VLOOKUP($A42,'VALIC-GMWB'!$A$6:$U$38,$B$2,FALSE))</f>
        <v>87697879.763167858</v>
      </c>
      <c r="F42" s="11">
        <f>IF(ISNA(VLOOKUP($A42,'VALIC-VIX-DAP'!$A$6:$U$38,$B$2,FALSE)),F41,VLOOKUP($A42,'VALIC-VIX-DAP'!$A$6:$U$38,$B$2,FALSE))</f>
        <v>88331678.197345257</v>
      </c>
      <c r="G42" s="11">
        <f>IF(ISNA(VLOOKUP($A42,VIX!$A$6:$U$38,$B$2,FALSE)),G41,VLOOKUP($A42,VIX!$A$6:$U$38,$B$2,FALSE))</f>
        <v>151464622.36625457</v>
      </c>
      <c r="H42" s="11">
        <f>IF(ISNA(VLOOKUP($A42,GMAB!$A$6:$U$38,$B$2,FALSE)),H41,VLOOKUP($A42,GMAB!$A$6:$U$38,$B$2,FALSE))</f>
        <v>488031.23977014981</v>
      </c>
      <c r="I42" s="19">
        <f t="shared" si="0"/>
        <v>1317697316.2122493</v>
      </c>
    </row>
    <row r="43" spans="1:9" x14ac:dyDescent="0.25">
      <c r="A43" s="6">
        <v>20150225</v>
      </c>
      <c r="B43" s="11">
        <f>VLOOKUP(A43,DAP!$A$6:$U$93,5,FALSE)</f>
        <v>729164804.68525791</v>
      </c>
      <c r="C43" s="11">
        <f>IF(ISNA(VLOOKUP($A43,ML!$A$6:$U$38,$B$2,FALSE)),C42,VLOOKUP(A43,ML!$A$6:$U$38,$B$2,FALSE))</f>
        <v>189110973.69111902</v>
      </c>
      <c r="D43" s="11">
        <f>IF(ISNA(VLOOKUP($A43,USL!$A$6:$U$38,$B$2,FALSE)),D42,VLOOKUP($A43,USL!$A$6:$U$38,$B$2,FALSE))</f>
        <v>75031535.40108189</v>
      </c>
      <c r="E43" s="11">
        <f>IF(ISNA(VLOOKUP($A43,'VALIC-GMWB'!$A$6:$U$38,$B$2,FALSE)),E42,VLOOKUP($A43,'VALIC-GMWB'!$A$6:$U$38,$B$2,FALSE))</f>
        <v>87697879.763167858</v>
      </c>
      <c r="F43" s="11">
        <f>IF(ISNA(VLOOKUP($A43,'VALIC-VIX-DAP'!$A$6:$U$38,$B$2,FALSE)),F42,VLOOKUP($A43,'VALIC-VIX-DAP'!$A$6:$U$38,$B$2,FALSE))</f>
        <v>88331678.197345257</v>
      </c>
      <c r="G43" s="11">
        <f>IF(ISNA(VLOOKUP($A43,VIX!$A$6:$U$38,$B$2,FALSE)),G42,VLOOKUP($A43,VIX!$A$6:$U$38,$B$2,FALSE))</f>
        <v>157051872.55254221</v>
      </c>
      <c r="H43" s="11">
        <f>IF(ISNA(VLOOKUP($A43,GMAB!$A$6:$U$38,$B$2,FALSE)),H42,VLOOKUP($A43,GMAB!$A$6:$U$38,$B$2,FALSE))</f>
        <v>488031.23977014981</v>
      </c>
      <c r="I43" s="19">
        <f t="shared" si="0"/>
        <v>1326876775.5302842</v>
      </c>
    </row>
    <row r="44" spans="1:9" x14ac:dyDescent="0.25">
      <c r="A44" s="6">
        <v>20150226</v>
      </c>
      <c r="B44" s="11">
        <f>VLOOKUP(A44,DAP!$A$6:$U$93,5,FALSE)</f>
        <v>716449883.92803121</v>
      </c>
      <c r="C44" s="11">
        <f>IF(ISNA(VLOOKUP($A44,ML!$A$6:$U$38,$B$2,FALSE)),C43,VLOOKUP(A44,ML!$A$6:$U$38,$B$2,FALSE))</f>
        <v>189110973.69111902</v>
      </c>
      <c r="D44" s="11">
        <f>IF(ISNA(VLOOKUP($A44,USL!$A$6:$U$38,$B$2,FALSE)),D43,VLOOKUP($A44,USL!$A$6:$U$38,$B$2,FALSE))</f>
        <v>75547958.059767038</v>
      </c>
      <c r="E44" s="11">
        <f>IF(ISNA(VLOOKUP($A44,'VALIC-GMWB'!$A$6:$U$38,$B$2,FALSE)),E43,VLOOKUP($A44,'VALIC-GMWB'!$A$6:$U$38,$B$2,FALSE))</f>
        <v>88158245.019282877</v>
      </c>
      <c r="F44" s="11">
        <f>IF(ISNA(VLOOKUP($A44,'VALIC-VIX-DAP'!$A$6:$U$38,$B$2,FALSE)),F43,VLOOKUP($A44,'VALIC-VIX-DAP'!$A$6:$U$38,$B$2,FALSE))</f>
        <v>88845092.418050289</v>
      </c>
      <c r="G44" s="11">
        <f>IF(ISNA(VLOOKUP($A44,VIX!$A$6:$U$38,$B$2,FALSE)),G43,VLOOKUP($A44,VIX!$A$6:$U$38,$B$2,FALSE))</f>
        <v>157051872.55254221</v>
      </c>
      <c r="H44" s="11">
        <f>IF(ISNA(VLOOKUP($A44,GMAB!$A$6:$U$38,$B$2,FALSE)),H43,VLOOKUP($A44,GMAB!$A$6:$U$38,$B$2,FALSE))</f>
        <v>488031.23977014981</v>
      </c>
      <c r="I44" s="19">
        <f t="shared" si="0"/>
        <v>1315652056.9085627</v>
      </c>
    </row>
    <row r="45" spans="1:9" x14ac:dyDescent="0.25">
      <c r="A45" s="6">
        <v>20150227</v>
      </c>
      <c r="B45" s="11">
        <f>VLOOKUP(A45,DAP!$A$6:$U$93,5,FALSE)</f>
        <v>731830629.70883608</v>
      </c>
      <c r="C45" s="11">
        <f>IF(ISNA(VLOOKUP($A45,ML!$A$6:$U$38,$B$2,FALSE)),C44,VLOOKUP(A45,ML!$A$6:$U$38,$B$2,FALSE))</f>
        <v>189002779.31197172</v>
      </c>
      <c r="D45" s="11">
        <f>IF(ISNA(VLOOKUP($A45,USL!$A$6:$U$38,$B$2,FALSE)),D44,VLOOKUP($A45,USL!$A$6:$U$38,$B$2,FALSE))</f>
        <v>76706964.954095632</v>
      </c>
      <c r="E45" s="11">
        <f>IF(ISNA(VLOOKUP($A45,'VALIC-GMWB'!$A$6:$U$38,$B$2,FALSE)),E44,VLOOKUP($A45,'VALIC-GMWB'!$A$6:$U$38,$B$2,FALSE))</f>
        <v>89236138.625137329</v>
      </c>
      <c r="F45" s="11">
        <f>IF(ISNA(VLOOKUP($A45,'VALIC-VIX-DAP'!$A$6:$U$38,$B$2,FALSE)),F44,VLOOKUP($A45,'VALIC-VIX-DAP'!$A$6:$U$38,$B$2,FALSE))</f>
        <v>89911056.682195187</v>
      </c>
      <c r="G45" s="11">
        <f>IF(ISNA(VLOOKUP($A45,VIX!$A$6:$U$38,$B$2,FALSE)),G44,VLOOKUP($A45,VIX!$A$6:$U$38,$B$2,FALSE))</f>
        <v>156004058.43998003</v>
      </c>
      <c r="H45" s="11">
        <f>IF(ISNA(VLOOKUP($A45,GMAB!$A$6:$U$38,$B$2,FALSE)),H44,VLOOKUP($A45,GMAB!$A$6:$U$38,$B$2,FALSE))</f>
        <v>489936.50785525888</v>
      </c>
      <c r="I45" s="19">
        <f t="shared" si="0"/>
        <v>1333181564.2300711</v>
      </c>
    </row>
    <row r="46" spans="1:9" x14ac:dyDescent="0.25">
      <c r="A46" s="6">
        <v>20150302</v>
      </c>
      <c r="B46" s="11">
        <f>VLOOKUP(A46,DAP!$A$6:$U$93,5,FALSE)</f>
        <v>707825070.82751083</v>
      </c>
      <c r="C46" s="11">
        <f>IF(ISNA(VLOOKUP($A46,ML!$A$6:$U$38,$B$2,FALSE)),C45,VLOOKUP(A46,ML!$A$6:$U$38,$B$2,FALSE))</f>
        <v>189002779.31197172</v>
      </c>
      <c r="D46" s="11">
        <f>IF(ISNA(VLOOKUP($A46,USL!$A$6:$U$38,$B$2,FALSE)),D45,VLOOKUP($A46,USL!$A$6:$U$38,$B$2,FALSE))</f>
        <v>76706964.954095632</v>
      </c>
      <c r="E46" s="11">
        <f>IF(ISNA(VLOOKUP($A46,'VALIC-GMWB'!$A$6:$U$38,$B$2,FALSE)),E45,VLOOKUP($A46,'VALIC-GMWB'!$A$6:$U$38,$B$2,FALSE))</f>
        <v>89236138.625137329</v>
      </c>
      <c r="F46" s="11">
        <f>IF(ISNA(VLOOKUP($A46,'VALIC-VIX-DAP'!$A$6:$U$38,$B$2,FALSE)),F45,VLOOKUP($A46,'VALIC-VIX-DAP'!$A$6:$U$38,$B$2,FALSE))</f>
        <v>89911056.682195187</v>
      </c>
      <c r="G46" s="11">
        <f>IF(ISNA(VLOOKUP($A46,VIX!$A$6:$U$38,$B$2,FALSE)),G45,VLOOKUP($A46,VIX!$A$6:$U$38,$B$2,FALSE))</f>
        <v>151437410.27591658</v>
      </c>
      <c r="H46" s="11">
        <f>IF(ISNA(VLOOKUP($A46,GMAB!$A$6:$U$38,$B$2,FALSE)),H45,VLOOKUP($A46,GMAB!$A$6:$U$38,$B$2,FALSE))</f>
        <v>489936.50785525888</v>
      </c>
      <c r="I46" s="19">
        <f t="shared" si="0"/>
        <v>1304609357.1846824</v>
      </c>
    </row>
    <row r="47" spans="1:9" x14ac:dyDescent="0.25">
      <c r="A47" s="6">
        <v>20150303</v>
      </c>
      <c r="B47" s="11">
        <f>VLOOKUP(A47,DAP!$A$6:$U$93,5,FALSE)</f>
        <v>705556185.79869127</v>
      </c>
      <c r="C47" s="11">
        <f>IF(ISNA(VLOOKUP($A47,ML!$A$6:$U$38,$B$2,FALSE)),C46,VLOOKUP(A47,ML!$A$6:$U$38,$B$2,FALSE))</f>
        <v>189002779.31197172</v>
      </c>
      <c r="D47" s="11">
        <f>IF(ISNA(VLOOKUP($A47,USL!$A$6:$U$38,$B$2,FALSE)),D46,VLOOKUP($A47,USL!$A$6:$U$38,$B$2,FALSE))</f>
        <v>73940648.238915473</v>
      </c>
      <c r="E47" s="11">
        <f>IF(ISNA(VLOOKUP($A47,'VALIC-GMWB'!$A$6:$U$38,$B$2,FALSE)),E46,VLOOKUP($A47,'VALIC-GMWB'!$A$6:$U$38,$B$2,FALSE))</f>
        <v>86001656.277374387</v>
      </c>
      <c r="F47" s="11">
        <f>IF(ISNA(VLOOKUP($A47,'VALIC-VIX-DAP'!$A$6:$U$38,$B$2,FALSE)),F46,VLOOKUP($A47,'VALIC-VIX-DAP'!$A$6:$U$38,$B$2,FALSE))</f>
        <v>86846391.971783638</v>
      </c>
      <c r="G47" s="11">
        <f>IF(ISNA(VLOOKUP($A47,VIX!$A$6:$U$38,$B$2,FALSE)),G46,VLOOKUP($A47,VIX!$A$6:$U$38,$B$2,FALSE))</f>
        <v>151437410.27591658</v>
      </c>
      <c r="H47" s="11">
        <f>IF(ISNA(VLOOKUP($A47,GMAB!$A$6:$U$38,$B$2,FALSE)),H46,VLOOKUP($A47,GMAB!$A$6:$U$38,$B$2,FALSE))</f>
        <v>489936.50785525888</v>
      </c>
      <c r="I47" s="19">
        <f t="shared" si="0"/>
        <v>1293275008.382508</v>
      </c>
    </row>
    <row r="48" spans="1:9" x14ac:dyDescent="0.25">
      <c r="A48" s="6">
        <v>20150304</v>
      </c>
      <c r="B48" s="11">
        <f>VLOOKUP(A48,DAP!$A$6:$U$93,5,FALSE)</f>
        <v>708316372.88061905</v>
      </c>
      <c r="C48" s="11">
        <f>IF(ISNA(VLOOKUP($A48,ML!$A$6:$U$38,$B$2,FALSE)),C47,VLOOKUP(A48,ML!$A$6:$U$38,$B$2,FALSE))</f>
        <v>183890237.93496019</v>
      </c>
      <c r="D48" s="11">
        <f>IF(ISNA(VLOOKUP($A48,USL!$A$6:$U$38,$B$2,FALSE)),D47,VLOOKUP($A48,USL!$A$6:$U$38,$B$2,FALSE))</f>
        <v>73940648.238915473</v>
      </c>
      <c r="E48" s="11">
        <f>IF(ISNA(VLOOKUP($A48,'VALIC-GMWB'!$A$6:$U$38,$B$2,FALSE)),E47,VLOOKUP($A48,'VALIC-GMWB'!$A$6:$U$38,$B$2,FALSE))</f>
        <v>86001656.277374387</v>
      </c>
      <c r="F48" s="11">
        <f>IF(ISNA(VLOOKUP($A48,'VALIC-VIX-DAP'!$A$6:$U$38,$B$2,FALSE)),F47,VLOOKUP($A48,'VALIC-VIX-DAP'!$A$6:$U$38,$B$2,FALSE))</f>
        <v>86846391.971783638</v>
      </c>
      <c r="G48" s="11">
        <f>IF(ISNA(VLOOKUP($A48,VIX!$A$6:$U$38,$B$2,FALSE)),G47,VLOOKUP($A48,VIX!$A$6:$U$38,$B$2,FALSE))</f>
        <v>151437410.27591658</v>
      </c>
      <c r="H48" s="11">
        <f>IF(ISNA(VLOOKUP($A48,GMAB!$A$6:$U$38,$B$2,FALSE)),H47,VLOOKUP($A48,GMAB!$A$6:$U$38,$B$2,FALSE))</f>
        <v>484802.51079194061</v>
      </c>
      <c r="I48" s="19">
        <f t="shared" si="0"/>
        <v>1290917520.0903614</v>
      </c>
    </row>
    <row r="49" spans="1:9" x14ac:dyDescent="0.25">
      <c r="A49" s="6">
        <v>20150305</v>
      </c>
      <c r="B49" s="11">
        <f>VLOOKUP(A49,DAP!$A$6:$U$93,5,FALSE)</f>
        <v>704506372.30409908</v>
      </c>
      <c r="C49" s="11">
        <f>IF(ISNA(VLOOKUP($A49,ML!$A$6:$U$38,$B$2,FALSE)),C48,VLOOKUP(A49,ML!$A$6:$U$38,$B$2,FALSE))</f>
        <v>183890237.93496019</v>
      </c>
      <c r="D49" s="11">
        <f>IF(ISNA(VLOOKUP($A49,USL!$A$6:$U$38,$B$2,FALSE)),D48,VLOOKUP($A49,USL!$A$6:$U$38,$B$2,FALSE))</f>
        <v>73940648.238915473</v>
      </c>
      <c r="E49" s="11">
        <f>IF(ISNA(VLOOKUP($A49,'VALIC-GMWB'!$A$6:$U$38,$B$2,FALSE)),E48,VLOOKUP($A49,'VALIC-GMWB'!$A$6:$U$38,$B$2,FALSE))</f>
        <v>86001656.277374387</v>
      </c>
      <c r="F49" s="11">
        <f>IF(ISNA(VLOOKUP($A49,'VALIC-VIX-DAP'!$A$6:$U$38,$B$2,FALSE)),F48,VLOOKUP($A49,'VALIC-VIX-DAP'!$A$6:$U$38,$B$2,FALSE))</f>
        <v>86846391.971783638</v>
      </c>
      <c r="G49" s="11">
        <f>IF(ISNA(VLOOKUP($A49,VIX!$A$6:$U$38,$B$2,FALSE)),G48,VLOOKUP($A49,VIX!$A$6:$U$38,$B$2,FALSE))</f>
        <v>151226159.91178679</v>
      </c>
      <c r="H49" s="11">
        <f>IF(ISNA(VLOOKUP($A49,GMAB!$A$6:$U$38,$B$2,FALSE)),H48,VLOOKUP($A49,GMAB!$A$6:$U$38,$B$2,FALSE))</f>
        <v>484802.51079194061</v>
      </c>
      <c r="I49" s="19">
        <f t="shared" si="0"/>
        <v>1286896269.1497116</v>
      </c>
    </row>
    <row r="50" spans="1:9" x14ac:dyDescent="0.25">
      <c r="A50" s="6">
        <v>20150306</v>
      </c>
      <c r="B50" s="11">
        <f>VLOOKUP(A50,DAP!$A$6:$U$93,5,FALSE)</f>
        <v>690555810.17830992</v>
      </c>
      <c r="C50" s="11">
        <f>IF(ISNA(VLOOKUP($A50,ML!$A$6:$U$38,$B$2,FALSE)),C49,VLOOKUP(A50,ML!$A$6:$U$38,$B$2,FALSE))</f>
        <v>183890237.93496019</v>
      </c>
      <c r="D50" s="11">
        <f>IF(ISNA(VLOOKUP($A50,USL!$A$6:$U$38,$B$2,FALSE)),D49,VLOOKUP($A50,USL!$A$6:$U$38,$B$2,FALSE))</f>
        <v>72446171.923975945</v>
      </c>
      <c r="E50" s="11">
        <f>IF(ISNA(VLOOKUP($A50,'VALIC-GMWB'!$A$6:$U$38,$B$2,FALSE)),E49,VLOOKUP($A50,'VALIC-GMWB'!$A$6:$U$38,$B$2,FALSE))</f>
        <v>83585904.797917366</v>
      </c>
      <c r="F50" s="11">
        <f>IF(ISNA(VLOOKUP($A50,'VALIC-VIX-DAP'!$A$6:$U$38,$B$2,FALSE)),F49,VLOOKUP($A50,'VALIC-VIX-DAP'!$A$6:$U$38,$B$2,FALSE))</f>
        <v>84744802.581279278</v>
      </c>
      <c r="G50" s="11">
        <f>IF(ISNA(VLOOKUP($A50,VIX!$A$6:$U$38,$B$2,FALSE)),G49,VLOOKUP($A50,VIX!$A$6:$U$38,$B$2,FALSE))</f>
        <v>151226159.91178679</v>
      </c>
      <c r="H50" s="11">
        <f>IF(ISNA(VLOOKUP($A50,GMAB!$A$6:$U$38,$B$2,FALSE)),H49,VLOOKUP($A50,GMAB!$A$6:$U$38,$B$2,FALSE))</f>
        <v>484802.51079194061</v>
      </c>
      <c r="I50" s="19">
        <f t="shared" si="0"/>
        <v>1266933889.8390214</v>
      </c>
    </row>
    <row r="51" spans="1:9" x14ac:dyDescent="0.25">
      <c r="A51" s="6">
        <v>20150309</v>
      </c>
      <c r="B51" s="11">
        <f>VLOOKUP(A51,DAP!$A$6:$U$93,5,FALSE)</f>
        <v>705453603.09325528</v>
      </c>
      <c r="C51" s="11">
        <f>IF(ISNA(VLOOKUP($A51,ML!$A$6:$U$38,$B$2,FALSE)),C50,VLOOKUP(A51,ML!$A$6:$U$38,$B$2,FALSE))</f>
        <v>182407585.78715885</v>
      </c>
      <c r="D51" s="11">
        <f>IF(ISNA(VLOOKUP($A51,USL!$A$6:$U$38,$B$2,FALSE)),D50,VLOOKUP($A51,USL!$A$6:$U$38,$B$2,FALSE))</f>
        <v>72446171.923975945</v>
      </c>
      <c r="E51" s="11">
        <f>IF(ISNA(VLOOKUP($A51,'VALIC-GMWB'!$A$6:$U$38,$B$2,FALSE)),E50,VLOOKUP($A51,'VALIC-GMWB'!$A$6:$U$38,$B$2,FALSE))</f>
        <v>83585904.797917366</v>
      </c>
      <c r="F51" s="11">
        <f>IF(ISNA(VLOOKUP($A51,'VALIC-VIX-DAP'!$A$6:$U$38,$B$2,FALSE)),F50,VLOOKUP($A51,'VALIC-VIX-DAP'!$A$6:$U$38,$B$2,FALSE))</f>
        <v>84744802.581279278</v>
      </c>
      <c r="G51" s="11">
        <f>IF(ISNA(VLOOKUP($A51,VIX!$A$6:$U$38,$B$2,FALSE)),G50,VLOOKUP($A51,VIX!$A$6:$U$38,$B$2,FALSE))</f>
        <v>151226159.91178679</v>
      </c>
      <c r="H51" s="11">
        <f>IF(ISNA(VLOOKUP($A51,GMAB!$A$6:$U$38,$B$2,FALSE)),H50,VLOOKUP($A51,GMAB!$A$6:$U$38,$B$2,FALSE))</f>
        <v>486342.6582410913</v>
      </c>
      <c r="I51" s="19">
        <f t="shared" si="0"/>
        <v>1280350570.7536144</v>
      </c>
    </row>
    <row r="52" spans="1:9" x14ac:dyDescent="0.25">
      <c r="A52" s="6">
        <v>20150310</v>
      </c>
      <c r="B52" s="11">
        <f>VLOOKUP(A52,DAP!$A$6:$U$93,5,FALSE)</f>
        <v>731425175.43764925</v>
      </c>
      <c r="C52" s="11">
        <f>IF(ISNA(VLOOKUP($A52,ML!$A$6:$U$38,$B$2,FALSE)),C51,VLOOKUP(A52,ML!$A$6:$U$38,$B$2,FALSE))</f>
        <v>182407585.78715885</v>
      </c>
      <c r="D52" s="11">
        <f>IF(ISNA(VLOOKUP($A52,USL!$A$6:$U$38,$B$2,FALSE)),D51,VLOOKUP($A52,USL!$A$6:$U$38,$B$2,FALSE))</f>
        <v>72446171.923975945</v>
      </c>
      <c r="E52" s="11">
        <f>IF(ISNA(VLOOKUP($A52,'VALIC-GMWB'!$A$6:$U$38,$B$2,FALSE)),E51,VLOOKUP($A52,'VALIC-GMWB'!$A$6:$U$38,$B$2,FALSE))</f>
        <v>83585904.797917366</v>
      </c>
      <c r="F52" s="11">
        <f>IF(ISNA(VLOOKUP($A52,'VALIC-VIX-DAP'!$A$6:$U$38,$B$2,FALSE)),F51,VLOOKUP($A52,'VALIC-VIX-DAP'!$A$6:$U$38,$B$2,FALSE))</f>
        <v>84744802.581279278</v>
      </c>
      <c r="G52" s="11">
        <f>IF(ISNA(VLOOKUP($A52,VIX!$A$6:$U$38,$B$2,FALSE)),G51,VLOOKUP($A52,VIX!$A$6:$U$38,$B$2,FALSE))</f>
        <v>154233113.75701189</v>
      </c>
      <c r="H52" s="11">
        <f>IF(ISNA(VLOOKUP($A52,GMAB!$A$6:$U$38,$B$2,FALSE)),H51,VLOOKUP($A52,GMAB!$A$6:$U$38,$B$2,FALSE))</f>
        <v>486342.6582410913</v>
      </c>
      <c r="I52" s="19">
        <f t="shared" si="0"/>
        <v>1309329096.9432337</v>
      </c>
    </row>
    <row r="53" spans="1:9" x14ac:dyDescent="0.25">
      <c r="A53" s="6">
        <v>20150311</v>
      </c>
      <c r="B53" s="11">
        <f>VLOOKUP(A53,DAP!$A$6:$U$93,5,FALSE)</f>
        <v>737573582.83657861</v>
      </c>
      <c r="C53" s="11">
        <f>IF(ISNA(VLOOKUP($A53,ML!$A$6:$U$38,$B$2,FALSE)),C52,VLOOKUP(A53,ML!$A$6:$U$38,$B$2,FALSE))</f>
        <v>182407585.78715885</v>
      </c>
      <c r="D53" s="11">
        <f>IF(ISNA(VLOOKUP($A53,USL!$A$6:$U$38,$B$2,FALSE)),D52,VLOOKUP($A53,USL!$A$6:$U$38,$B$2,FALSE))</f>
        <v>78921469.908989936</v>
      </c>
      <c r="E53" s="11">
        <f>IF(ISNA(VLOOKUP($A53,'VALIC-GMWB'!$A$6:$U$38,$B$2,FALSE)),E52,VLOOKUP($A53,'VALIC-GMWB'!$A$6:$U$38,$B$2,FALSE))</f>
        <v>87884198.743818998</v>
      </c>
      <c r="F53" s="11">
        <f>IF(ISNA(VLOOKUP($A53,'VALIC-VIX-DAP'!$A$6:$U$38,$B$2,FALSE)),F52,VLOOKUP($A53,'VALIC-VIX-DAP'!$A$6:$U$38,$B$2,FALSE))</f>
        <v>89143238.313642025</v>
      </c>
      <c r="G53" s="11">
        <f>IF(ISNA(VLOOKUP($A53,VIX!$A$6:$U$38,$B$2,FALSE)),G52,VLOOKUP($A53,VIX!$A$6:$U$38,$B$2,FALSE))</f>
        <v>154233113.75701189</v>
      </c>
      <c r="H53" s="11">
        <f>IF(ISNA(VLOOKUP($A53,GMAB!$A$6:$U$38,$B$2,FALSE)),H52,VLOOKUP($A53,GMAB!$A$6:$U$38,$B$2,FALSE))</f>
        <v>486342.6582410913</v>
      </c>
      <c r="I53" s="19">
        <f t="shared" si="0"/>
        <v>1330649532.0054414</v>
      </c>
    </row>
    <row r="54" spans="1:9" x14ac:dyDescent="0.25">
      <c r="A54" s="6">
        <v>20150312</v>
      </c>
      <c r="B54" s="11">
        <f>VLOOKUP(A54,DAP!$A$6:$U$93,5,FALSE)</f>
        <v>732617067.92174578</v>
      </c>
      <c r="C54" s="11">
        <f>IF(ISNA(VLOOKUP($A54,ML!$A$6:$U$38,$B$2,FALSE)),C53,VLOOKUP(A54,ML!$A$6:$U$38,$B$2,FALSE))</f>
        <v>186681931.60149854</v>
      </c>
      <c r="D54" s="11">
        <f>IF(ISNA(VLOOKUP($A54,USL!$A$6:$U$38,$B$2,FALSE)),D53,VLOOKUP($A54,USL!$A$6:$U$38,$B$2,FALSE))</f>
        <v>78921469.908989936</v>
      </c>
      <c r="E54" s="11">
        <f>IF(ISNA(VLOOKUP($A54,'VALIC-GMWB'!$A$6:$U$38,$B$2,FALSE)),E53,VLOOKUP($A54,'VALIC-GMWB'!$A$6:$U$38,$B$2,FALSE))</f>
        <v>87884198.743818998</v>
      </c>
      <c r="F54" s="11">
        <f>IF(ISNA(VLOOKUP($A54,'VALIC-VIX-DAP'!$A$6:$U$38,$B$2,FALSE)),F53,VLOOKUP($A54,'VALIC-VIX-DAP'!$A$6:$U$38,$B$2,FALSE))</f>
        <v>89143238.313642025</v>
      </c>
      <c r="G54" s="11">
        <f>IF(ISNA(VLOOKUP($A54,VIX!$A$6:$U$38,$B$2,FALSE)),G53,VLOOKUP($A54,VIX!$A$6:$U$38,$B$2,FALSE))</f>
        <v>154233113.75701189</v>
      </c>
      <c r="H54" s="11">
        <f>IF(ISNA(VLOOKUP($A54,GMAB!$A$6:$U$38,$B$2,FALSE)),H53,VLOOKUP($A54,GMAB!$A$6:$U$38,$B$2,FALSE))</f>
        <v>495022.8808946386</v>
      </c>
      <c r="I54" s="19">
        <f t="shared" si="0"/>
        <v>1329976043.1276019</v>
      </c>
    </row>
    <row r="55" spans="1:9" x14ac:dyDescent="0.25">
      <c r="A55" s="6">
        <v>20150313</v>
      </c>
      <c r="B55" s="11">
        <f>VLOOKUP(A55,DAP!$A$6:$U$93,5,FALSE)</f>
        <v>736146244.62844801</v>
      </c>
      <c r="C55" s="11">
        <f>IF(ISNA(VLOOKUP($A55,ML!$A$6:$U$38,$B$2,FALSE)),C54,VLOOKUP(A55,ML!$A$6:$U$38,$B$2,FALSE))</f>
        <v>186681931.60149854</v>
      </c>
      <c r="D55" s="11">
        <f>IF(ISNA(VLOOKUP($A55,USL!$A$6:$U$38,$B$2,FALSE)),D54,VLOOKUP($A55,USL!$A$6:$U$38,$B$2,FALSE))</f>
        <v>78921469.908989936</v>
      </c>
      <c r="E55" s="11">
        <f>IF(ISNA(VLOOKUP($A55,'VALIC-GMWB'!$A$6:$U$38,$B$2,FALSE)),E54,VLOOKUP($A55,'VALIC-GMWB'!$A$6:$U$38,$B$2,FALSE))</f>
        <v>87884198.743818998</v>
      </c>
      <c r="F55" s="11">
        <f>IF(ISNA(VLOOKUP($A55,'VALIC-VIX-DAP'!$A$6:$U$38,$B$2,FALSE)),F54,VLOOKUP($A55,'VALIC-VIX-DAP'!$A$6:$U$38,$B$2,FALSE))</f>
        <v>89143238.313642025</v>
      </c>
      <c r="G55" s="11">
        <f>IF(ISNA(VLOOKUP($A55,VIX!$A$6:$U$38,$B$2,FALSE)),G54,VLOOKUP($A55,VIX!$A$6:$U$38,$B$2,FALSE))</f>
        <v>153857563.46725559</v>
      </c>
      <c r="H55" s="11">
        <f>IF(ISNA(VLOOKUP($A55,GMAB!$A$6:$U$38,$B$2,FALSE)),H54,VLOOKUP($A55,GMAB!$A$6:$U$38,$B$2,FALSE))</f>
        <v>495022.8808946386</v>
      </c>
      <c r="I55" s="19">
        <f t="shared" si="0"/>
        <v>1333129669.5445478</v>
      </c>
    </row>
    <row r="56" spans="1:9" x14ac:dyDescent="0.25">
      <c r="A56" s="6">
        <v>20150316</v>
      </c>
      <c r="B56" s="11">
        <f>VLOOKUP(A56,DAP!$A$6:$U$93,5,FALSE)</f>
        <v>746752336.984658</v>
      </c>
      <c r="C56" s="11">
        <f>IF(ISNA(VLOOKUP($A56,ML!$A$6:$U$38,$B$2,FALSE)),C55,VLOOKUP(A56,ML!$A$6:$U$38,$B$2,FALSE))</f>
        <v>186681931.60149854</v>
      </c>
      <c r="D56" s="11">
        <f>IF(ISNA(VLOOKUP($A56,USL!$A$6:$U$38,$B$2,FALSE)),D55,VLOOKUP($A56,USL!$A$6:$U$38,$B$2,FALSE))</f>
        <v>78748222.573439598</v>
      </c>
      <c r="E56" s="11">
        <f>IF(ISNA(VLOOKUP($A56,'VALIC-GMWB'!$A$6:$U$38,$B$2,FALSE)),E55,VLOOKUP($A56,'VALIC-GMWB'!$A$6:$U$38,$B$2,FALSE))</f>
        <v>88079195.06572032</v>
      </c>
      <c r="F56" s="11">
        <f>IF(ISNA(VLOOKUP($A56,'VALIC-VIX-DAP'!$A$6:$U$38,$B$2,FALSE)),F55,VLOOKUP($A56,'VALIC-VIX-DAP'!$A$6:$U$38,$B$2,FALSE))</f>
        <v>89527537.362050056</v>
      </c>
      <c r="G56" s="11">
        <f>IF(ISNA(VLOOKUP($A56,VIX!$A$6:$U$38,$B$2,FALSE)),G55,VLOOKUP($A56,VIX!$A$6:$U$38,$B$2,FALSE))</f>
        <v>153857563.46725559</v>
      </c>
      <c r="H56" s="11">
        <f>IF(ISNA(VLOOKUP($A56,GMAB!$A$6:$U$38,$B$2,FALSE)),H55,VLOOKUP($A56,GMAB!$A$6:$U$38,$B$2,FALSE))</f>
        <v>495022.8808946386</v>
      </c>
      <c r="I56" s="19">
        <f t="shared" si="0"/>
        <v>1344141809.9355168</v>
      </c>
    </row>
    <row r="57" spans="1:9" x14ac:dyDescent="0.25">
      <c r="A57" s="6">
        <v>20150317</v>
      </c>
      <c r="B57" s="11">
        <f>VLOOKUP(A57,DAP!$A$6:$U$93,5,FALSE)</f>
        <v>756617935.6561389</v>
      </c>
      <c r="C57" s="11">
        <f>IF(ISNA(VLOOKUP($A57,ML!$A$6:$U$38,$B$2,FALSE)),C56,VLOOKUP(A57,ML!$A$6:$U$38,$B$2,FALSE))</f>
        <v>189982704.04019743</v>
      </c>
      <c r="D57" s="11">
        <f>IF(ISNA(VLOOKUP($A57,USL!$A$6:$U$38,$B$2,FALSE)),D56,VLOOKUP($A57,USL!$A$6:$U$38,$B$2,FALSE))</f>
        <v>78748222.573439598</v>
      </c>
      <c r="E57" s="11">
        <f>IF(ISNA(VLOOKUP($A57,'VALIC-GMWB'!$A$6:$U$38,$B$2,FALSE)),E56,VLOOKUP($A57,'VALIC-GMWB'!$A$6:$U$38,$B$2,FALSE))</f>
        <v>88079195.06572032</v>
      </c>
      <c r="F57" s="11">
        <f>IF(ISNA(VLOOKUP($A57,'VALIC-VIX-DAP'!$A$6:$U$38,$B$2,FALSE)),F56,VLOOKUP($A57,'VALIC-VIX-DAP'!$A$6:$U$38,$B$2,FALSE))</f>
        <v>89527537.362050056</v>
      </c>
      <c r="G57" s="11">
        <f>IF(ISNA(VLOOKUP($A57,VIX!$A$6:$U$38,$B$2,FALSE)),G56,VLOOKUP($A57,VIX!$A$6:$U$38,$B$2,FALSE))</f>
        <v>153857563.46725559</v>
      </c>
      <c r="H57" s="11">
        <f>IF(ISNA(VLOOKUP($A57,GMAB!$A$6:$U$38,$B$2,FALSE)),H56,VLOOKUP($A57,GMAB!$A$6:$U$38,$B$2,FALSE))</f>
        <v>486065.37054186314</v>
      </c>
      <c r="I57" s="19">
        <f t="shared" si="0"/>
        <v>1357299223.5353436</v>
      </c>
    </row>
    <row r="58" spans="1:9" x14ac:dyDescent="0.25">
      <c r="A58" s="6">
        <v>20150318</v>
      </c>
      <c r="B58" s="11">
        <f>VLOOKUP(A58,DAP!$A$6:$U$93,5,FALSE)</f>
        <v>776262389.29423952</v>
      </c>
      <c r="C58" s="11">
        <f>IF(ISNA(VLOOKUP($A58,ML!$A$6:$U$38,$B$2,FALSE)),C57,VLOOKUP(A58,ML!$A$6:$U$38,$B$2,FALSE))</f>
        <v>189982704.04019743</v>
      </c>
      <c r="D58" s="11">
        <f>IF(ISNA(VLOOKUP($A58,USL!$A$6:$U$38,$B$2,FALSE)),D57,VLOOKUP($A58,USL!$A$6:$U$38,$B$2,FALSE))</f>
        <v>78748222.573439598</v>
      </c>
      <c r="E58" s="11">
        <f>IF(ISNA(VLOOKUP($A58,'VALIC-GMWB'!$A$6:$U$38,$B$2,FALSE)),E57,VLOOKUP($A58,'VALIC-GMWB'!$A$6:$U$38,$B$2,FALSE))</f>
        <v>88079195.06572032</v>
      </c>
      <c r="F58" s="11">
        <f>IF(ISNA(VLOOKUP($A58,'VALIC-VIX-DAP'!$A$6:$U$38,$B$2,FALSE)),F57,VLOOKUP($A58,'VALIC-VIX-DAP'!$A$6:$U$38,$B$2,FALSE))</f>
        <v>89527537.362050056</v>
      </c>
      <c r="G58" s="11">
        <f>IF(ISNA(VLOOKUP($A58,VIX!$A$6:$U$38,$B$2,FALSE)),G57,VLOOKUP($A58,VIX!$A$6:$U$38,$B$2,FALSE))</f>
        <v>160720698.09006643</v>
      </c>
      <c r="H58" s="11">
        <f>IF(ISNA(VLOOKUP($A58,GMAB!$A$6:$U$38,$B$2,FALSE)),H57,VLOOKUP($A58,GMAB!$A$6:$U$38,$B$2,FALSE))</f>
        <v>486065.37054186314</v>
      </c>
      <c r="I58" s="19">
        <f t="shared" si="0"/>
        <v>1383806811.7962551</v>
      </c>
    </row>
    <row r="59" spans="1:9" x14ac:dyDescent="0.25">
      <c r="A59" s="6">
        <v>20150319</v>
      </c>
      <c r="B59" s="11">
        <f>VLOOKUP(A59,DAP!$A$6:$U$93,5,FALSE)</f>
        <v>778577361.25313759</v>
      </c>
      <c r="C59" s="11">
        <f>IF(ISNA(VLOOKUP($A59,ML!$A$6:$U$38,$B$2,FALSE)),C58,VLOOKUP(A59,ML!$A$6:$U$38,$B$2,FALSE))</f>
        <v>189982704.04019743</v>
      </c>
      <c r="D59" s="11">
        <f>IF(ISNA(VLOOKUP($A59,USL!$A$6:$U$38,$B$2,FALSE)),D58,VLOOKUP($A59,USL!$A$6:$U$38,$B$2,FALSE))</f>
        <v>81656163.114565134</v>
      </c>
      <c r="E59" s="11">
        <f>IF(ISNA(VLOOKUP($A59,'VALIC-GMWB'!$A$6:$U$38,$B$2,FALSE)),E58,VLOOKUP($A59,'VALIC-GMWB'!$A$6:$U$38,$B$2,FALSE))</f>
        <v>91734580.482084394</v>
      </c>
      <c r="F59" s="11">
        <f>IF(ISNA(VLOOKUP($A59,'VALIC-VIX-DAP'!$A$6:$U$38,$B$2,FALSE)),F58,VLOOKUP($A59,'VALIC-VIX-DAP'!$A$6:$U$38,$B$2,FALSE))</f>
        <v>92926071.654971123</v>
      </c>
      <c r="G59" s="11">
        <f>IF(ISNA(VLOOKUP($A59,VIX!$A$6:$U$38,$B$2,FALSE)),G58,VLOOKUP($A59,VIX!$A$6:$U$38,$B$2,FALSE))</f>
        <v>160720698.09006643</v>
      </c>
      <c r="H59" s="11">
        <f>IF(ISNA(VLOOKUP($A59,GMAB!$A$6:$U$38,$B$2,FALSE)),H58,VLOOKUP($A59,GMAB!$A$6:$U$38,$B$2,FALSE))</f>
        <v>486065.37054186314</v>
      </c>
      <c r="I59" s="19">
        <f t="shared" si="0"/>
        <v>1396083644.005564</v>
      </c>
    </row>
    <row r="60" spans="1:9" x14ac:dyDescent="0.25">
      <c r="A60" s="6">
        <v>20150320</v>
      </c>
      <c r="B60" s="11">
        <f>VLOOKUP(A60,DAP!$A$6:$U$93,5,FALSE)</f>
        <v>773240988.94355106</v>
      </c>
      <c r="C60" s="11">
        <f>IF(ISNA(VLOOKUP($A60,ML!$A$6:$U$38,$B$2,FALSE)),C59,VLOOKUP(A60,ML!$A$6:$U$38,$B$2,FALSE))</f>
        <v>192565088.21639889</v>
      </c>
      <c r="D60" s="11">
        <f>IF(ISNA(VLOOKUP($A60,USL!$A$6:$U$38,$B$2,FALSE)),D59,VLOOKUP($A60,USL!$A$6:$U$38,$B$2,FALSE))</f>
        <v>81656163.114565134</v>
      </c>
      <c r="E60" s="11">
        <f>IF(ISNA(VLOOKUP($A60,'VALIC-GMWB'!$A$6:$U$38,$B$2,FALSE)),E59,VLOOKUP($A60,'VALIC-GMWB'!$A$6:$U$38,$B$2,FALSE))</f>
        <v>91734580.482084394</v>
      </c>
      <c r="F60" s="11">
        <f>IF(ISNA(VLOOKUP($A60,'VALIC-VIX-DAP'!$A$6:$U$38,$B$2,FALSE)),F59,VLOOKUP($A60,'VALIC-VIX-DAP'!$A$6:$U$38,$B$2,FALSE))</f>
        <v>92926071.654971123</v>
      </c>
      <c r="G60" s="11">
        <f>IF(ISNA(VLOOKUP($A60,VIX!$A$6:$U$38,$B$2,FALSE)),G59,VLOOKUP($A60,VIX!$A$6:$U$38,$B$2,FALSE))</f>
        <v>160720698.09006643</v>
      </c>
      <c r="H60" s="11">
        <f>IF(ISNA(VLOOKUP($A60,GMAB!$A$6:$U$38,$B$2,FALSE)),H59,VLOOKUP($A60,GMAB!$A$6:$U$38,$B$2,FALSE))</f>
        <v>461743.54945661873</v>
      </c>
      <c r="I60" s="19">
        <f t="shared" si="0"/>
        <v>1393305334.0510936</v>
      </c>
    </row>
    <row r="61" spans="1:9" x14ac:dyDescent="0.25">
      <c r="A61" s="6">
        <v>20150323</v>
      </c>
      <c r="B61" s="11">
        <f>VLOOKUP(A61,DAP!$A$6:$U$93,5,FALSE)</f>
        <v>775488062.53060102</v>
      </c>
      <c r="C61" s="11">
        <f>IF(ISNA(VLOOKUP($A61,ML!$A$6:$U$38,$B$2,FALSE)),C60,VLOOKUP(A61,ML!$A$6:$U$38,$B$2,FALSE))</f>
        <v>192565088.21639889</v>
      </c>
      <c r="D61" s="11">
        <f>IF(ISNA(VLOOKUP($A61,USL!$A$6:$U$38,$B$2,FALSE)),D60,VLOOKUP($A61,USL!$A$6:$U$38,$B$2,FALSE))</f>
        <v>81656163.114565134</v>
      </c>
      <c r="E61" s="11">
        <f>IF(ISNA(VLOOKUP($A61,'VALIC-GMWB'!$A$6:$U$38,$B$2,FALSE)),E60,VLOOKUP($A61,'VALIC-GMWB'!$A$6:$U$38,$B$2,FALSE))</f>
        <v>91734580.482084394</v>
      </c>
      <c r="F61" s="11">
        <f>IF(ISNA(VLOOKUP($A61,'VALIC-VIX-DAP'!$A$6:$U$38,$B$2,FALSE)),F60,VLOOKUP($A61,'VALIC-VIX-DAP'!$A$6:$U$38,$B$2,FALSE))</f>
        <v>92926071.654971123</v>
      </c>
      <c r="G61" s="11">
        <f>IF(ISNA(VLOOKUP($A61,VIX!$A$6:$U$38,$B$2,FALSE)),G60,VLOOKUP($A61,VIX!$A$6:$U$38,$B$2,FALSE))</f>
        <v>159818068.22951126</v>
      </c>
      <c r="H61" s="11">
        <f>IF(ISNA(VLOOKUP($A61,GMAB!$A$6:$U$38,$B$2,FALSE)),H60,VLOOKUP($A61,GMAB!$A$6:$U$38,$B$2,FALSE))</f>
        <v>461743.54945661873</v>
      </c>
      <c r="I61" s="19">
        <f t="shared" si="0"/>
        <v>1394649777.7775884</v>
      </c>
    </row>
    <row r="62" spans="1:9" x14ac:dyDescent="0.25">
      <c r="A62" s="6">
        <v>20150324</v>
      </c>
      <c r="B62" s="11">
        <f>VLOOKUP(A62,DAP!$A$6:$U$93,5,FALSE)</f>
        <v>793121310.40884638</v>
      </c>
      <c r="C62" s="11">
        <f>IF(ISNA(VLOOKUP($A62,ML!$A$6:$U$38,$B$2,FALSE)),C61,VLOOKUP(A62,ML!$A$6:$U$38,$B$2,FALSE))</f>
        <v>192565088.21639889</v>
      </c>
      <c r="D62" s="11">
        <f>IF(ISNA(VLOOKUP($A62,USL!$A$6:$U$38,$B$2,FALSE)),D61,VLOOKUP($A62,USL!$A$6:$U$38,$B$2,FALSE))</f>
        <v>82718640.24673757</v>
      </c>
      <c r="E62" s="11">
        <f>IF(ISNA(VLOOKUP($A62,'VALIC-GMWB'!$A$6:$U$38,$B$2,FALSE)),E61,VLOOKUP($A62,'VALIC-GMWB'!$A$6:$U$38,$B$2,FALSE))</f>
        <v>93144024.34593612</v>
      </c>
      <c r="F62" s="11">
        <f>IF(ISNA(VLOOKUP($A62,'VALIC-VIX-DAP'!$A$6:$U$38,$B$2,FALSE)),F61,VLOOKUP($A62,'VALIC-VIX-DAP'!$A$6:$U$38,$B$2,FALSE))</f>
        <v>94112336.679748058</v>
      </c>
      <c r="G62" s="11">
        <f>IF(ISNA(VLOOKUP($A62,VIX!$A$6:$U$38,$B$2,FALSE)),G61,VLOOKUP($A62,VIX!$A$6:$U$38,$B$2,FALSE))</f>
        <v>159818068.22951126</v>
      </c>
      <c r="H62" s="11">
        <f>IF(ISNA(VLOOKUP($A62,GMAB!$A$6:$U$38,$B$2,FALSE)),H61,VLOOKUP($A62,GMAB!$A$6:$U$38,$B$2,FALSE))</f>
        <v>461743.54945661873</v>
      </c>
      <c r="I62" s="19">
        <f t="shared" si="0"/>
        <v>1415941211.676635</v>
      </c>
    </row>
    <row r="63" spans="1:9" x14ac:dyDescent="0.25">
      <c r="A63" s="6">
        <v>20150325</v>
      </c>
      <c r="B63" s="11">
        <f>VLOOKUP(A63,DAP!$A$6:$U$93,5,FALSE)</f>
        <v>791294280.49172473</v>
      </c>
      <c r="C63" s="11">
        <f>IF(ISNA(VLOOKUP($A63,ML!$A$6:$U$38,$B$2,FALSE)),C62,VLOOKUP(A63,ML!$A$6:$U$38,$B$2,FALSE))</f>
        <v>195990736.14344382</v>
      </c>
      <c r="D63" s="11">
        <f>IF(ISNA(VLOOKUP($A63,USL!$A$6:$U$38,$B$2,FALSE)),D62,VLOOKUP($A63,USL!$A$6:$U$38,$B$2,FALSE))</f>
        <v>82718640.24673757</v>
      </c>
      <c r="E63" s="11">
        <f>IF(ISNA(VLOOKUP($A63,'VALIC-GMWB'!$A$6:$U$38,$B$2,FALSE)),E62,VLOOKUP($A63,'VALIC-GMWB'!$A$6:$U$38,$B$2,FALSE))</f>
        <v>93144024.34593612</v>
      </c>
      <c r="F63" s="11">
        <f>IF(ISNA(VLOOKUP($A63,'VALIC-VIX-DAP'!$A$6:$U$38,$B$2,FALSE)),F62,VLOOKUP($A63,'VALIC-VIX-DAP'!$A$6:$U$38,$B$2,FALSE))</f>
        <v>94112336.679748058</v>
      </c>
      <c r="G63" s="11">
        <f>IF(ISNA(VLOOKUP($A63,VIX!$A$6:$U$38,$B$2,FALSE)),G62,VLOOKUP($A63,VIX!$A$6:$U$38,$B$2,FALSE))</f>
        <v>159818068.22951126</v>
      </c>
      <c r="H63" s="11">
        <f>IF(ISNA(VLOOKUP($A63,GMAB!$A$6:$U$38,$B$2,FALSE)),H62,VLOOKUP($A63,GMAB!$A$6:$U$38,$B$2,FALSE))</f>
        <v>497142.25178160332</v>
      </c>
      <c r="I63" s="19">
        <f t="shared" si="0"/>
        <v>1417575228.3888834</v>
      </c>
    </row>
    <row r="64" spans="1:9" x14ac:dyDescent="0.25">
      <c r="A64" s="6">
        <v>20150326</v>
      </c>
      <c r="B64" s="11">
        <f>VLOOKUP(A64,DAP!$A$6:$U$93,5,FALSE)</f>
        <v>779875633.17281723</v>
      </c>
      <c r="C64" s="11">
        <f>IF(ISNA(VLOOKUP($A64,ML!$A$6:$U$38,$B$2,FALSE)),C63,VLOOKUP(A64,ML!$A$6:$U$38,$B$2,FALSE))</f>
        <v>195990736.14344382</v>
      </c>
      <c r="D64" s="11">
        <f>IF(ISNA(VLOOKUP($A64,USL!$A$6:$U$38,$B$2,FALSE)),D63,VLOOKUP($A64,USL!$A$6:$U$38,$B$2,FALSE))</f>
        <v>82718640.24673757</v>
      </c>
      <c r="E64" s="11">
        <f>IF(ISNA(VLOOKUP($A64,'VALIC-GMWB'!$A$6:$U$38,$B$2,FALSE)),E63,VLOOKUP($A64,'VALIC-GMWB'!$A$6:$U$38,$B$2,FALSE))</f>
        <v>93144024.34593612</v>
      </c>
      <c r="F64" s="11">
        <f>IF(ISNA(VLOOKUP($A64,'VALIC-VIX-DAP'!$A$6:$U$38,$B$2,FALSE)),F63,VLOOKUP($A64,'VALIC-VIX-DAP'!$A$6:$U$38,$B$2,FALSE))</f>
        <v>94112336.679748058</v>
      </c>
      <c r="G64" s="11">
        <f>IF(ISNA(VLOOKUP($A64,VIX!$A$6:$U$38,$B$2,FALSE)),G63,VLOOKUP($A64,VIX!$A$6:$U$38,$B$2,FALSE))</f>
        <v>158870114.60634804</v>
      </c>
      <c r="H64" s="11">
        <f>IF(ISNA(VLOOKUP($A64,GMAB!$A$6:$U$38,$B$2,FALSE)),H63,VLOOKUP($A64,GMAB!$A$6:$U$38,$B$2,FALSE))</f>
        <v>497142.25178160332</v>
      </c>
      <c r="I64" s="19">
        <f t="shared" si="0"/>
        <v>1405208627.4468126</v>
      </c>
    </row>
    <row r="65" spans="1:9" x14ac:dyDescent="0.25">
      <c r="A65" s="6">
        <v>20150326</v>
      </c>
      <c r="B65" s="11">
        <f>VLOOKUP(A65,DAP!$A$6:$U$93,5,FALSE)</f>
        <v>779875633.17281723</v>
      </c>
      <c r="C65" s="11">
        <f>IF(ISNA(VLOOKUP($A65,ML!$A$6:$U$38,$B$2,FALSE)),C64,VLOOKUP(A65,ML!$A$6:$U$38,$B$2,FALSE))</f>
        <v>195990736.14344382</v>
      </c>
      <c r="D65" s="11">
        <f>IF(ISNA(VLOOKUP($A65,USL!$A$6:$U$38,$B$2,FALSE)),D64,VLOOKUP($A65,USL!$A$6:$U$38,$B$2,FALSE))</f>
        <v>82718640.24673757</v>
      </c>
      <c r="E65" s="11">
        <f>IF(ISNA(VLOOKUP($A65,'VALIC-GMWB'!$A$6:$U$38,$B$2,FALSE)),E64,VLOOKUP($A65,'VALIC-GMWB'!$A$6:$U$38,$B$2,FALSE))</f>
        <v>93144024.34593612</v>
      </c>
      <c r="F65" s="11">
        <f>IF(ISNA(VLOOKUP($A65,'VALIC-VIX-DAP'!$A$6:$U$38,$B$2,FALSE)),F64,VLOOKUP($A65,'VALIC-VIX-DAP'!$A$6:$U$38,$B$2,FALSE))</f>
        <v>94112336.679748058</v>
      </c>
      <c r="G65" s="11">
        <f>IF(ISNA(VLOOKUP($A65,VIX!$A$6:$U$38,$B$2,FALSE)),G64,VLOOKUP($A65,VIX!$A$6:$U$38,$B$2,FALSE))</f>
        <v>158870114.60634804</v>
      </c>
      <c r="H65" s="11">
        <f>IF(ISNA(VLOOKUP($A65,GMAB!$A$6:$U$38,$B$2,FALSE)),H64,VLOOKUP($A65,GMAB!$A$6:$U$38,$B$2,FALSE))</f>
        <v>497142.25178160332</v>
      </c>
      <c r="I65" s="19">
        <f t="shared" si="0"/>
        <v>1405208627.4468126</v>
      </c>
    </row>
    <row r="66" spans="1:9" x14ac:dyDescent="0.25">
      <c r="A66" s="6">
        <v>20150327</v>
      </c>
      <c r="B66" s="11">
        <f>VLOOKUP(A66,DAP!$A$6:$U$93,5,FALSE)</f>
        <v>788690150.24944615</v>
      </c>
      <c r="C66" s="11">
        <f>IF(ISNA(VLOOKUP($A66,ML!$A$6:$U$38,$B$2,FALSE)),C65,VLOOKUP(A66,ML!$A$6:$U$38,$B$2,FALSE))</f>
        <v>187988921.09258729</v>
      </c>
      <c r="D66" s="11">
        <f>IF(ISNA(VLOOKUP($A66,USL!$A$6:$U$38,$B$2,FALSE)),D65,VLOOKUP($A66,USL!$A$6:$U$38,$B$2,FALSE))</f>
        <v>81540877.859503895</v>
      </c>
      <c r="E66" s="11">
        <f>IF(ISNA(VLOOKUP($A66,'VALIC-GMWB'!$A$6:$U$38,$B$2,FALSE)),E65,VLOOKUP($A66,'VALIC-GMWB'!$A$6:$U$38,$B$2,FALSE))</f>
        <v>91565670.387529522</v>
      </c>
      <c r="F66" s="11">
        <f>IF(ISNA(VLOOKUP($A66,'VALIC-VIX-DAP'!$A$6:$U$38,$B$2,FALSE)),F65,VLOOKUP($A66,'VALIC-VIX-DAP'!$A$6:$U$38,$B$2,FALSE))</f>
        <v>92703858.790822029</v>
      </c>
      <c r="G66" s="11">
        <f>IF(ISNA(VLOOKUP($A66,VIX!$A$6:$U$38,$B$2,FALSE)),G65,VLOOKUP($A66,VIX!$A$6:$U$38,$B$2,FALSE))</f>
        <v>157958322.99365449</v>
      </c>
      <c r="H66" s="11">
        <f>IF(ISNA(VLOOKUP($A66,GMAB!$A$6:$U$38,$B$2,FALSE)),H65,VLOOKUP($A66,GMAB!$A$6:$U$38,$B$2,FALSE))</f>
        <v>494353.2475236319</v>
      </c>
      <c r="I66" s="19">
        <f t="shared" si="0"/>
        <v>1400942154.6210668</v>
      </c>
    </row>
    <row r="67" spans="1:9" x14ac:dyDescent="0.25">
      <c r="A67" s="6">
        <v>20150330</v>
      </c>
      <c r="B67" s="11">
        <f>VLOOKUP(A67,DAP!$A$6:$U$93,5,FALSE)</f>
        <v>781159306.82616472</v>
      </c>
      <c r="C67" s="11">
        <f>IF(ISNA(VLOOKUP($A67,ML!$A$6:$U$38,$B$2,FALSE)),C66,VLOOKUP(A67,ML!$A$6:$U$38,$B$2,FALSE))</f>
        <v>186134043.81951106</v>
      </c>
      <c r="D67" s="11">
        <f>IF(ISNA(VLOOKUP($A67,USL!$A$6:$U$38,$B$2,FALSE)),D66,VLOOKUP($A67,USL!$A$6:$U$38,$B$2,FALSE))</f>
        <v>81540877.859503895</v>
      </c>
      <c r="E67" s="11">
        <f>IF(ISNA(VLOOKUP($A67,'VALIC-GMWB'!$A$6:$U$38,$B$2,FALSE)),E66,VLOOKUP($A67,'VALIC-GMWB'!$A$6:$U$38,$B$2,FALSE))</f>
        <v>91565670.387529522</v>
      </c>
      <c r="F67" s="11">
        <f>IF(ISNA(VLOOKUP($A67,'VALIC-VIX-DAP'!$A$6:$U$38,$B$2,FALSE)),F66,VLOOKUP($A67,'VALIC-VIX-DAP'!$A$6:$U$38,$B$2,FALSE))</f>
        <v>92703858.790822029</v>
      </c>
      <c r="G67" s="11">
        <f>IF(ISNA(VLOOKUP($A67,VIX!$A$6:$U$38,$B$2,FALSE)),G66,VLOOKUP($A67,VIX!$A$6:$U$38,$B$2,FALSE))</f>
        <v>157958322.99365449</v>
      </c>
      <c r="H67" s="11">
        <f>IF(ISNA(VLOOKUP($A67,GMAB!$A$6:$U$38,$B$2,FALSE)),H66,VLOOKUP($A67,GMAB!$A$6:$U$38,$B$2,FALSE))</f>
        <v>471334.55500129424</v>
      </c>
      <c r="I67" s="19">
        <f t="shared" si="0"/>
        <v>1391533415.232187</v>
      </c>
    </row>
    <row r="68" spans="1:9" x14ac:dyDescent="0.25">
      <c r="A68" s="6">
        <v>20150331</v>
      </c>
      <c r="B68" s="11">
        <f>VLOOKUP(A68,DAP!$A$6:$U$93,5,FALSE)</f>
        <v>787723650.72377062</v>
      </c>
      <c r="C68" s="11">
        <f>IF(ISNA(VLOOKUP($A68,ML!$A$6:$U$38,$B$2,FALSE)),C67,VLOOKUP(A68,ML!$A$6:$U$38,$B$2,FALSE))</f>
        <v>188181367.61854225</v>
      </c>
      <c r="D68" s="11">
        <f>IF(ISNA(VLOOKUP($A68,USL!$A$6:$U$38,$B$2,FALSE)),D67,VLOOKUP($A68,USL!$A$6:$U$38,$B$2,FALSE))</f>
        <v>81462998.318160415</v>
      </c>
      <c r="E68" s="11">
        <f>IF(ISNA(VLOOKUP($A68,'VALIC-GMWB'!$A$6:$U$38,$B$2,FALSE)),E67,VLOOKUP($A68,'VALIC-GMWB'!$A$6:$U$38,$B$2,FALSE))</f>
        <v>91740162.889051169</v>
      </c>
      <c r="F68" s="11">
        <f>IF(ISNA(VLOOKUP($A68,'VALIC-VIX-DAP'!$A$6:$U$38,$B$2,FALSE)),F67,VLOOKUP($A68,'VALIC-VIX-DAP'!$A$6:$U$38,$B$2,FALSE))</f>
        <v>92687052.452479362</v>
      </c>
      <c r="G68" s="11">
        <f>IF(ISNA(VLOOKUP($A68,VIX!$A$6:$U$38,$B$2,FALSE)),G67,VLOOKUP($A68,VIX!$A$6:$U$38,$B$2,FALSE))</f>
        <v>158076650.20158219</v>
      </c>
      <c r="H68" s="11">
        <f>IF(ISNA(VLOOKUP($A68,GMAB!$A$6:$U$38,$B$2,FALSE)),H67,VLOOKUP($A68,GMAB!$A$6:$U$38,$B$2,FALSE))</f>
        <v>489725.89893359691</v>
      </c>
      <c r="I68" s="19">
        <f t="shared" si="0"/>
        <v>1400361608.1025195</v>
      </c>
    </row>
    <row r="69" spans="1:9" x14ac:dyDescent="0.25">
      <c r="A69" s="6">
        <v>20150401</v>
      </c>
      <c r="B69" s="11">
        <f>VLOOKUP(A69,DAP!$A$6:$U$93,5,FALSE)</f>
        <v>803865968.06942081</v>
      </c>
      <c r="C69" s="11">
        <f>IF(ISNA(VLOOKUP($A69,ML!$A$6:$U$38,$B$2,FALSE)),C68,VLOOKUP(A69,ML!$A$6:$U$38,$B$2,FALSE))</f>
        <v>188181367.61854225</v>
      </c>
      <c r="D69" s="11">
        <f>IF(ISNA(VLOOKUP($A69,USL!$A$6:$U$38,$B$2,FALSE)),D68,VLOOKUP($A69,USL!$A$6:$U$38,$B$2,FALSE))</f>
        <v>83141602.246023536</v>
      </c>
      <c r="E69" s="11">
        <f>IF(ISNA(VLOOKUP($A69,'VALIC-GMWB'!$A$6:$U$38,$B$2,FALSE)),E68,VLOOKUP($A69,'VALIC-GMWB'!$A$6:$U$38,$B$2,FALSE))</f>
        <v>93488891.676152498</v>
      </c>
      <c r="F69" s="11">
        <f>IF(ISNA(VLOOKUP($A69,'VALIC-VIX-DAP'!$A$6:$U$38,$B$2,FALSE)),F68,VLOOKUP($A69,'VALIC-VIX-DAP'!$A$6:$U$38,$B$2,FALSE))</f>
        <v>94568443.998488426</v>
      </c>
      <c r="G69" s="11">
        <f>IF(ISNA(VLOOKUP($A69,VIX!$A$6:$U$38,$B$2,FALSE)),G68,VLOOKUP($A69,VIX!$A$6:$U$38,$B$2,FALSE))</f>
        <v>158076650.20158219</v>
      </c>
      <c r="H69" s="11">
        <f>IF(ISNA(VLOOKUP($A69,GMAB!$A$6:$U$38,$B$2,FALSE)),H68,VLOOKUP($A69,GMAB!$A$6:$U$38,$B$2,FALSE))</f>
        <v>489725.89893359691</v>
      </c>
      <c r="I69" s="19">
        <f t="shared" si="0"/>
        <v>1421812649.7091434</v>
      </c>
    </row>
    <row r="70" spans="1:9" x14ac:dyDescent="0.25">
      <c r="A70" s="6">
        <v>20150402</v>
      </c>
      <c r="B70" s="11">
        <f>VLOOKUP(A70,DAP!$A$6:$U$93,5,FALSE)</f>
        <v>785085347.87522244</v>
      </c>
      <c r="C70" s="11">
        <f>IF(ISNA(VLOOKUP($A70,ML!$A$6:$U$38,$B$2,FALSE)),C69,VLOOKUP(A70,ML!$A$6:$U$38,$B$2,FALSE))</f>
        <v>187961315.06037086</v>
      </c>
      <c r="D70" s="11">
        <f>IF(ISNA(VLOOKUP($A70,USL!$A$6:$U$38,$B$2,FALSE)),D69,VLOOKUP($A70,USL!$A$6:$U$38,$B$2,FALSE))</f>
        <v>83141602.246023536</v>
      </c>
      <c r="E70" s="11">
        <f>IF(ISNA(VLOOKUP($A70,'VALIC-GMWB'!$A$6:$U$38,$B$2,FALSE)),E69,VLOOKUP($A70,'VALIC-GMWB'!$A$6:$U$38,$B$2,FALSE))</f>
        <v>93488891.676152498</v>
      </c>
      <c r="F70" s="11">
        <f>IF(ISNA(VLOOKUP($A70,'VALIC-VIX-DAP'!$A$6:$U$38,$B$2,FALSE)),F69,VLOOKUP($A70,'VALIC-VIX-DAP'!$A$6:$U$38,$B$2,FALSE))</f>
        <v>94568443.998488426</v>
      </c>
      <c r="G70" s="11">
        <f>IF(ISNA(VLOOKUP($A70,VIX!$A$6:$U$38,$B$2,FALSE)),G69,VLOOKUP($A70,VIX!$A$6:$U$38,$B$2,FALSE))</f>
        <v>158076650.20158219</v>
      </c>
      <c r="H70" s="11">
        <f>IF(ISNA(VLOOKUP($A70,GMAB!$A$6:$U$38,$B$2,FALSE)),H69,VLOOKUP($A70,GMAB!$A$6:$U$38,$B$2,FALSE))</f>
        <v>486696.35475075804</v>
      </c>
      <c r="I70" s="19">
        <f t="shared" ref="I70:I92" si="1">SUM(B70:H70)</f>
        <v>1402808947.412591</v>
      </c>
    </row>
    <row r="71" spans="1:9" x14ac:dyDescent="0.25">
      <c r="A71" s="6">
        <v>20150406</v>
      </c>
      <c r="B71" s="11">
        <f>VLOOKUP(A71,DAP!$A$6:$U$93,5,FALSE)</f>
        <v>777845138.62075233</v>
      </c>
      <c r="C71" s="11">
        <f>IF(ISNA(VLOOKUP($A71,ML!$A$6:$U$38,$B$2,FALSE)),C70,VLOOKUP(A71,ML!$A$6:$U$38,$B$2,FALSE))</f>
        <v>187961315.06037086</v>
      </c>
      <c r="D71" s="11">
        <f>IF(ISNA(VLOOKUP($A71,USL!$A$6:$U$38,$B$2,FALSE)),D70,VLOOKUP($A71,USL!$A$6:$U$38,$B$2,FALSE))</f>
        <v>83141602.246023536</v>
      </c>
      <c r="E71" s="11">
        <f>IF(ISNA(VLOOKUP($A71,'VALIC-GMWB'!$A$6:$U$38,$B$2,FALSE)),E70,VLOOKUP($A71,'VALIC-GMWB'!$A$6:$U$38,$B$2,FALSE))</f>
        <v>93488891.676152498</v>
      </c>
      <c r="F71" s="11">
        <f>IF(ISNA(VLOOKUP($A71,'VALIC-VIX-DAP'!$A$6:$U$38,$B$2,FALSE)),F70,VLOOKUP($A71,'VALIC-VIX-DAP'!$A$6:$U$38,$B$2,FALSE))</f>
        <v>94568443.998488426</v>
      </c>
      <c r="G71" s="11">
        <f>IF(ISNA(VLOOKUP($A71,VIX!$A$6:$U$38,$B$2,FALSE)),G70,VLOOKUP($A71,VIX!$A$6:$U$38,$B$2,FALSE))</f>
        <v>156855041.54917192</v>
      </c>
      <c r="H71" s="11">
        <f>IF(ISNA(VLOOKUP($A71,GMAB!$A$6:$U$38,$B$2,FALSE)),H70,VLOOKUP($A71,GMAB!$A$6:$U$38,$B$2,FALSE))</f>
        <v>486696.35475075804</v>
      </c>
      <c r="I71" s="19">
        <f t="shared" si="1"/>
        <v>1394347129.5057106</v>
      </c>
    </row>
    <row r="72" spans="1:9" x14ac:dyDescent="0.25">
      <c r="A72" s="6">
        <v>20150407</v>
      </c>
      <c r="B72" s="11">
        <f>VLOOKUP(A72,DAP!$A$6:$U$93,5,FALSE)</f>
        <v>787795852.90299726</v>
      </c>
      <c r="C72" s="11">
        <f>IF(ISNA(VLOOKUP($A72,ML!$A$6:$U$38,$B$2,FALSE)),C71,VLOOKUP(A72,ML!$A$6:$U$38,$B$2,FALSE))</f>
        <v>187961315.06037086</v>
      </c>
      <c r="D72" s="11">
        <f>IF(ISNA(VLOOKUP($A72,USL!$A$6:$U$38,$B$2,FALSE)),D71,VLOOKUP($A72,USL!$A$6:$U$38,$B$2,FALSE))</f>
        <v>81497409.378284514</v>
      </c>
      <c r="E72" s="11">
        <f>IF(ISNA(VLOOKUP($A72,'VALIC-GMWB'!$A$6:$U$38,$B$2,FALSE)),E71,VLOOKUP($A72,'VALIC-GMWB'!$A$6:$U$38,$B$2,FALSE))</f>
        <v>92017125.592271924</v>
      </c>
      <c r="F72" s="11">
        <f>IF(ISNA(VLOOKUP($A72,'VALIC-VIX-DAP'!$A$6:$U$38,$B$2,FALSE)),F71,VLOOKUP($A72,'VALIC-VIX-DAP'!$A$6:$U$38,$B$2,FALSE))</f>
        <v>93136135.438015938</v>
      </c>
      <c r="G72" s="11">
        <f>IF(ISNA(VLOOKUP($A72,VIX!$A$6:$U$38,$B$2,FALSE)),G71,VLOOKUP($A72,VIX!$A$6:$U$38,$B$2,FALSE))</f>
        <v>156855041.54917192</v>
      </c>
      <c r="H72" s="11">
        <f>IF(ISNA(VLOOKUP($A72,GMAB!$A$6:$U$38,$B$2,FALSE)),H71,VLOOKUP($A72,GMAB!$A$6:$U$38,$B$2,FALSE))</f>
        <v>486696.35475075804</v>
      </c>
      <c r="I72" s="19">
        <f t="shared" si="1"/>
        <v>1399749576.2758634</v>
      </c>
    </row>
    <row r="73" spans="1:9" x14ac:dyDescent="0.25">
      <c r="A73" s="6">
        <v>20150408</v>
      </c>
      <c r="B73" s="11">
        <f>VLOOKUP(A73,DAP!$A$6:$U$93,5,FALSE)</f>
        <v>793181687.02882624</v>
      </c>
      <c r="C73" s="11">
        <f>IF(ISNA(VLOOKUP($A73,ML!$A$6:$U$38,$B$2,FALSE)),C72,VLOOKUP(A73,ML!$A$6:$U$38,$B$2,FALSE))</f>
        <v>186862979.28291249</v>
      </c>
      <c r="D73" s="11">
        <f>IF(ISNA(VLOOKUP($A73,USL!$A$6:$U$38,$B$2,FALSE)),D72,VLOOKUP($A73,USL!$A$6:$U$38,$B$2,FALSE))</f>
        <v>81497409.378284514</v>
      </c>
      <c r="E73" s="11">
        <f>IF(ISNA(VLOOKUP($A73,'VALIC-GMWB'!$A$6:$U$38,$B$2,FALSE)),E72,VLOOKUP($A73,'VALIC-GMWB'!$A$6:$U$38,$B$2,FALSE))</f>
        <v>92017125.592271924</v>
      </c>
      <c r="F73" s="11">
        <f>IF(ISNA(VLOOKUP($A73,'VALIC-VIX-DAP'!$A$6:$U$38,$B$2,FALSE)),F72,VLOOKUP($A73,'VALIC-VIX-DAP'!$A$6:$U$38,$B$2,FALSE))</f>
        <v>93136135.438015938</v>
      </c>
      <c r="G73" s="11">
        <f>IF(ISNA(VLOOKUP($A73,VIX!$A$6:$U$38,$B$2,FALSE)),G72,VLOOKUP($A73,VIX!$A$6:$U$38,$B$2,FALSE))</f>
        <v>156855041.54917192</v>
      </c>
      <c r="H73" s="11">
        <f>IF(ISNA(VLOOKUP($A73,GMAB!$A$6:$U$38,$B$2,FALSE)),H72,VLOOKUP($A73,GMAB!$A$6:$U$38,$B$2,FALSE))</f>
        <v>449937.77190049738</v>
      </c>
      <c r="I73" s="19">
        <f t="shared" si="1"/>
        <v>1404000316.0413835</v>
      </c>
    </row>
    <row r="74" spans="1:9" x14ac:dyDescent="0.25">
      <c r="A74" s="6">
        <v>20150409</v>
      </c>
      <c r="B74" s="11">
        <f>VLOOKUP(A74,DAP!$A$6:$U$93,5,FALSE)</f>
        <v>775353771.15655994</v>
      </c>
      <c r="C74" s="11">
        <f>IF(ISNA(VLOOKUP($A74,ML!$A$6:$U$38,$B$2,FALSE)),C73,VLOOKUP(A74,ML!$A$6:$U$38,$B$2,FALSE))</f>
        <v>186862979.28291249</v>
      </c>
      <c r="D74" s="11">
        <f>IF(ISNA(VLOOKUP($A74,USL!$A$6:$U$38,$B$2,FALSE)),D73,VLOOKUP($A74,USL!$A$6:$U$38,$B$2,FALSE))</f>
        <v>81497409.378284514</v>
      </c>
      <c r="E74" s="11">
        <f>IF(ISNA(VLOOKUP($A74,'VALIC-GMWB'!$A$6:$U$38,$B$2,FALSE)),E73,VLOOKUP($A74,'VALIC-GMWB'!$A$6:$U$38,$B$2,FALSE))</f>
        <v>92017125.592271924</v>
      </c>
      <c r="F74" s="11">
        <f>IF(ISNA(VLOOKUP($A74,'VALIC-VIX-DAP'!$A$6:$U$38,$B$2,FALSE)),F73,VLOOKUP($A74,'VALIC-VIX-DAP'!$A$6:$U$38,$B$2,FALSE))</f>
        <v>93136135.438015938</v>
      </c>
      <c r="G74" s="11">
        <f>IF(ISNA(VLOOKUP($A74,VIX!$A$6:$U$38,$B$2,FALSE)),G73,VLOOKUP($A74,VIX!$A$6:$U$38,$B$2,FALSE))</f>
        <v>154120462.35479951</v>
      </c>
      <c r="H74" s="11">
        <f>IF(ISNA(VLOOKUP($A74,GMAB!$A$6:$U$38,$B$2,FALSE)),H73,VLOOKUP($A74,GMAB!$A$6:$U$38,$B$2,FALSE))</f>
        <v>449937.77190049738</v>
      </c>
      <c r="I74" s="19">
        <f t="shared" si="1"/>
        <v>1383437820.9747448</v>
      </c>
    </row>
    <row r="75" spans="1:9" x14ac:dyDescent="0.25">
      <c r="A75" s="6">
        <v>20150410</v>
      </c>
      <c r="B75" s="11">
        <f>VLOOKUP(A75,DAP!$A$6:$U$93,5,FALSE)</f>
        <v>776273166.94490337</v>
      </c>
      <c r="C75" s="11">
        <f>IF(ISNA(VLOOKUP($A75,ML!$A$6:$U$38,$B$2,FALSE)),C74,VLOOKUP(A75,ML!$A$6:$U$38,$B$2,FALSE))</f>
        <v>186862979.28291249</v>
      </c>
      <c r="D75" s="11">
        <f>IF(ISNA(VLOOKUP($A75,USL!$A$6:$U$38,$B$2,FALSE)),D74,VLOOKUP($A75,USL!$A$6:$U$38,$B$2,FALSE))</f>
        <v>79277421.204071134</v>
      </c>
      <c r="E75" s="11">
        <f>IF(ISNA(VLOOKUP($A75,'VALIC-GMWB'!$A$6:$U$38,$B$2,FALSE)),E74,VLOOKUP($A75,'VALIC-GMWB'!$A$6:$U$38,$B$2,FALSE))</f>
        <v>89943036.741091669</v>
      </c>
      <c r="F75" s="11">
        <f>IF(ISNA(VLOOKUP($A75,'VALIC-VIX-DAP'!$A$6:$U$38,$B$2,FALSE)),F74,VLOOKUP($A75,'VALIC-VIX-DAP'!$A$6:$U$38,$B$2,FALSE))</f>
        <v>91249765.658658504</v>
      </c>
      <c r="G75" s="11">
        <f>IF(ISNA(VLOOKUP($A75,VIX!$A$6:$U$38,$B$2,FALSE)),G74,VLOOKUP($A75,VIX!$A$6:$U$38,$B$2,FALSE))</f>
        <v>154120462.35479951</v>
      </c>
      <c r="H75" s="11">
        <f>IF(ISNA(VLOOKUP($A75,GMAB!$A$6:$U$38,$B$2,FALSE)),H74,VLOOKUP($A75,GMAB!$A$6:$U$38,$B$2,FALSE))</f>
        <v>449937.77190049738</v>
      </c>
      <c r="I75" s="19">
        <f t="shared" si="1"/>
        <v>1378176769.9583371</v>
      </c>
    </row>
    <row r="76" spans="1:9" x14ac:dyDescent="0.25">
      <c r="A76" s="6">
        <v>20150413</v>
      </c>
      <c r="B76" s="11">
        <f>VLOOKUP(A76,DAP!$A$6:$U$93,5,FALSE)</f>
        <v>790143248.85901451</v>
      </c>
      <c r="C76" s="11">
        <f>IF(ISNA(VLOOKUP($A76,ML!$A$6:$U$38,$B$2,FALSE)),C75,VLOOKUP(A76,ML!$A$6:$U$38,$B$2,FALSE))</f>
        <v>184608244.50989068</v>
      </c>
      <c r="D76" s="11">
        <f>IF(ISNA(VLOOKUP($A76,USL!$A$6:$U$38,$B$2,FALSE)),D75,VLOOKUP($A76,USL!$A$6:$U$38,$B$2,FALSE))</f>
        <v>79277421.204071134</v>
      </c>
      <c r="E76" s="11">
        <f>IF(ISNA(VLOOKUP($A76,'VALIC-GMWB'!$A$6:$U$38,$B$2,FALSE)),E75,VLOOKUP($A76,'VALIC-GMWB'!$A$6:$U$38,$B$2,FALSE))</f>
        <v>89943036.741091669</v>
      </c>
      <c r="F76" s="11">
        <f>IF(ISNA(VLOOKUP($A76,'VALIC-VIX-DAP'!$A$6:$U$38,$B$2,FALSE)),F75,VLOOKUP($A76,'VALIC-VIX-DAP'!$A$6:$U$38,$B$2,FALSE))</f>
        <v>91249765.658658504</v>
      </c>
      <c r="G76" s="11">
        <f>IF(ISNA(VLOOKUP($A76,VIX!$A$6:$U$38,$B$2,FALSE)),G75,VLOOKUP($A76,VIX!$A$6:$U$38,$B$2,FALSE))</f>
        <v>154120462.35479951</v>
      </c>
      <c r="H76" s="11">
        <f>IF(ISNA(VLOOKUP($A76,GMAB!$A$6:$U$38,$B$2,FALSE)),H75,VLOOKUP($A76,GMAB!$A$6:$U$38,$B$2,FALSE))</f>
        <v>436634.42428999022</v>
      </c>
      <c r="I76" s="19">
        <f t="shared" si="1"/>
        <v>1389778813.751816</v>
      </c>
    </row>
    <row r="77" spans="1:9" x14ac:dyDescent="0.25">
      <c r="A77" s="6">
        <v>20150414</v>
      </c>
      <c r="B77" s="11">
        <f>VLOOKUP(A77,DAP!$A$6:$U$93,5,FALSE)</f>
        <v>798265022.74014521</v>
      </c>
      <c r="C77" s="11">
        <f>IF(ISNA(VLOOKUP($A77,ML!$A$6:$U$38,$B$2,FALSE)),C76,VLOOKUP(A77,ML!$A$6:$U$38,$B$2,FALSE))</f>
        <v>184608244.50989068</v>
      </c>
      <c r="D77" s="11">
        <f>IF(ISNA(VLOOKUP($A77,USL!$A$6:$U$38,$B$2,FALSE)),D76,VLOOKUP($A77,USL!$A$6:$U$38,$B$2,FALSE))</f>
        <v>79277421.204071134</v>
      </c>
      <c r="E77" s="11">
        <f>IF(ISNA(VLOOKUP($A77,'VALIC-GMWB'!$A$6:$U$38,$B$2,FALSE)),E76,VLOOKUP($A77,'VALIC-GMWB'!$A$6:$U$38,$B$2,FALSE))</f>
        <v>89943036.741091669</v>
      </c>
      <c r="F77" s="11">
        <f>IF(ISNA(VLOOKUP($A77,'VALIC-VIX-DAP'!$A$6:$U$38,$B$2,FALSE)),F76,VLOOKUP($A77,'VALIC-VIX-DAP'!$A$6:$U$38,$B$2,FALSE))</f>
        <v>91249765.658658504</v>
      </c>
      <c r="G77" s="11">
        <f>IF(ISNA(VLOOKUP($A77,VIX!$A$6:$U$38,$B$2,FALSE)),G76,VLOOKUP($A77,VIX!$A$6:$U$38,$B$2,FALSE))</f>
        <v>156881978.68031335</v>
      </c>
      <c r="H77" s="11">
        <f>IF(ISNA(VLOOKUP($A77,GMAB!$A$6:$U$38,$B$2,FALSE)),H76,VLOOKUP($A77,GMAB!$A$6:$U$38,$B$2,FALSE))</f>
        <v>436634.42428999022</v>
      </c>
      <c r="I77" s="19">
        <f t="shared" si="1"/>
        <v>1400662103.9584606</v>
      </c>
    </row>
    <row r="78" spans="1:9" x14ac:dyDescent="0.25">
      <c r="A78" s="6">
        <v>20150415</v>
      </c>
      <c r="B78" s="11">
        <f>VLOOKUP(A78,DAP!$A$6:$U$93,5,FALSE)</f>
        <v>794631552.83976531</v>
      </c>
      <c r="C78" s="11">
        <f>IF(ISNA(VLOOKUP($A78,ML!$A$6:$U$38,$B$2,FALSE)),C77,VLOOKUP(A78,ML!$A$6:$U$38,$B$2,FALSE))</f>
        <v>184608244.50989068</v>
      </c>
      <c r="D78" s="11">
        <f>IF(ISNA(VLOOKUP($A78,USL!$A$6:$U$38,$B$2,FALSE)),D77,VLOOKUP($A78,USL!$A$6:$U$38,$B$2,FALSE))</f>
        <v>82964714.546329319</v>
      </c>
      <c r="E78" s="11">
        <f>IF(ISNA(VLOOKUP($A78,'VALIC-GMWB'!$A$6:$U$38,$B$2,FALSE)),E77,VLOOKUP($A78,'VALIC-GMWB'!$A$6:$U$38,$B$2,FALSE))</f>
        <v>91529439.14385587</v>
      </c>
      <c r="F78" s="11">
        <f>IF(ISNA(VLOOKUP($A78,'VALIC-VIX-DAP'!$A$6:$U$38,$B$2,FALSE)),F77,VLOOKUP($A78,'VALIC-VIX-DAP'!$A$6:$U$38,$B$2,FALSE))</f>
        <v>92930859.465796947</v>
      </c>
      <c r="G78" s="11">
        <f>IF(ISNA(VLOOKUP($A78,VIX!$A$6:$U$38,$B$2,FALSE)),G77,VLOOKUP($A78,VIX!$A$6:$U$38,$B$2,FALSE))</f>
        <v>156881978.68031335</v>
      </c>
      <c r="H78" s="11">
        <f>IF(ISNA(VLOOKUP($A78,GMAB!$A$6:$U$38,$B$2,FALSE)),H77,VLOOKUP($A78,GMAB!$A$6:$U$38,$B$2,FALSE))</f>
        <v>436634.42428999022</v>
      </c>
      <c r="I78" s="19">
        <f t="shared" si="1"/>
        <v>1403983423.6102414</v>
      </c>
    </row>
    <row r="79" spans="1:9" x14ac:dyDescent="0.25">
      <c r="A79" s="6">
        <v>20150416</v>
      </c>
      <c r="B79" s="11">
        <f>VLOOKUP(A79,DAP!$A$6:$U$93,5,FALSE)</f>
        <v>794042025.835989</v>
      </c>
      <c r="C79" s="11">
        <f>IF(ISNA(VLOOKUP($A79,ML!$A$6:$U$38,$B$2,FALSE)),C78,VLOOKUP(A79,ML!$A$6:$U$38,$B$2,FALSE))</f>
        <v>184912613.13881242</v>
      </c>
      <c r="D79" s="11">
        <f>IF(ISNA(VLOOKUP($A79,USL!$A$6:$U$38,$B$2,FALSE)),D78,VLOOKUP($A79,USL!$A$6:$U$38,$B$2,FALSE))</f>
        <v>82964714.546329319</v>
      </c>
      <c r="E79" s="11">
        <f>IF(ISNA(VLOOKUP($A79,'VALIC-GMWB'!$A$6:$U$38,$B$2,FALSE)),E78,VLOOKUP($A79,'VALIC-GMWB'!$A$6:$U$38,$B$2,FALSE))</f>
        <v>91529439.14385587</v>
      </c>
      <c r="F79" s="11">
        <f>IF(ISNA(VLOOKUP($A79,'VALIC-VIX-DAP'!$A$6:$U$38,$B$2,FALSE)),F78,VLOOKUP($A79,'VALIC-VIX-DAP'!$A$6:$U$38,$B$2,FALSE))</f>
        <v>92930859.465796947</v>
      </c>
      <c r="G79" s="11">
        <f>IF(ISNA(VLOOKUP($A79,VIX!$A$6:$U$38,$B$2,FALSE)),G78,VLOOKUP($A79,VIX!$A$6:$U$38,$B$2,FALSE))</f>
        <v>156881978.68031335</v>
      </c>
      <c r="H79" s="11">
        <f>IF(ISNA(VLOOKUP($A79,GMAB!$A$6:$U$38,$B$2,FALSE)),H78,VLOOKUP($A79,GMAB!$A$6:$U$38,$B$2,FALSE))</f>
        <v>430003.85114548169</v>
      </c>
      <c r="I79" s="19">
        <f t="shared" si="1"/>
        <v>1403691634.6622424</v>
      </c>
    </row>
    <row r="80" spans="1:9" x14ac:dyDescent="0.25">
      <c r="A80" s="6">
        <v>20150417</v>
      </c>
      <c r="B80" s="11">
        <f>VLOOKUP(A80,DAP!$A$6:$U$93,5,FALSE)</f>
        <v>814056368.74586487</v>
      </c>
      <c r="C80" s="11">
        <f>IF(ISNA(VLOOKUP($A80,ML!$A$6:$U$38,$B$2,FALSE)),C79,VLOOKUP(A80,ML!$A$6:$U$38,$B$2,FALSE))</f>
        <v>184912613.13881242</v>
      </c>
      <c r="D80" s="11">
        <f>IF(ISNA(VLOOKUP($A80,USL!$A$6:$U$38,$B$2,FALSE)),D79,VLOOKUP($A80,USL!$A$6:$U$38,$B$2,FALSE))</f>
        <v>82964714.546329319</v>
      </c>
      <c r="E80" s="11">
        <f>IF(ISNA(VLOOKUP($A80,'VALIC-GMWB'!$A$6:$U$38,$B$2,FALSE)),E79,VLOOKUP($A80,'VALIC-GMWB'!$A$6:$U$38,$B$2,FALSE))</f>
        <v>91529439.14385587</v>
      </c>
      <c r="F80" s="11">
        <f>IF(ISNA(VLOOKUP($A80,'VALIC-VIX-DAP'!$A$6:$U$38,$B$2,FALSE)),F79,VLOOKUP($A80,'VALIC-VIX-DAP'!$A$6:$U$38,$B$2,FALSE))</f>
        <v>92930859.465796947</v>
      </c>
      <c r="G80" s="11">
        <f>IF(ISNA(VLOOKUP($A80,VIX!$A$6:$U$38,$B$2,FALSE)),G79,VLOOKUP($A80,VIX!$A$6:$U$38,$B$2,FALSE))</f>
        <v>158788683.7341156</v>
      </c>
      <c r="H80" s="11">
        <f>IF(ISNA(VLOOKUP($A80,GMAB!$A$6:$U$38,$B$2,FALSE)),H79,VLOOKUP($A80,GMAB!$A$6:$U$38,$B$2,FALSE))</f>
        <v>430003.85114548169</v>
      </c>
      <c r="I80" s="19">
        <f t="shared" si="1"/>
        <v>1425612682.6259205</v>
      </c>
    </row>
    <row r="81" spans="1:9" x14ac:dyDescent="0.25">
      <c r="A81" s="6">
        <v>20150420</v>
      </c>
      <c r="B81" s="11">
        <f>VLOOKUP(A81,DAP!$A$6:$U$93,5,FALSE)</f>
        <v>804177476.82207108</v>
      </c>
      <c r="C81" s="11">
        <f>IF(ISNA(VLOOKUP($A81,ML!$A$6:$U$38,$B$2,FALSE)),C80,VLOOKUP(A81,ML!$A$6:$U$38,$B$2,FALSE))</f>
        <v>184912613.13881242</v>
      </c>
      <c r="D81" s="11">
        <f>IF(ISNA(VLOOKUP($A81,USL!$A$6:$U$38,$B$2,FALSE)),D80,VLOOKUP($A81,USL!$A$6:$U$38,$B$2,FALSE))</f>
        <v>83554878.002659768</v>
      </c>
      <c r="E81" s="11">
        <f>IF(ISNA(VLOOKUP($A81,'VALIC-GMWB'!$A$6:$U$38,$B$2,FALSE)),E80,VLOOKUP($A81,'VALIC-GMWB'!$A$6:$U$38,$B$2,FALSE))</f>
        <v>91887737.423640132</v>
      </c>
      <c r="F81" s="11">
        <f>IF(ISNA(VLOOKUP($A81,'VALIC-VIX-DAP'!$A$6:$U$38,$B$2,FALSE)),F80,VLOOKUP($A81,'VALIC-VIX-DAP'!$A$6:$U$38,$B$2,FALSE))</f>
        <v>93225399.578475475</v>
      </c>
      <c r="G81" s="11">
        <f>IF(ISNA(VLOOKUP($A81,VIX!$A$6:$U$38,$B$2,FALSE)),G80,VLOOKUP($A81,VIX!$A$6:$U$38,$B$2,FALSE))</f>
        <v>158788683.7341156</v>
      </c>
      <c r="H81" s="11">
        <f>IF(ISNA(VLOOKUP($A81,GMAB!$A$6:$U$38,$B$2,FALSE)),H80,VLOOKUP($A81,GMAB!$A$6:$U$38,$B$2,FALSE))</f>
        <v>430003.85114548169</v>
      </c>
      <c r="I81" s="19">
        <f t="shared" si="1"/>
        <v>1416976792.55092</v>
      </c>
    </row>
    <row r="82" spans="1:9" x14ac:dyDescent="0.25">
      <c r="A82" s="6">
        <v>20150421</v>
      </c>
      <c r="B82" s="11">
        <f>VLOOKUP(A82,DAP!$A$6:$U$93,5,FALSE)</f>
        <v>804428385.85681796</v>
      </c>
      <c r="C82" s="11">
        <f>IF(ISNA(VLOOKUP($A82,ML!$A$6:$U$38,$B$2,FALSE)),C81,VLOOKUP(A82,ML!$A$6:$U$38,$B$2,FALSE))</f>
        <v>185186166.55027962</v>
      </c>
      <c r="D82" s="11">
        <f>IF(ISNA(VLOOKUP($A82,USL!$A$6:$U$38,$B$2,FALSE)),D81,VLOOKUP($A82,USL!$A$6:$U$38,$B$2,FALSE))</f>
        <v>83554878.002659768</v>
      </c>
      <c r="E82" s="11">
        <f>IF(ISNA(VLOOKUP($A82,'VALIC-GMWB'!$A$6:$U$38,$B$2,FALSE)),E81,VLOOKUP($A82,'VALIC-GMWB'!$A$6:$U$38,$B$2,FALSE))</f>
        <v>91887737.423640132</v>
      </c>
      <c r="F82" s="11">
        <f>IF(ISNA(VLOOKUP($A82,'VALIC-VIX-DAP'!$A$6:$U$38,$B$2,FALSE)),F81,VLOOKUP($A82,'VALIC-VIX-DAP'!$A$6:$U$38,$B$2,FALSE))</f>
        <v>93225399.578475475</v>
      </c>
      <c r="G82" s="11">
        <f>IF(ISNA(VLOOKUP($A82,VIX!$A$6:$U$38,$B$2,FALSE)),G81,VLOOKUP($A82,VIX!$A$6:$U$38,$B$2,FALSE))</f>
        <v>158788683.7341156</v>
      </c>
      <c r="H82" s="11">
        <f>IF(ISNA(VLOOKUP($A82,GMAB!$A$6:$U$38,$B$2,FALSE)),H81,VLOOKUP($A82,GMAB!$A$6:$U$38,$B$2,FALSE))</f>
        <v>429840.19222202711</v>
      </c>
      <c r="I82" s="19">
        <f t="shared" si="1"/>
        <v>1417501091.3382106</v>
      </c>
    </row>
    <row r="83" spans="1:9" x14ac:dyDescent="0.25">
      <c r="A83" s="6">
        <v>20150422</v>
      </c>
      <c r="B83" s="11">
        <f>VLOOKUP(A83,DAP!$A$6:$U$93,5,FALSE)</f>
        <v>783804828.89921832</v>
      </c>
      <c r="C83" s="11">
        <f>IF(ISNA(VLOOKUP($A83,ML!$A$6:$U$38,$B$2,FALSE)),C82,VLOOKUP(A83,ML!$A$6:$U$38,$B$2,FALSE))</f>
        <v>185186166.55027962</v>
      </c>
      <c r="D83" s="11">
        <f>IF(ISNA(VLOOKUP($A83,USL!$A$6:$U$38,$B$2,FALSE)),D82,VLOOKUP($A83,USL!$A$6:$U$38,$B$2,FALSE))</f>
        <v>83554878.002659768</v>
      </c>
      <c r="E83" s="11">
        <f>IF(ISNA(VLOOKUP($A83,'VALIC-GMWB'!$A$6:$U$38,$B$2,FALSE)),E82,VLOOKUP($A83,'VALIC-GMWB'!$A$6:$U$38,$B$2,FALSE))</f>
        <v>91887737.423640132</v>
      </c>
      <c r="F83" s="11">
        <f>IF(ISNA(VLOOKUP($A83,'VALIC-VIX-DAP'!$A$6:$U$38,$B$2,FALSE)),F82,VLOOKUP($A83,'VALIC-VIX-DAP'!$A$6:$U$38,$B$2,FALSE))</f>
        <v>93225399.578475475</v>
      </c>
      <c r="G83" s="11">
        <f>IF(ISNA(VLOOKUP($A83,VIX!$A$6:$U$38,$B$2,FALSE)),G82,VLOOKUP($A83,VIX!$A$6:$U$38,$B$2,FALSE))</f>
        <v>152488194.21347928</v>
      </c>
      <c r="H83" s="11">
        <f>IF(ISNA(VLOOKUP($A83,GMAB!$A$6:$U$38,$B$2,FALSE)),H82,VLOOKUP($A83,GMAB!$A$6:$U$38,$B$2,FALSE))</f>
        <v>429840.19222202711</v>
      </c>
      <c r="I83" s="19">
        <f t="shared" si="1"/>
        <v>1390577044.8599746</v>
      </c>
    </row>
    <row r="84" spans="1:9" x14ac:dyDescent="0.25">
      <c r="A84" s="6">
        <v>20150423</v>
      </c>
      <c r="B84" s="11">
        <f>VLOOKUP(A84,DAP!$A$6:$U$93,5,FALSE)</f>
        <v>787135057.19001007</v>
      </c>
      <c r="C84" s="11">
        <f>IF(ISNA(VLOOKUP($A84,ML!$A$6:$U$38,$B$2,FALSE)),C83,VLOOKUP(A84,ML!$A$6:$U$38,$B$2,FALSE))</f>
        <v>185186166.55027962</v>
      </c>
      <c r="D84" s="11">
        <f>IF(ISNA(VLOOKUP($A84,USL!$A$6:$U$38,$B$2,FALSE)),D83,VLOOKUP($A84,USL!$A$6:$U$38,$B$2,FALSE))</f>
        <v>81389434.319775224</v>
      </c>
      <c r="E84" s="11">
        <f>IF(ISNA(VLOOKUP($A84,'VALIC-GMWB'!$A$6:$U$38,$B$2,FALSE)),E83,VLOOKUP($A84,'VALIC-GMWB'!$A$6:$U$38,$B$2,FALSE))</f>
        <v>90009173.523005664</v>
      </c>
      <c r="F84" s="11">
        <f>IF(ISNA(VLOOKUP($A84,'VALIC-VIX-DAP'!$A$6:$U$38,$B$2,FALSE)),F83,VLOOKUP($A84,'VALIC-VIX-DAP'!$A$6:$U$38,$B$2,FALSE))</f>
        <v>91010485.324477673</v>
      </c>
      <c r="G84" s="11">
        <f>IF(ISNA(VLOOKUP($A84,VIX!$A$6:$U$38,$B$2,FALSE)),G83,VLOOKUP($A84,VIX!$A$6:$U$38,$B$2,FALSE))</f>
        <v>152488194.21347928</v>
      </c>
      <c r="H84" s="11">
        <f>IF(ISNA(VLOOKUP($A84,GMAB!$A$6:$U$38,$B$2,FALSE)),H83,VLOOKUP($A84,GMAB!$A$6:$U$38,$B$2,FALSE))</f>
        <v>429840.19222202711</v>
      </c>
      <c r="I84" s="19">
        <f t="shared" si="1"/>
        <v>1387648351.3132496</v>
      </c>
    </row>
    <row r="85" spans="1:9" x14ac:dyDescent="0.25">
      <c r="A85" s="6">
        <v>20150424</v>
      </c>
      <c r="B85" s="11">
        <f>VLOOKUP(A85,DAP!$A$6:$U$93,5,FALSE)</f>
        <v>793371758.65665674</v>
      </c>
      <c r="C85" s="11">
        <f>IF(ISNA(VLOOKUP($A85,ML!$A$6:$U$38,$B$2,FALSE)),C84,VLOOKUP(A85,ML!$A$6:$U$38,$B$2,FALSE))</f>
        <v>183137160.77408576</v>
      </c>
      <c r="D85" s="11">
        <f>IF(ISNA(VLOOKUP($A85,USL!$A$6:$U$38,$B$2,FALSE)),D84,VLOOKUP($A85,USL!$A$6:$U$38,$B$2,FALSE))</f>
        <v>81389434.319775224</v>
      </c>
      <c r="E85" s="11">
        <f>IF(ISNA(VLOOKUP($A85,'VALIC-GMWB'!$A$6:$U$38,$B$2,FALSE)),E84,VLOOKUP($A85,'VALIC-GMWB'!$A$6:$U$38,$B$2,FALSE))</f>
        <v>90009173.523005664</v>
      </c>
      <c r="F85" s="11">
        <f>IF(ISNA(VLOOKUP($A85,'VALIC-VIX-DAP'!$A$6:$U$38,$B$2,FALSE)),F84,VLOOKUP($A85,'VALIC-VIX-DAP'!$A$6:$U$38,$B$2,FALSE))</f>
        <v>91010485.324477673</v>
      </c>
      <c r="G85" s="11">
        <f>IF(ISNA(VLOOKUP($A85,VIX!$A$6:$U$38,$B$2,FALSE)),G84,VLOOKUP($A85,VIX!$A$6:$U$38,$B$2,FALSE))</f>
        <v>152488194.21347928</v>
      </c>
      <c r="H85" s="11">
        <f>IF(ISNA(VLOOKUP($A85,GMAB!$A$6:$U$38,$B$2,FALSE)),H84,VLOOKUP($A85,GMAB!$A$6:$U$38,$B$2,FALSE))</f>
        <v>416600.46479511447</v>
      </c>
      <c r="I85" s="19">
        <f t="shared" si="1"/>
        <v>1391822807.2762754</v>
      </c>
    </row>
    <row r="86" spans="1:9" x14ac:dyDescent="0.25">
      <c r="A86" s="6">
        <v>20150427</v>
      </c>
      <c r="B86" s="11">
        <f>VLOOKUP(A86,DAP!$A$6:$U$93,5,FALSE)</f>
        <v>797465883.73156548</v>
      </c>
      <c r="C86" s="11">
        <f>IF(ISNA(VLOOKUP($A86,ML!$A$6:$U$38,$B$2,FALSE)),C85,VLOOKUP(A86,ML!$A$6:$U$38,$B$2,FALSE))</f>
        <v>183137160.77408576</v>
      </c>
      <c r="D86" s="11">
        <f>IF(ISNA(VLOOKUP($A86,USL!$A$6:$U$38,$B$2,FALSE)),D85,VLOOKUP($A86,USL!$A$6:$U$38,$B$2,FALSE))</f>
        <v>81389434.319775224</v>
      </c>
      <c r="E86" s="11">
        <f>IF(ISNA(VLOOKUP($A86,'VALIC-GMWB'!$A$6:$U$38,$B$2,FALSE)),E85,VLOOKUP($A86,'VALIC-GMWB'!$A$6:$U$38,$B$2,FALSE))</f>
        <v>90009173.523005664</v>
      </c>
      <c r="F86" s="11">
        <f>IF(ISNA(VLOOKUP($A86,'VALIC-VIX-DAP'!$A$6:$U$38,$B$2,FALSE)),F85,VLOOKUP($A86,'VALIC-VIX-DAP'!$A$6:$U$38,$B$2,FALSE))</f>
        <v>91010485.324477673</v>
      </c>
      <c r="G86" s="11">
        <f>IF(ISNA(VLOOKUP($A86,VIX!$A$6:$U$38,$B$2,FALSE)),G85,VLOOKUP($A86,VIX!$A$6:$U$38,$B$2,FALSE))</f>
        <v>154351579.0580107</v>
      </c>
      <c r="H86" s="11">
        <f>IF(ISNA(VLOOKUP($A86,GMAB!$A$6:$U$38,$B$2,FALSE)),H85,VLOOKUP($A86,GMAB!$A$6:$U$38,$B$2,FALSE))</f>
        <v>416600.46479511447</v>
      </c>
      <c r="I86" s="19">
        <f t="shared" si="1"/>
        <v>1397780317.1957154</v>
      </c>
    </row>
    <row r="87" spans="1:9" x14ac:dyDescent="0.25">
      <c r="A87" s="6">
        <v>20150428</v>
      </c>
      <c r="B87" s="11">
        <f>VLOOKUP(A87,DAP!$A$6:$U$93,5,FALSE)</f>
        <v>775563467.67861009</v>
      </c>
      <c r="C87" s="11">
        <f>IF(ISNA(VLOOKUP($A87,ML!$A$6:$U$38,$B$2,FALSE)),C86,VLOOKUP(A87,ML!$A$6:$U$38,$B$2,FALSE))</f>
        <v>183137160.77408576</v>
      </c>
      <c r="D87" s="11">
        <f>IF(ISNA(VLOOKUP($A87,USL!$A$6:$U$38,$B$2,FALSE)),D86,VLOOKUP($A87,USL!$A$6:$U$38,$B$2,FALSE))</f>
        <v>79784145.818544894</v>
      </c>
      <c r="E87" s="11">
        <f>IF(ISNA(VLOOKUP($A87,'VALIC-GMWB'!$A$6:$U$38,$B$2,FALSE)),E86,VLOOKUP($A87,'VALIC-GMWB'!$A$6:$U$38,$B$2,FALSE))</f>
        <v>88424687.262787849</v>
      </c>
      <c r="F87" s="11">
        <f>IF(ISNA(VLOOKUP($A87,'VALIC-VIX-DAP'!$A$6:$U$38,$B$2,FALSE)),F86,VLOOKUP($A87,'VALIC-VIX-DAP'!$A$6:$U$38,$B$2,FALSE))</f>
        <v>89300474.263066769</v>
      </c>
      <c r="G87" s="11">
        <f>IF(ISNA(VLOOKUP($A87,VIX!$A$6:$U$38,$B$2,FALSE)),G86,VLOOKUP($A87,VIX!$A$6:$U$38,$B$2,FALSE))</f>
        <v>154351579.0580107</v>
      </c>
      <c r="H87" s="11">
        <f>IF(ISNA(VLOOKUP($A87,GMAB!$A$6:$U$38,$B$2,FALSE)),H86,VLOOKUP($A87,GMAB!$A$6:$U$38,$B$2,FALSE))</f>
        <v>416600.46479511447</v>
      </c>
      <c r="I87" s="19">
        <f t="shared" si="1"/>
        <v>1370978115.319901</v>
      </c>
    </row>
    <row r="88" spans="1:9" x14ac:dyDescent="0.25">
      <c r="A88" s="6">
        <v>20150429</v>
      </c>
      <c r="B88" s="11">
        <f>VLOOKUP(A88,DAP!$A$6:$U$93,5,FALSE)</f>
        <v>771924674.72795105</v>
      </c>
      <c r="C88" s="11">
        <f>IF(ISNA(VLOOKUP($A88,ML!$A$6:$U$38,$B$2,FALSE)),C87,VLOOKUP(A88,ML!$A$6:$U$38,$B$2,FALSE))</f>
        <v>177988915.56143641</v>
      </c>
      <c r="D88" s="11">
        <f>IF(ISNA(VLOOKUP($A88,USL!$A$6:$U$38,$B$2,FALSE)),D87,VLOOKUP($A88,USL!$A$6:$U$38,$B$2,FALSE))</f>
        <v>79784145.818544894</v>
      </c>
      <c r="E88" s="11">
        <f>IF(ISNA(VLOOKUP($A88,'VALIC-GMWB'!$A$6:$U$38,$B$2,FALSE)),E87,VLOOKUP($A88,'VALIC-GMWB'!$A$6:$U$38,$B$2,FALSE))</f>
        <v>88424687.262787849</v>
      </c>
      <c r="F88" s="11">
        <f>IF(ISNA(VLOOKUP($A88,'VALIC-VIX-DAP'!$A$6:$U$38,$B$2,FALSE)),F87,VLOOKUP($A88,'VALIC-VIX-DAP'!$A$6:$U$38,$B$2,FALSE))</f>
        <v>89300474.263066769</v>
      </c>
      <c r="G88" s="11">
        <f>IF(ISNA(VLOOKUP($A88,VIX!$A$6:$U$38,$B$2,FALSE)),G87,VLOOKUP($A88,VIX!$A$6:$U$38,$B$2,FALSE))</f>
        <v>154351579.0580107</v>
      </c>
      <c r="H88" s="11">
        <f>IF(ISNA(VLOOKUP($A88,GMAB!$A$6:$U$38,$B$2,FALSE)),H87,VLOOKUP($A88,GMAB!$A$6:$U$38,$B$2,FALSE))</f>
        <v>423401.01341870986</v>
      </c>
      <c r="I88" s="19">
        <f t="shared" si="1"/>
        <v>1362197877.7052164</v>
      </c>
    </row>
    <row r="89" spans="1:9" x14ac:dyDescent="0.25">
      <c r="A89" s="6">
        <v>20150430</v>
      </c>
      <c r="B89" s="11">
        <f>VLOOKUP(A89,DAP!$A$6:$U$93,5,FALSE)</f>
        <v>779065219.50207138</v>
      </c>
      <c r="C89" s="11">
        <f>IF(ISNA(VLOOKUP($A89,ML!$A$6:$U$38,$B$2,FALSE)),C88,VLOOKUP(A89,ML!$A$6:$U$38,$B$2,FALSE))</f>
        <v>178969068.64101946</v>
      </c>
      <c r="D89" s="11">
        <f>IF(ISNA(VLOOKUP($A89,USL!$A$6:$U$38,$B$2,FALSE)),D88,VLOOKUP($A89,USL!$A$6:$U$38,$B$2,FALSE))</f>
        <v>79725937.002933025</v>
      </c>
      <c r="E89" s="11">
        <f>IF(ISNA(VLOOKUP($A89,'VALIC-GMWB'!$A$6:$U$38,$B$2,FALSE)),E88,VLOOKUP($A89,'VALIC-GMWB'!$A$6:$U$38,$B$2,FALSE))</f>
        <v>87299359.227972269</v>
      </c>
      <c r="F89" s="11">
        <f>IF(ISNA(VLOOKUP($A89,'VALIC-VIX-DAP'!$A$6:$U$38,$B$2,FALSE)),F88,VLOOKUP($A89,'VALIC-VIX-DAP'!$A$6:$U$38,$B$2,FALSE))</f>
        <v>88479594.930564165</v>
      </c>
      <c r="G89" s="11">
        <f>IF(ISNA(VLOOKUP($A89,VIX!$A$6:$U$38,$B$2,FALSE)),G88,VLOOKUP($A89,VIX!$A$6:$U$38,$B$2,FALSE))</f>
        <v>149854648.7278254</v>
      </c>
      <c r="H89" s="11">
        <f>IF(ISNA(VLOOKUP($A89,GMAB!$A$6:$U$38,$B$2,FALSE)),H88,VLOOKUP($A89,GMAB!$A$6:$U$38,$B$2,FALSE))</f>
        <v>434408.58384599909</v>
      </c>
      <c r="I89" s="19">
        <f t="shared" si="1"/>
        <v>1363828236.6162319</v>
      </c>
    </row>
    <row r="90" spans="1:9" x14ac:dyDescent="0.25">
      <c r="A90" s="6">
        <v>20150501</v>
      </c>
      <c r="B90" s="11">
        <f>VLOOKUP(A90,DAP!$A$6:$U$93,5,FALSE)</f>
        <v>754303616.26245403</v>
      </c>
      <c r="C90" s="11">
        <f>IF(ISNA(VLOOKUP($A90,ML!$A$6:$U$38,$B$2,FALSE)),C89,VLOOKUP(A90,ML!$A$6:$U$38,$B$2,FALSE))</f>
        <v>178969068.64101946</v>
      </c>
      <c r="D90" s="11">
        <f>IF(ISNA(VLOOKUP($A90,USL!$A$6:$U$38,$B$2,FALSE)),D89,VLOOKUP($A90,USL!$A$6:$U$38,$B$2,FALSE))</f>
        <v>77180346.858534396</v>
      </c>
      <c r="E90" s="11">
        <f>IF(ISNA(VLOOKUP($A90,'VALIC-GMWB'!$A$6:$U$38,$B$2,FALSE)),E89,VLOOKUP($A90,'VALIC-GMWB'!$A$6:$U$38,$B$2,FALSE))</f>
        <v>85077233.471044123</v>
      </c>
      <c r="F90" s="11">
        <f>IF(ISNA(VLOOKUP($A90,'VALIC-VIX-DAP'!$A$6:$U$38,$B$2,FALSE)),F89,VLOOKUP($A90,'VALIC-VIX-DAP'!$A$6:$U$38,$B$2,FALSE))</f>
        <v>85964434.605603456</v>
      </c>
      <c r="G90" s="11">
        <f>IF(ISNA(VLOOKUP($A90,VIX!$A$6:$U$38,$B$2,FALSE)),G89,VLOOKUP($A90,VIX!$A$6:$U$38,$B$2,FALSE))</f>
        <v>149854648.7278254</v>
      </c>
      <c r="H90" s="11">
        <f>IF(ISNA(VLOOKUP($A90,GMAB!$A$6:$U$38,$B$2,FALSE)),H89,VLOOKUP($A90,GMAB!$A$6:$U$38,$B$2,FALSE))</f>
        <v>434408.58384599909</v>
      </c>
      <c r="I90" s="19">
        <f t="shared" si="1"/>
        <v>1331783757.150327</v>
      </c>
    </row>
    <row r="91" spans="1:9" x14ac:dyDescent="0.25">
      <c r="A91" s="6">
        <v>20150504</v>
      </c>
      <c r="B91" s="11">
        <f>VLOOKUP(A91,DAP!$A$6:$U$93,5,FALSE)</f>
        <v>741197684.13230586</v>
      </c>
      <c r="C91" s="11">
        <f>IF(ISNA(VLOOKUP($A91,ML!$A$6:$U$38,$B$2,FALSE)),C90,VLOOKUP(A91,ML!$A$6:$U$38,$B$2,FALSE))</f>
        <v>171799281.97034729</v>
      </c>
      <c r="D91" s="11">
        <f>IF(ISNA(VLOOKUP($A91,USL!$A$6:$U$38,$B$2,FALSE)),D90,VLOOKUP($A91,USL!$A$6:$U$38,$B$2,FALSE))</f>
        <v>77180346.858534396</v>
      </c>
      <c r="E91" s="11">
        <f>IF(ISNA(VLOOKUP($A91,'VALIC-GMWB'!$A$6:$U$38,$B$2,FALSE)),E90,VLOOKUP($A91,'VALIC-GMWB'!$A$6:$U$38,$B$2,FALSE))</f>
        <v>85077233.471044123</v>
      </c>
      <c r="F91" s="11">
        <f>IF(ISNA(VLOOKUP($A91,'VALIC-VIX-DAP'!$A$6:$U$38,$B$2,FALSE)),F90,VLOOKUP($A91,'VALIC-VIX-DAP'!$A$6:$U$38,$B$2,FALSE))</f>
        <v>85964434.605603456</v>
      </c>
      <c r="G91" s="11">
        <f>IF(ISNA(VLOOKUP($A91,VIX!$A$6:$U$38,$B$2,FALSE)),G90,VLOOKUP($A91,VIX!$A$6:$U$38,$B$2,FALSE))</f>
        <v>149854648.7278254</v>
      </c>
      <c r="H91" s="11">
        <f>IF(ISNA(VLOOKUP($A91,GMAB!$A$6:$U$38,$B$2,FALSE)),H90,VLOOKUP($A91,GMAB!$A$6:$U$38,$B$2,FALSE))</f>
        <v>411290.99563160539</v>
      </c>
      <c r="I91" s="19">
        <f t="shared" si="1"/>
        <v>1311484920.7612922</v>
      </c>
    </row>
    <row r="92" spans="1:9" x14ac:dyDescent="0.25">
      <c r="A92" s="6">
        <v>20150505</v>
      </c>
      <c r="B92" s="11">
        <f>VLOOKUP(A92,DAP!$A$6:$U$93,5,FALSE)</f>
        <v>745967625.25866914</v>
      </c>
      <c r="C92" s="11">
        <f>IF(ISNA(VLOOKUP($A92,ML!$A$6:$U$38,$B$2,FALSE)),C91,VLOOKUP(A92,ML!$A$6:$U$38,$B$2,FALSE))</f>
        <v>171799281.97034729</v>
      </c>
      <c r="D92" s="11">
        <f>IF(ISNA(VLOOKUP($A92,USL!$A$6:$U$38,$B$2,FALSE)),D91,VLOOKUP($A92,USL!$A$6:$U$38,$B$2,FALSE))</f>
        <v>77180346.858534396</v>
      </c>
      <c r="E92" s="11">
        <f>IF(ISNA(VLOOKUP($A92,'VALIC-GMWB'!$A$6:$U$38,$B$2,FALSE)),E91,VLOOKUP($A92,'VALIC-GMWB'!$A$6:$U$38,$B$2,FALSE))</f>
        <v>85077233.471044123</v>
      </c>
      <c r="F92" s="11">
        <f>IF(ISNA(VLOOKUP($A92,'VALIC-VIX-DAP'!$A$6:$U$38,$B$2,FALSE)),F91,VLOOKUP($A92,'VALIC-VIX-DAP'!$A$6:$U$38,$B$2,FALSE))</f>
        <v>85964434.605603456</v>
      </c>
      <c r="G92" s="11">
        <f>IF(ISNA(VLOOKUP($A92,VIX!$A$6:$U$38,$B$2,FALSE)),G91,VLOOKUP($A92,VIX!$A$6:$U$38,$B$2,FALSE))</f>
        <v>143944872.09130049</v>
      </c>
      <c r="H92" s="11">
        <f>IF(ISNA(VLOOKUP($A92,GMAB!$A$6:$U$38,$B$2,FALSE)),H91,VLOOKUP($A92,GMAB!$A$6:$U$38,$B$2,FALSE))</f>
        <v>411290.99563160539</v>
      </c>
      <c r="I92" s="19">
        <f t="shared" si="1"/>
        <v>1310345085.2511306</v>
      </c>
    </row>
  </sheetData>
  <sortState ref="A3:H90">
    <sortCondition ref="A3"/>
  </sortState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DAP!$D$5:$N$5</xm:f>
          </x14:formula1>
          <xm:sqref>B1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Summary</vt:lpstr>
      <vt:lpstr>DAP</vt:lpstr>
      <vt:lpstr>ML</vt:lpstr>
      <vt:lpstr>USL</vt:lpstr>
      <vt:lpstr>VALIC-GMWB</vt:lpstr>
      <vt:lpstr>VALIC-VIX-DAP</vt:lpstr>
      <vt:lpstr>VIX</vt:lpstr>
      <vt:lpstr>GMAB</vt:lpstr>
      <vt:lpstr>Input</vt:lpstr>
      <vt:lpstr>TimeSeries</vt:lpstr>
      <vt:lpstr>FormFolder</vt:lpstr>
      <vt:lpstr>GlobalEndDate</vt:lpstr>
      <vt:lpstr>GlobalStartDate</vt:lpstr>
      <vt:lpstr>InputStart</vt:lpstr>
    </vt:vector>
  </TitlesOfParts>
  <Company>American International 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Li, Mei</dc:creator>
  <cp:lastModifiedBy>Li, Mei</cp:lastModifiedBy>
  <dcterms:created xsi:type="dcterms:W3CDTF">2014-11-13T16:43:37Z</dcterms:created>
  <dcterms:modified xsi:type="dcterms:W3CDTF">2015-05-11T14:13:56Z</dcterms:modified>
</cp:coreProperties>
</file>