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60" windowWidth="7545" windowHeight="4980" activeTab="1"/>
  </bookViews>
  <sheets>
    <sheet name="Input" sheetId="1" r:id="rId1"/>
    <sheet name="Calcs" sheetId="5" r:id="rId2"/>
    <sheet name="Sheet1" sheetId="6" r:id="rId3"/>
  </sheets>
  <functionGroups builtInGroupCount="17"/>
  <definedNames>
    <definedName name="Alpha">Input!$B$14</definedName>
    <definedName name="Delta">Input!$B$15</definedName>
    <definedName name="dt">Input!$B$6</definedName>
    <definedName name="Eta">Input!$B$10</definedName>
    <definedName name="Kappa">Input!$B$7</definedName>
    <definedName name="Lambda">Input!$B$13</definedName>
    <definedName name="Rho">Input!$B$9</definedName>
    <definedName name="S">Input!$B$12</definedName>
    <definedName name="Sigma.SPX">Input!$B$8</definedName>
    <definedName name="Theta">Input!$B$11</definedName>
  </definedNames>
  <calcPr calcId="145621"/>
</workbook>
</file>

<file path=xl/calcChain.xml><?xml version="1.0" encoding="utf-8"?>
<calcChain xmlns="http://schemas.openxmlformats.org/spreadsheetml/2006/main"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4" i="5"/>
  <c r="L2" i="6" l="1"/>
  <c r="M6" i="5"/>
  <c r="M7" i="5"/>
  <c r="S6" i="5"/>
  <c r="S7" i="5"/>
  <c r="S8" i="5"/>
  <c r="S9" i="5"/>
  <c r="S10" i="5"/>
  <c r="S11" i="5"/>
  <c r="S12" i="5"/>
  <c r="S13" i="5"/>
  <c r="S14" i="5"/>
  <c r="S15" i="5"/>
  <c r="S16" i="5"/>
  <c r="S5" i="5"/>
  <c r="S17" i="5" l="1"/>
  <c r="L3" i="6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M2" i="6"/>
  <c r="Y14" i="5"/>
  <c r="Y15" i="5"/>
  <c r="Z15" i="5" s="1"/>
  <c r="Y13" i="5"/>
  <c r="Y12" i="5"/>
  <c r="Z12" i="5" s="1"/>
  <c r="Y11" i="5"/>
  <c r="Y10" i="5"/>
  <c r="Y9" i="5"/>
  <c r="Y8" i="5"/>
  <c r="Y7" i="5"/>
  <c r="Z7" i="5" s="1"/>
  <c r="Y6" i="5"/>
  <c r="Y5" i="5"/>
  <c r="T26" i="5"/>
  <c r="T27" i="5" s="1"/>
  <c r="T28" i="5" s="1"/>
  <c r="T29" i="5" s="1"/>
  <c r="T30" i="5" s="1"/>
  <c r="T31" i="5" s="1"/>
  <c r="T32" i="5" s="1"/>
  <c r="T33" i="5" s="1"/>
  <c r="T34" i="5" s="1"/>
  <c r="T35" i="5" s="1"/>
  <c r="T36" i="5" s="1"/>
  <c r="T37" i="5" s="1"/>
  <c r="T38" i="5" s="1"/>
  <c r="T39" i="5" s="1"/>
  <c r="T40" i="5" s="1"/>
  <c r="T41" i="5" s="1"/>
  <c r="T42" i="5" s="1"/>
  <c r="T43" i="5" s="1"/>
  <c r="T44" i="5" s="1"/>
  <c r="T45" i="5" s="1"/>
  <c r="T46" i="5" s="1"/>
  <c r="T47" i="5" s="1"/>
  <c r="T48" i="5" s="1"/>
  <c r="T49" i="5" s="1"/>
  <c r="T50" i="5" s="1"/>
  <c r="T51" i="5" s="1"/>
  <c r="T52" i="5" s="1"/>
  <c r="T53" i="5" s="1"/>
  <c r="T54" i="5" s="1"/>
  <c r="T55" i="5" s="1"/>
  <c r="T56" i="5" s="1"/>
  <c r="T57" i="5" s="1"/>
  <c r="T58" i="5" s="1"/>
  <c r="T59" i="5" s="1"/>
  <c r="T60" i="5" s="1"/>
  <c r="T61" i="5" s="1"/>
  <c r="T62" i="5" s="1"/>
  <c r="T63" i="5" s="1"/>
  <c r="T64" i="5" s="1"/>
  <c r="T65" i="5" s="1"/>
  <c r="T66" i="5" s="1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T96" i="5" s="1"/>
  <c r="T97" i="5" s="1"/>
  <c r="T98" i="5" s="1"/>
  <c r="T99" i="5" s="1"/>
  <c r="T100" i="5" s="1"/>
  <c r="T101" i="5" s="1"/>
  <c r="T102" i="5" s="1"/>
  <c r="T103" i="5" s="1"/>
  <c r="T104" i="5" s="1"/>
  <c r="T105" i="5" s="1"/>
  <c r="T106" i="5" s="1"/>
  <c r="T107" i="5" s="1"/>
  <c r="T108" i="5" s="1"/>
  <c r="T109" i="5" s="1"/>
  <c r="T110" i="5" s="1"/>
  <c r="T111" i="5" s="1"/>
  <c r="T112" i="5" s="1"/>
  <c r="T113" i="5" s="1"/>
  <c r="T114" i="5" s="1"/>
  <c r="T115" i="5" s="1"/>
  <c r="T116" i="5" s="1"/>
  <c r="T117" i="5" s="1"/>
  <c r="T118" i="5" s="1"/>
  <c r="T119" i="5" s="1"/>
  <c r="T120" i="5" s="1"/>
  <c r="T121" i="5" s="1"/>
  <c r="T122" i="5" s="1"/>
  <c r="T123" i="5" s="1"/>
  <c r="T124" i="5" s="1"/>
  <c r="T125" i="5" s="1"/>
  <c r="T126" i="5" s="1"/>
  <c r="T127" i="5" s="1"/>
  <c r="T128" i="5" s="1"/>
  <c r="T129" i="5" s="1"/>
  <c r="T130" i="5" s="1"/>
  <c r="T131" i="5" s="1"/>
  <c r="T132" i="5" s="1"/>
  <c r="T133" i="5" s="1"/>
  <c r="T134" i="5" s="1"/>
  <c r="T135" i="5" s="1"/>
  <c r="T136" i="5" s="1"/>
  <c r="T137" i="5" s="1"/>
  <c r="T138" i="5" s="1"/>
  <c r="T139" i="5" s="1"/>
  <c r="T140" i="5" s="1"/>
  <c r="T141" i="5" s="1"/>
  <c r="T142" i="5" s="1"/>
  <c r="T143" i="5" s="1"/>
  <c r="T144" i="5" s="1"/>
  <c r="T145" i="5" s="1"/>
  <c r="T146" i="5" s="1"/>
  <c r="T147" i="5" s="1"/>
  <c r="T148" i="5" s="1"/>
  <c r="T149" i="5" s="1"/>
  <c r="T150" i="5" s="1"/>
  <c r="T151" i="5" s="1"/>
  <c r="T152" i="5" s="1"/>
  <c r="T153" i="5" s="1"/>
  <c r="T154" i="5" s="1"/>
  <c r="T155" i="5" s="1"/>
  <c r="T156" i="5" s="1"/>
  <c r="T157" i="5" s="1"/>
  <c r="T158" i="5" s="1"/>
  <c r="T159" i="5" s="1"/>
  <c r="T160" i="5" s="1"/>
  <c r="T161" i="5" s="1"/>
  <c r="T162" i="5" s="1"/>
  <c r="T163" i="5" s="1"/>
  <c r="T164" i="5" s="1"/>
  <c r="T165" i="5" s="1"/>
  <c r="T166" i="5" s="1"/>
  <c r="T167" i="5" s="1"/>
  <c r="T168" i="5" s="1"/>
  <c r="T169" i="5" s="1"/>
  <c r="T170" i="5" s="1"/>
  <c r="T171" i="5" s="1"/>
  <c r="T172" i="5" s="1"/>
  <c r="T173" i="5" s="1"/>
  <c r="T174" i="5" s="1"/>
  <c r="T175" i="5" s="1"/>
  <c r="T176" i="5" s="1"/>
  <c r="T177" i="5" s="1"/>
  <c r="T178" i="5" s="1"/>
  <c r="T179" i="5" s="1"/>
  <c r="T180" i="5" s="1"/>
  <c r="T181" i="5" s="1"/>
  <c r="T182" i="5" s="1"/>
  <c r="T183" i="5" s="1"/>
  <c r="T184" i="5" s="1"/>
  <c r="T185" i="5" s="1"/>
  <c r="T186" i="5" s="1"/>
  <c r="T187" i="5" s="1"/>
  <c r="T188" i="5" s="1"/>
  <c r="T189" i="5" s="1"/>
  <c r="T190" i="5" s="1"/>
  <c r="T191" i="5" s="1"/>
  <c r="T192" i="5" s="1"/>
  <c r="T193" i="5" s="1"/>
  <c r="T194" i="5" s="1"/>
  <c r="T195" i="5" s="1"/>
  <c r="T196" i="5" s="1"/>
  <c r="T197" i="5" s="1"/>
  <c r="T198" i="5" s="1"/>
  <c r="T199" i="5" s="1"/>
  <c r="T200" i="5" s="1"/>
  <c r="T201" i="5" s="1"/>
  <c r="T202" i="5" s="1"/>
  <c r="T203" i="5" s="1"/>
  <c r="T204" i="5" s="1"/>
  <c r="T205" i="5" s="1"/>
  <c r="T206" i="5" s="1"/>
  <c r="T207" i="5" s="1"/>
  <c r="T208" i="5" s="1"/>
  <c r="T209" i="5" s="1"/>
  <c r="T210" i="5" s="1"/>
  <c r="T211" i="5" s="1"/>
  <c r="T212" i="5" s="1"/>
  <c r="T213" i="5" s="1"/>
  <c r="T214" i="5" s="1"/>
  <c r="T215" i="5" s="1"/>
  <c r="T216" i="5" s="1"/>
  <c r="T217" i="5" s="1"/>
  <c r="T218" i="5" s="1"/>
  <c r="T219" i="5" s="1"/>
  <c r="T220" i="5" s="1"/>
  <c r="T221" i="5" s="1"/>
  <c r="T222" i="5" s="1"/>
  <c r="T223" i="5" s="1"/>
  <c r="T224" i="5" s="1"/>
  <c r="T225" i="5" s="1"/>
  <c r="T226" i="5" s="1"/>
  <c r="T227" i="5" s="1"/>
  <c r="T228" i="5" s="1"/>
  <c r="T229" i="5" s="1"/>
  <c r="T230" i="5" s="1"/>
  <c r="T231" i="5" s="1"/>
  <c r="T232" i="5" s="1"/>
  <c r="T233" i="5" s="1"/>
  <c r="T234" i="5" s="1"/>
  <c r="T235" i="5" s="1"/>
  <c r="T236" i="5" s="1"/>
  <c r="T237" i="5" s="1"/>
  <c r="T238" i="5" s="1"/>
  <c r="T239" i="5" s="1"/>
  <c r="T240" i="5" s="1"/>
  <c r="T241" i="5" s="1"/>
  <c r="T242" i="5" s="1"/>
  <c r="T243" i="5" s="1"/>
  <c r="T244" i="5" s="1"/>
  <c r="T245" i="5" s="1"/>
  <c r="T246" i="5" s="1"/>
  <c r="T247" i="5" s="1"/>
  <c r="T248" i="5" s="1"/>
  <c r="T249" i="5" s="1"/>
  <c r="T250" i="5" s="1"/>
  <c r="T251" i="5" s="1"/>
  <c r="T252" i="5" s="1"/>
  <c r="T253" i="5" s="1"/>
  <c r="T254" i="5" s="1"/>
  <c r="T255" i="5" s="1"/>
  <c r="Y4" i="5"/>
  <c r="Z14" i="5"/>
  <c r="X16" i="5"/>
  <c r="X15" i="5"/>
  <c r="X14" i="5"/>
  <c r="X13" i="5"/>
  <c r="X12" i="5"/>
  <c r="X11" i="5"/>
  <c r="X10" i="5"/>
  <c r="X9" i="5"/>
  <c r="X8" i="5"/>
  <c r="X7" i="5"/>
  <c r="X6" i="5"/>
  <c r="Z8" i="5" l="1"/>
  <c r="Z13" i="5"/>
  <c r="Z5" i="5"/>
  <c r="Z6" i="5"/>
  <c r="Z9" i="5"/>
  <c r="Z10" i="5"/>
  <c r="Z11" i="5"/>
  <c r="Q2" i="5" l="1"/>
  <c r="P2" i="5"/>
  <c r="M16" i="5" l="1"/>
  <c r="M15" i="5"/>
  <c r="M14" i="5"/>
  <c r="M13" i="5"/>
  <c r="M12" i="5"/>
  <c r="M11" i="5"/>
  <c r="M10" i="5"/>
  <c r="M9" i="5"/>
  <c r="M8" i="5"/>
  <c r="J3" i="5" l="1"/>
  <c r="G2" i="6" s="1"/>
  <c r="H2" i="6" s="1"/>
  <c r="L3" i="5"/>
  <c r="N4" i="5" s="1"/>
  <c r="M3" i="5"/>
  <c r="A4" i="5"/>
  <c r="M4" i="5" s="1"/>
  <c r="A5" i="5" l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B6" i="1"/>
  <c r="O12" i="5" l="1"/>
  <c r="O11" i="5"/>
  <c r="O10" i="5"/>
  <c r="O9" i="5"/>
  <c r="O8" i="5"/>
  <c r="O6" i="5"/>
  <c r="O5" i="5"/>
  <c r="O16" i="5"/>
  <c r="O15" i="5"/>
  <c r="O14" i="5"/>
  <c r="O13" i="5"/>
  <c r="O7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O4" i="5"/>
  <c r="J4" i="5"/>
  <c r="G3" i="6" s="1"/>
  <c r="H3" i="6" s="1"/>
  <c r="K4" i="5"/>
  <c r="L4" i="5" l="1"/>
  <c r="I2" i="6" s="1"/>
  <c r="J2" i="6" s="1"/>
  <c r="J5" i="5"/>
  <c r="G4" i="6" s="1"/>
  <c r="H4" i="6" s="1"/>
  <c r="K5" i="5"/>
  <c r="L5" i="5" l="1"/>
  <c r="I3" i="6" s="1"/>
  <c r="J3" i="6" s="1"/>
  <c r="J6" i="5"/>
  <c r="G5" i="6" s="1"/>
  <c r="H5" i="6" s="1"/>
  <c r="K6" i="5"/>
  <c r="L6" i="5" l="1"/>
  <c r="I4" i="6" s="1"/>
  <c r="J4" i="6" s="1"/>
  <c r="M3" i="6"/>
  <c r="J7" i="5"/>
  <c r="G6" i="6" s="1"/>
  <c r="H6" i="6" s="1"/>
  <c r="K7" i="5"/>
  <c r="L7" i="5" l="1"/>
  <c r="I5" i="6" s="1"/>
  <c r="J5" i="6" s="1"/>
  <c r="M4" i="6"/>
  <c r="J8" i="5"/>
  <c r="G7" i="6" s="1"/>
  <c r="H7" i="6" s="1"/>
  <c r="K8" i="5"/>
  <c r="L8" i="5" l="1"/>
  <c r="I6" i="6" s="1"/>
  <c r="J6" i="6" s="1"/>
  <c r="M5" i="6"/>
  <c r="K9" i="5"/>
  <c r="J9" i="5"/>
  <c r="G8" i="6" s="1"/>
  <c r="H8" i="6" s="1"/>
  <c r="L9" i="5" l="1"/>
  <c r="I7" i="6" s="1"/>
  <c r="J7" i="6" s="1"/>
  <c r="M6" i="6"/>
  <c r="J10" i="5"/>
  <c r="G9" i="6" s="1"/>
  <c r="H9" i="6" s="1"/>
  <c r="K10" i="5"/>
  <c r="L10" i="5" l="1"/>
  <c r="I8" i="6" s="1"/>
  <c r="J8" i="6" s="1"/>
  <c r="M7" i="6"/>
  <c r="K11" i="5"/>
  <c r="J11" i="5"/>
  <c r="G10" i="6" s="1"/>
  <c r="H10" i="6" s="1"/>
  <c r="L11" i="5" l="1"/>
  <c r="I9" i="6" s="1"/>
  <c r="J9" i="6" s="1"/>
  <c r="M8" i="6"/>
  <c r="K12" i="5"/>
  <c r="J12" i="5"/>
  <c r="G11" i="6" s="1"/>
  <c r="H11" i="6" s="1"/>
  <c r="L12" i="5" l="1"/>
  <c r="I10" i="6" s="1"/>
  <c r="J10" i="6" s="1"/>
  <c r="M9" i="6"/>
  <c r="K13" i="5"/>
  <c r="J13" i="5"/>
  <c r="G12" i="6" s="1"/>
  <c r="H12" i="6" s="1"/>
  <c r="L13" i="5" l="1"/>
  <c r="I11" i="6" s="1"/>
  <c r="J11" i="6" s="1"/>
  <c r="M10" i="6"/>
  <c r="J14" i="5"/>
  <c r="G13" i="6" s="1"/>
  <c r="H13" i="6" s="1"/>
  <c r="K14" i="5"/>
  <c r="L14" i="5" l="1"/>
  <c r="I12" i="6" s="1"/>
  <c r="J12" i="6" s="1"/>
  <c r="M11" i="6"/>
  <c r="K15" i="5"/>
  <c r="J15" i="5"/>
  <c r="G14" i="6" s="1"/>
  <c r="H14" i="6" s="1"/>
  <c r="L15" i="5" l="1"/>
  <c r="I13" i="6" s="1"/>
  <c r="J13" i="6" s="1"/>
  <c r="M12" i="6"/>
  <c r="J16" i="5"/>
  <c r="G15" i="6" s="1"/>
  <c r="H15" i="6" s="1"/>
  <c r="K16" i="5"/>
  <c r="L16" i="5" l="1"/>
  <c r="I14" i="6" s="1"/>
  <c r="J14" i="6" s="1"/>
  <c r="M13" i="6"/>
  <c r="K17" i="5"/>
  <c r="J17" i="5"/>
  <c r="G16" i="6" s="1"/>
  <c r="H16" i="6" s="1"/>
  <c r="L17" i="5" l="1"/>
  <c r="I15" i="6" s="1"/>
  <c r="J15" i="6" s="1"/>
  <c r="M14" i="6"/>
  <c r="J18" i="5"/>
  <c r="G17" i="6" s="1"/>
  <c r="H17" i="6" s="1"/>
  <c r="K18" i="5"/>
  <c r="L18" i="5" l="1"/>
  <c r="I16" i="6" s="1"/>
  <c r="J16" i="6" s="1"/>
  <c r="M15" i="6"/>
  <c r="K19" i="5"/>
  <c r="J19" i="5"/>
  <c r="G18" i="6" s="1"/>
  <c r="H18" i="6" s="1"/>
  <c r="L19" i="5" l="1"/>
  <c r="I17" i="6" s="1"/>
  <c r="J17" i="6" s="1"/>
  <c r="M16" i="6"/>
  <c r="K20" i="5"/>
  <c r="J20" i="5"/>
  <c r="G19" i="6" s="1"/>
  <c r="H19" i="6" s="1"/>
  <c r="L20" i="5" l="1"/>
  <c r="I18" i="6" s="1"/>
  <c r="J18" i="6" s="1"/>
  <c r="M17" i="6"/>
  <c r="K21" i="5"/>
  <c r="J21" i="5"/>
  <c r="G20" i="6" s="1"/>
  <c r="H20" i="6" s="1"/>
  <c r="L21" i="5" l="1"/>
  <c r="I19" i="6" s="1"/>
  <c r="J19" i="6" s="1"/>
  <c r="M18" i="6"/>
  <c r="J22" i="5"/>
  <c r="G21" i="6" s="1"/>
  <c r="H21" i="6" s="1"/>
  <c r="K22" i="5"/>
  <c r="L22" i="5" l="1"/>
  <c r="I20" i="6" s="1"/>
  <c r="J20" i="6" s="1"/>
  <c r="M19" i="6"/>
  <c r="K23" i="5"/>
  <c r="J23" i="5"/>
  <c r="G22" i="6" s="1"/>
  <c r="H22" i="6" s="1"/>
  <c r="L23" i="5" l="1"/>
  <c r="I21" i="6" s="1"/>
  <c r="J21" i="6" s="1"/>
  <c r="M20" i="6"/>
  <c r="J24" i="5"/>
  <c r="G23" i="6" s="1"/>
  <c r="H23" i="6" s="1"/>
  <c r="K24" i="5"/>
  <c r="L24" i="5" l="1"/>
  <c r="I22" i="6" s="1"/>
  <c r="J22" i="6" s="1"/>
  <c r="M21" i="6"/>
  <c r="K25" i="5"/>
  <c r="J25" i="5"/>
  <c r="G24" i="6" s="1"/>
  <c r="H24" i="6" s="1"/>
  <c r="L25" i="5" l="1"/>
  <c r="N5" i="5" s="1"/>
  <c r="M22" i="6"/>
  <c r="J26" i="5"/>
  <c r="G25" i="6" s="1"/>
  <c r="H25" i="6" s="1"/>
  <c r="K26" i="5"/>
  <c r="I23" i="6" l="1"/>
  <c r="J23" i="6" s="1"/>
  <c r="L26" i="5"/>
  <c r="I24" i="6" s="1"/>
  <c r="J24" i="6" s="1"/>
  <c r="Y16" i="5"/>
  <c r="Z16" i="5" s="1"/>
  <c r="P5" i="5"/>
  <c r="T5" i="5" s="1"/>
  <c r="K27" i="5"/>
  <c r="J27" i="5"/>
  <c r="G26" i="6" s="1"/>
  <c r="H26" i="6" s="1"/>
  <c r="M24" i="6" l="1"/>
  <c r="L27" i="5"/>
  <c r="I25" i="6" s="1"/>
  <c r="J25" i="6" s="1"/>
  <c r="K28" i="5"/>
  <c r="J28" i="5"/>
  <c r="G27" i="6" s="1"/>
  <c r="H27" i="6" s="1"/>
  <c r="M23" i="6" l="1"/>
  <c r="L28" i="5"/>
  <c r="I26" i="6" s="1"/>
  <c r="J26" i="6" s="1"/>
  <c r="M25" i="6"/>
  <c r="K29" i="5"/>
  <c r="J29" i="5"/>
  <c r="G28" i="6" s="1"/>
  <c r="H28" i="6" s="1"/>
  <c r="L29" i="5" l="1"/>
  <c r="I27" i="6" s="1"/>
  <c r="J27" i="6" s="1"/>
  <c r="M26" i="6"/>
  <c r="K30" i="5"/>
  <c r="J30" i="5"/>
  <c r="G29" i="6" s="1"/>
  <c r="H29" i="6" s="1"/>
  <c r="L30" i="5" l="1"/>
  <c r="I28" i="6" s="1"/>
  <c r="J28" i="6" s="1"/>
  <c r="M27" i="6"/>
  <c r="K31" i="5"/>
  <c r="J31" i="5"/>
  <c r="G30" i="6" s="1"/>
  <c r="H30" i="6" s="1"/>
  <c r="L31" i="5" l="1"/>
  <c r="I29" i="6" s="1"/>
  <c r="J29" i="6" s="1"/>
  <c r="M28" i="6"/>
  <c r="J32" i="5"/>
  <c r="G31" i="6" s="1"/>
  <c r="H31" i="6" s="1"/>
  <c r="K32" i="5"/>
  <c r="L32" i="5" l="1"/>
  <c r="I30" i="6" s="1"/>
  <c r="J30" i="6" s="1"/>
  <c r="M29" i="6"/>
  <c r="K33" i="5"/>
  <c r="J33" i="5"/>
  <c r="G32" i="6" s="1"/>
  <c r="H32" i="6" s="1"/>
  <c r="L33" i="5" l="1"/>
  <c r="I31" i="6" s="1"/>
  <c r="J31" i="6" s="1"/>
  <c r="M30" i="6"/>
  <c r="J34" i="5"/>
  <c r="G33" i="6" s="1"/>
  <c r="H33" i="6" s="1"/>
  <c r="K34" i="5"/>
  <c r="L34" i="5" l="1"/>
  <c r="I32" i="6" s="1"/>
  <c r="J32" i="6" s="1"/>
  <c r="M31" i="6"/>
  <c r="K35" i="5"/>
  <c r="J35" i="5"/>
  <c r="G34" i="6" s="1"/>
  <c r="H34" i="6" s="1"/>
  <c r="L35" i="5" l="1"/>
  <c r="I33" i="6" s="1"/>
  <c r="J33" i="6" s="1"/>
  <c r="M32" i="6"/>
  <c r="K36" i="5"/>
  <c r="J36" i="5"/>
  <c r="G35" i="6" s="1"/>
  <c r="H35" i="6" s="1"/>
  <c r="L36" i="5" l="1"/>
  <c r="I34" i="6" s="1"/>
  <c r="J34" i="6" s="1"/>
  <c r="M33" i="6"/>
  <c r="J37" i="5"/>
  <c r="G36" i="6" s="1"/>
  <c r="H36" i="6" s="1"/>
  <c r="K37" i="5"/>
  <c r="L37" i="5" l="1"/>
  <c r="I35" i="6" s="1"/>
  <c r="J35" i="6" s="1"/>
  <c r="M34" i="6"/>
  <c r="J38" i="5"/>
  <c r="G37" i="6" s="1"/>
  <c r="H37" i="6" s="1"/>
  <c r="K38" i="5"/>
  <c r="L38" i="5" l="1"/>
  <c r="I36" i="6" s="1"/>
  <c r="J36" i="6" s="1"/>
  <c r="M35" i="6"/>
  <c r="J39" i="5"/>
  <c r="G38" i="6" s="1"/>
  <c r="H38" i="6" s="1"/>
  <c r="K39" i="5"/>
  <c r="L39" i="5" l="1"/>
  <c r="I37" i="6" s="1"/>
  <c r="J37" i="6" s="1"/>
  <c r="M36" i="6"/>
  <c r="K40" i="5"/>
  <c r="J40" i="5"/>
  <c r="G39" i="6" s="1"/>
  <c r="H39" i="6" s="1"/>
  <c r="L40" i="5" l="1"/>
  <c r="I38" i="6" s="1"/>
  <c r="J38" i="6" s="1"/>
  <c r="M37" i="6"/>
  <c r="K41" i="5"/>
  <c r="J41" i="5"/>
  <c r="G40" i="6" s="1"/>
  <c r="H40" i="6" s="1"/>
  <c r="L41" i="5" l="1"/>
  <c r="I39" i="6" s="1"/>
  <c r="J39" i="6" s="1"/>
  <c r="M38" i="6"/>
  <c r="J42" i="5"/>
  <c r="G41" i="6" s="1"/>
  <c r="H41" i="6" s="1"/>
  <c r="K42" i="5"/>
  <c r="L42" i="5" l="1"/>
  <c r="I40" i="6" s="1"/>
  <c r="J40" i="6" s="1"/>
  <c r="M39" i="6"/>
  <c r="K43" i="5"/>
  <c r="J43" i="5"/>
  <c r="G42" i="6" s="1"/>
  <c r="H42" i="6" s="1"/>
  <c r="L43" i="5" l="1"/>
  <c r="I41" i="6" s="1"/>
  <c r="J41" i="6" s="1"/>
  <c r="M40" i="6"/>
  <c r="K44" i="5"/>
  <c r="J44" i="5"/>
  <c r="G43" i="6" s="1"/>
  <c r="H43" i="6" s="1"/>
  <c r="L44" i="5" l="1"/>
  <c r="I42" i="6" s="1"/>
  <c r="J42" i="6" s="1"/>
  <c r="M41" i="6"/>
  <c r="K45" i="5"/>
  <c r="J45" i="5"/>
  <c r="G44" i="6" s="1"/>
  <c r="H44" i="6" s="1"/>
  <c r="L45" i="5" l="1"/>
  <c r="I43" i="6" s="1"/>
  <c r="J43" i="6" s="1"/>
  <c r="M42" i="6"/>
  <c r="J46" i="5"/>
  <c r="G45" i="6" s="1"/>
  <c r="H45" i="6" s="1"/>
  <c r="K46" i="5"/>
  <c r="L46" i="5" l="1"/>
  <c r="N6" i="5" s="1"/>
  <c r="P6" i="5" s="1"/>
  <c r="T6" i="5" s="1"/>
  <c r="M43" i="6"/>
  <c r="J47" i="5"/>
  <c r="G46" i="6" s="1"/>
  <c r="H46" i="6" s="1"/>
  <c r="K47" i="5"/>
  <c r="I44" i="6" l="1"/>
  <c r="J44" i="6" s="1"/>
  <c r="L47" i="5"/>
  <c r="I45" i="6" s="1"/>
  <c r="J45" i="6" s="1"/>
  <c r="K48" i="5"/>
  <c r="J48" i="5"/>
  <c r="G47" i="6" s="1"/>
  <c r="H47" i="6" s="1"/>
  <c r="M45" i="6" l="1"/>
  <c r="L48" i="5"/>
  <c r="I46" i="6" s="1"/>
  <c r="J46" i="6" s="1"/>
  <c r="K49" i="5"/>
  <c r="J49" i="5"/>
  <c r="G48" i="6" s="1"/>
  <c r="H48" i="6" s="1"/>
  <c r="M44" i="6" l="1"/>
  <c r="L49" i="5"/>
  <c r="I47" i="6" s="1"/>
  <c r="J47" i="6" s="1"/>
  <c r="M46" i="6"/>
  <c r="J50" i="5"/>
  <c r="G49" i="6" s="1"/>
  <c r="H49" i="6" s="1"/>
  <c r="K50" i="5"/>
  <c r="L50" i="5" l="1"/>
  <c r="I48" i="6" s="1"/>
  <c r="J48" i="6" s="1"/>
  <c r="M47" i="6"/>
  <c r="K51" i="5"/>
  <c r="J51" i="5"/>
  <c r="G50" i="6" s="1"/>
  <c r="H50" i="6" s="1"/>
  <c r="L51" i="5" l="1"/>
  <c r="I49" i="6" s="1"/>
  <c r="J49" i="6" s="1"/>
  <c r="M48" i="6"/>
  <c r="K52" i="5"/>
  <c r="J52" i="5"/>
  <c r="G51" i="6" s="1"/>
  <c r="H51" i="6" s="1"/>
  <c r="L52" i="5" l="1"/>
  <c r="I50" i="6" s="1"/>
  <c r="J50" i="6" s="1"/>
  <c r="M49" i="6"/>
  <c r="J53" i="5"/>
  <c r="G52" i="6" s="1"/>
  <c r="H52" i="6" s="1"/>
  <c r="K53" i="5"/>
  <c r="L53" i="5" l="1"/>
  <c r="I51" i="6" s="1"/>
  <c r="J51" i="6" s="1"/>
  <c r="M50" i="6"/>
  <c r="K54" i="5"/>
  <c r="J54" i="5"/>
  <c r="G53" i="6" s="1"/>
  <c r="H53" i="6" s="1"/>
  <c r="L54" i="5" l="1"/>
  <c r="I52" i="6" s="1"/>
  <c r="J52" i="6" s="1"/>
  <c r="M51" i="6"/>
  <c r="K55" i="5"/>
  <c r="J55" i="5"/>
  <c r="G54" i="6" s="1"/>
  <c r="H54" i="6" s="1"/>
  <c r="L55" i="5" l="1"/>
  <c r="I53" i="6" s="1"/>
  <c r="J53" i="6" s="1"/>
  <c r="M52" i="6"/>
  <c r="K56" i="5"/>
  <c r="J56" i="5"/>
  <c r="G55" i="6" s="1"/>
  <c r="H55" i="6" s="1"/>
  <c r="L56" i="5" l="1"/>
  <c r="I54" i="6" s="1"/>
  <c r="J54" i="6" s="1"/>
  <c r="M53" i="6"/>
  <c r="J57" i="5"/>
  <c r="G56" i="6" s="1"/>
  <c r="H56" i="6" s="1"/>
  <c r="K57" i="5"/>
  <c r="L57" i="5" l="1"/>
  <c r="I55" i="6" s="1"/>
  <c r="J55" i="6" s="1"/>
  <c r="M54" i="6"/>
  <c r="J58" i="5"/>
  <c r="G57" i="6" s="1"/>
  <c r="H57" i="6" s="1"/>
  <c r="K58" i="5"/>
  <c r="L58" i="5" l="1"/>
  <c r="I56" i="6" s="1"/>
  <c r="J56" i="6" s="1"/>
  <c r="M55" i="6"/>
  <c r="K59" i="5"/>
  <c r="J59" i="5"/>
  <c r="G58" i="6" s="1"/>
  <c r="H58" i="6" s="1"/>
  <c r="L59" i="5" l="1"/>
  <c r="I57" i="6" s="1"/>
  <c r="J57" i="6" s="1"/>
  <c r="M56" i="6"/>
  <c r="J60" i="5"/>
  <c r="G59" i="6" s="1"/>
  <c r="H59" i="6" s="1"/>
  <c r="K60" i="5"/>
  <c r="L60" i="5" l="1"/>
  <c r="I58" i="6" s="1"/>
  <c r="J58" i="6" s="1"/>
  <c r="M57" i="6"/>
  <c r="J61" i="5"/>
  <c r="G60" i="6" s="1"/>
  <c r="H60" i="6" s="1"/>
  <c r="K61" i="5"/>
  <c r="L61" i="5" l="1"/>
  <c r="I59" i="6" s="1"/>
  <c r="J59" i="6" s="1"/>
  <c r="M58" i="6"/>
  <c r="J62" i="5"/>
  <c r="G61" i="6" s="1"/>
  <c r="H61" i="6" s="1"/>
  <c r="K62" i="5"/>
  <c r="L62" i="5" l="1"/>
  <c r="I60" i="6" s="1"/>
  <c r="J60" i="6" s="1"/>
  <c r="M59" i="6"/>
  <c r="K63" i="5"/>
  <c r="J63" i="5"/>
  <c r="G62" i="6" s="1"/>
  <c r="H62" i="6" s="1"/>
  <c r="L63" i="5" l="1"/>
  <c r="I61" i="6" s="1"/>
  <c r="J61" i="6" s="1"/>
  <c r="M60" i="6"/>
  <c r="K64" i="5"/>
  <c r="J64" i="5"/>
  <c r="G63" i="6" s="1"/>
  <c r="H63" i="6" s="1"/>
  <c r="L64" i="5" l="1"/>
  <c r="I62" i="6" s="1"/>
  <c r="J62" i="6" s="1"/>
  <c r="M61" i="6"/>
  <c r="J65" i="5"/>
  <c r="G64" i="6" s="1"/>
  <c r="H64" i="6" s="1"/>
  <c r="K65" i="5"/>
  <c r="L65" i="5" l="1"/>
  <c r="I63" i="6" s="1"/>
  <c r="J63" i="6" s="1"/>
  <c r="M62" i="6"/>
  <c r="K66" i="5"/>
  <c r="J66" i="5"/>
  <c r="G65" i="6" s="1"/>
  <c r="H65" i="6" s="1"/>
  <c r="L66" i="5" l="1"/>
  <c r="N7" i="5" s="1"/>
  <c r="P7" i="5" s="1"/>
  <c r="T7" i="5" s="1"/>
  <c r="M63" i="6"/>
  <c r="J67" i="5"/>
  <c r="G66" i="6" s="1"/>
  <c r="H66" i="6" s="1"/>
  <c r="K67" i="5"/>
  <c r="I64" i="6" l="1"/>
  <c r="J64" i="6" s="1"/>
  <c r="L67" i="5"/>
  <c r="I65" i="6" s="1"/>
  <c r="J65" i="6" s="1"/>
  <c r="K68" i="5"/>
  <c r="J68" i="5"/>
  <c r="G67" i="6" s="1"/>
  <c r="H67" i="6" s="1"/>
  <c r="M65" i="6" l="1"/>
  <c r="L68" i="5"/>
  <c r="I66" i="6" s="1"/>
  <c r="J66" i="6" s="1"/>
  <c r="J69" i="5"/>
  <c r="G68" i="6" s="1"/>
  <c r="H68" i="6" s="1"/>
  <c r="K69" i="5"/>
  <c r="M64" i="6" l="1"/>
  <c r="L69" i="5"/>
  <c r="I67" i="6" s="1"/>
  <c r="J67" i="6" s="1"/>
  <c r="M66" i="6"/>
  <c r="J70" i="5"/>
  <c r="G69" i="6" s="1"/>
  <c r="H69" i="6" s="1"/>
  <c r="K70" i="5"/>
  <c r="L70" i="5" l="1"/>
  <c r="I68" i="6" s="1"/>
  <c r="J68" i="6" s="1"/>
  <c r="M67" i="6"/>
  <c r="K71" i="5"/>
  <c r="J71" i="5"/>
  <c r="G70" i="6" s="1"/>
  <c r="H70" i="6" s="1"/>
  <c r="L71" i="5" l="1"/>
  <c r="I69" i="6" s="1"/>
  <c r="J69" i="6" s="1"/>
  <c r="M68" i="6"/>
  <c r="J72" i="5"/>
  <c r="G71" i="6" s="1"/>
  <c r="H71" i="6" s="1"/>
  <c r="K72" i="5"/>
  <c r="L72" i="5" l="1"/>
  <c r="I70" i="6" s="1"/>
  <c r="J70" i="6" s="1"/>
  <c r="M69" i="6"/>
  <c r="J73" i="5"/>
  <c r="G72" i="6" s="1"/>
  <c r="H72" i="6" s="1"/>
  <c r="K73" i="5"/>
  <c r="L73" i="5" l="1"/>
  <c r="I71" i="6" s="1"/>
  <c r="J71" i="6" s="1"/>
  <c r="M70" i="6"/>
  <c r="J74" i="5"/>
  <c r="G73" i="6" s="1"/>
  <c r="H73" i="6" s="1"/>
  <c r="K74" i="5"/>
  <c r="L74" i="5" l="1"/>
  <c r="I72" i="6" s="1"/>
  <c r="J72" i="6" s="1"/>
  <c r="J75" i="5"/>
  <c r="G74" i="6" s="1"/>
  <c r="H74" i="6" s="1"/>
  <c r="K75" i="5"/>
  <c r="M72" i="6" l="1"/>
  <c r="L75" i="5"/>
  <c r="I73" i="6" s="1"/>
  <c r="J73" i="6" s="1"/>
  <c r="M71" i="6"/>
  <c r="K76" i="5"/>
  <c r="J76" i="5"/>
  <c r="G75" i="6" s="1"/>
  <c r="H75" i="6" s="1"/>
  <c r="M73" i="6" l="1"/>
  <c r="L76" i="5"/>
  <c r="I74" i="6" s="1"/>
  <c r="J74" i="6" s="1"/>
  <c r="K77" i="5"/>
  <c r="J77" i="5"/>
  <c r="G76" i="6" s="1"/>
  <c r="H76" i="6" s="1"/>
  <c r="M74" i="6" l="1"/>
  <c r="L77" i="5"/>
  <c r="I75" i="6" s="1"/>
  <c r="J75" i="6" s="1"/>
  <c r="J78" i="5"/>
  <c r="G77" i="6" s="1"/>
  <c r="H77" i="6" s="1"/>
  <c r="K78" i="5"/>
  <c r="M75" i="6" l="1"/>
  <c r="L78" i="5"/>
  <c r="I76" i="6" s="1"/>
  <c r="J76" i="6" s="1"/>
  <c r="J79" i="5"/>
  <c r="G78" i="6" s="1"/>
  <c r="H78" i="6" s="1"/>
  <c r="K79" i="5"/>
  <c r="M76" i="6" l="1"/>
  <c r="L79" i="5"/>
  <c r="I77" i="6" s="1"/>
  <c r="J77" i="6" s="1"/>
  <c r="K80" i="5"/>
  <c r="J80" i="5"/>
  <c r="G79" i="6" s="1"/>
  <c r="H79" i="6" s="1"/>
  <c r="M77" i="6" l="1"/>
  <c r="L80" i="5"/>
  <c r="I78" i="6" s="1"/>
  <c r="J78" i="6" s="1"/>
  <c r="J81" i="5"/>
  <c r="G80" i="6" s="1"/>
  <c r="H80" i="6" s="1"/>
  <c r="K81" i="5"/>
  <c r="M78" i="6" l="1"/>
  <c r="L81" i="5"/>
  <c r="I79" i="6" s="1"/>
  <c r="J79" i="6" s="1"/>
  <c r="K82" i="5"/>
  <c r="J82" i="5"/>
  <c r="G81" i="6" s="1"/>
  <c r="H81" i="6" s="1"/>
  <c r="M79" i="6" l="1"/>
  <c r="L82" i="5"/>
  <c r="I80" i="6" s="1"/>
  <c r="J80" i="6" s="1"/>
  <c r="K83" i="5"/>
  <c r="J83" i="5"/>
  <c r="G82" i="6" s="1"/>
  <c r="H82" i="6" s="1"/>
  <c r="M80" i="6" l="1"/>
  <c r="L83" i="5"/>
  <c r="I81" i="6" s="1"/>
  <c r="J81" i="6" s="1"/>
  <c r="J84" i="5"/>
  <c r="G83" i="6" s="1"/>
  <c r="H83" i="6" s="1"/>
  <c r="K84" i="5"/>
  <c r="M81" i="6" l="1"/>
  <c r="L84" i="5"/>
  <c r="I82" i="6" s="1"/>
  <c r="J82" i="6" s="1"/>
  <c r="J85" i="5"/>
  <c r="G84" i="6" s="1"/>
  <c r="H84" i="6" s="1"/>
  <c r="K85" i="5"/>
  <c r="M82" i="6" l="1"/>
  <c r="L85" i="5"/>
  <c r="I83" i="6" s="1"/>
  <c r="J83" i="6" s="1"/>
  <c r="J86" i="5"/>
  <c r="G85" i="6" s="1"/>
  <c r="H85" i="6" s="1"/>
  <c r="K86" i="5"/>
  <c r="M83" i="6" l="1"/>
  <c r="L86" i="5"/>
  <c r="I84" i="6" s="1"/>
  <c r="J84" i="6" s="1"/>
  <c r="J87" i="5"/>
  <c r="G86" i="6" s="1"/>
  <c r="H86" i="6" s="1"/>
  <c r="K87" i="5"/>
  <c r="M84" i="6" l="1"/>
  <c r="L87" i="5"/>
  <c r="I85" i="6" s="1"/>
  <c r="J85" i="6" s="1"/>
  <c r="K88" i="5"/>
  <c r="J88" i="5"/>
  <c r="G87" i="6" s="1"/>
  <c r="H87" i="6" s="1"/>
  <c r="L88" i="5" l="1"/>
  <c r="I86" i="6" s="1"/>
  <c r="J86" i="6" s="1"/>
  <c r="J89" i="5"/>
  <c r="G88" i="6" s="1"/>
  <c r="H88" i="6" s="1"/>
  <c r="K89" i="5"/>
  <c r="L89" i="5" l="1"/>
  <c r="N8" i="5" s="1"/>
  <c r="P8" i="5" s="1"/>
  <c r="T8" i="5" s="1"/>
  <c r="M86" i="6"/>
  <c r="M85" i="6"/>
  <c r="J90" i="5"/>
  <c r="G89" i="6" s="1"/>
  <c r="H89" i="6" s="1"/>
  <c r="K90" i="5"/>
  <c r="I87" i="6" l="1"/>
  <c r="J87" i="6" s="1"/>
  <c r="L90" i="5"/>
  <c r="I88" i="6" s="1"/>
  <c r="J88" i="6" s="1"/>
  <c r="J91" i="5"/>
  <c r="G90" i="6" s="1"/>
  <c r="H90" i="6" s="1"/>
  <c r="K91" i="5"/>
  <c r="M88" i="6" l="1"/>
  <c r="L91" i="5"/>
  <c r="I89" i="6" s="1"/>
  <c r="J89" i="6" s="1"/>
  <c r="J92" i="5"/>
  <c r="G91" i="6" s="1"/>
  <c r="H91" i="6" s="1"/>
  <c r="K92" i="5"/>
  <c r="M87" i="6" l="1"/>
  <c r="L92" i="5"/>
  <c r="I90" i="6" s="1"/>
  <c r="J90" i="6" s="1"/>
  <c r="M89" i="6"/>
  <c r="J93" i="5"/>
  <c r="G92" i="6" s="1"/>
  <c r="H92" i="6" s="1"/>
  <c r="K93" i="5"/>
  <c r="L93" i="5" l="1"/>
  <c r="I91" i="6" s="1"/>
  <c r="J91" i="6" s="1"/>
  <c r="M90" i="6"/>
  <c r="J94" i="5"/>
  <c r="G93" i="6" s="1"/>
  <c r="H93" i="6" s="1"/>
  <c r="K94" i="5"/>
  <c r="L94" i="5" l="1"/>
  <c r="I92" i="6" s="1"/>
  <c r="J92" i="6" s="1"/>
  <c r="M91" i="6"/>
  <c r="K95" i="5"/>
  <c r="J95" i="5"/>
  <c r="G94" i="6" s="1"/>
  <c r="H94" i="6" s="1"/>
  <c r="L95" i="5" l="1"/>
  <c r="I93" i="6" s="1"/>
  <c r="J93" i="6" s="1"/>
  <c r="M92" i="6"/>
  <c r="J96" i="5"/>
  <c r="G95" i="6" s="1"/>
  <c r="H95" i="6" s="1"/>
  <c r="K96" i="5"/>
  <c r="L96" i="5" l="1"/>
  <c r="I94" i="6" s="1"/>
  <c r="J94" i="6" s="1"/>
  <c r="M93" i="6"/>
  <c r="K97" i="5"/>
  <c r="J97" i="5"/>
  <c r="G96" i="6" s="1"/>
  <c r="H96" i="6" s="1"/>
  <c r="L97" i="5" l="1"/>
  <c r="I95" i="6" s="1"/>
  <c r="J95" i="6" s="1"/>
  <c r="M94" i="6"/>
  <c r="K98" i="5"/>
  <c r="J98" i="5"/>
  <c r="G97" i="6" s="1"/>
  <c r="H97" i="6" s="1"/>
  <c r="L98" i="5" l="1"/>
  <c r="I96" i="6" s="1"/>
  <c r="J96" i="6" s="1"/>
  <c r="M95" i="6"/>
  <c r="K99" i="5"/>
  <c r="J99" i="5"/>
  <c r="G98" i="6" s="1"/>
  <c r="H98" i="6" s="1"/>
  <c r="L99" i="5" l="1"/>
  <c r="I97" i="6" s="1"/>
  <c r="J97" i="6" s="1"/>
  <c r="M96" i="6"/>
  <c r="K100" i="5"/>
  <c r="J100" i="5"/>
  <c r="G99" i="6" s="1"/>
  <c r="H99" i="6" s="1"/>
  <c r="L100" i="5" l="1"/>
  <c r="I98" i="6" s="1"/>
  <c r="J98" i="6" s="1"/>
  <c r="M97" i="6"/>
  <c r="J101" i="5"/>
  <c r="G100" i="6" s="1"/>
  <c r="H100" i="6" s="1"/>
  <c r="K101" i="5"/>
  <c r="L101" i="5" l="1"/>
  <c r="I99" i="6" s="1"/>
  <c r="J99" i="6" s="1"/>
  <c r="M98" i="6"/>
  <c r="K102" i="5"/>
  <c r="J102" i="5"/>
  <c r="G101" i="6" s="1"/>
  <c r="H101" i="6" s="1"/>
  <c r="L102" i="5" l="1"/>
  <c r="I100" i="6" s="1"/>
  <c r="J100" i="6" s="1"/>
  <c r="M99" i="6"/>
  <c r="K103" i="5"/>
  <c r="J103" i="5"/>
  <c r="G102" i="6" s="1"/>
  <c r="H102" i="6" s="1"/>
  <c r="L103" i="5" l="1"/>
  <c r="I101" i="6" s="1"/>
  <c r="J101" i="6" s="1"/>
  <c r="K104" i="5"/>
  <c r="J104" i="5"/>
  <c r="G103" i="6" s="1"/>
  <c r="H103" i="6" s="1"/>
  <c r="M101" i="6" l="1"/>
  <c r="L104" i="5"/>
  <c r="I102" i="6" s="1"/>
  <c r="J102" i="6" s="1"/>
  <c r="M100" i="6"/>
  <c r="K105" i="5"/>
  <c r="J105" i="5"/>
  <c r="G104" i="6" s="1"/>
  <c r="H104" i="6" s="1"/>
  <c r="M102" i="6" l="1"/>
  <c r="L105" i="5"/>
  <c r="I103" i="6" s="1"/>
  <c r="J103" i="6" s="1"/>
  <c r="J106" i="5"/>
  <c r="G105" i="6" s="1"/>
  <c r="H105" i="6" s="1"/>
  <c r="K106" i="5"/>
  <c r="M103" i="6" l="1"/>
  <c r="L106" i="5"/>
  <c r="I104" i="6" s="1"/>
  <c r="J104" i="6" s="1"/>
  <c r="K107" i="5"/>
  <c r="J107" i="5"/>
  <c r="G106" i="6" s="1"/>
  <c r="H106" i="6" s="1"/>
  <c r="M104" i="6" l="1"/>
  <c r="L107" i="5"/>
  <c r="I105" i="6" s="1"/>
  <c r="J105" i="6" s="1"/>
  <c r="K108" i="5"/>
  <c r="J108" i="5"/>
  <c r="G107" i="6" s="1"/>
  <c r="H107" i="6" s="1"/>
  <c r="M105" i="6" l="1"/>
  <c r="L108" i="5"/>
  <c r="I106" i="6" s="1"/>
  <c r="J106" i="6" s="1"/>
  <c r="K109" i="5"/>
  <c r="J109" i="5"/>
  <c r="G108" i="6" s="1"/>
  <c r="H108" i="6" s="1"/>
  <c r="L109" i="5" l="1"/>
  <c r="N9" i="5" s="1"/>
  <c r="P9" i="5" s="1"/>
  <c r="T9" i="5" s="1"/>
  <c r="J110" i="5"/>
  <c r="G109" i="6" s="1"/>
  <c r="H109" i="6" s="1"/>
  <c r="K110" i="5"/>
  <c r="I107" i="6" l="1"/>
  <c r="J107" i="6" s="1"/>
  <c r="L110" i="5"/>
  <c r="I108" i="6" s="1"/>
  <c r="J108" i="6" s="1"/>
  <c r="M106" i="6"/>
  <c r="J111" i="5"/>
  <c r="G110" i="6" s="1"/>
  <c r="H110" i="6" s="1"/>
  <c r="K111" i="5"/>
  <c r="M107" i="6" l="1"/>
  <c r="L111" i="5"/>
  <c r="I109" i="6" s="1"/>
  <c r="J109" i="6" s="1"/>
  <c r="J112" i="5"/>
  <c r="G111" i="6" s="1"/>
  <c r="H111" i="6" s="1"/>
  <c r="K112" i="5"/>
  <c r="M108" i="6" l="1"/>
  <c r="L112" i="5"/>
  <c r="I110" i="6" s="1"/>
  <c r="J110" i="6" s="1"/>
  <c r="K113" i="5"/>
  <c r="J113" i="5"/>
  <c r="G112" i="6" s="1"/>
  <c r="H112" i="6" s="1"/>
  <c r="M109" i="6" l="1"/>
  <c r="L113" i="5"/>
  <c r="I111" i="6" s="1"/>
  <c r="J111" i="6" s="1"/>
  <c r="M110" i="6"/>
  <c r="K114" i="5"/>
  <c r="J114" i="5"/>
  <c r="G113" i="6" s="1"/>
  <c r="H113" i="6" s="1"/>
  <c r="L114" i="5" l="1"/>
  <c r="I112" i="6" s="1"/>
  <c r="J112" i="6" s="1"/>
  <c r="M111" i="6"/>
  <c r="J115" i="5"/>
  <c r="G114" i="6" s="1"/>
  <c r="H114" i="6" s="1"/>
  <c r="K115" i="5"/>
  <c r="L115" i="5" l="1"/>
  <c r="I113" i="6" s="1"/>
  <c r="J113" i="6" s="1"/>
  <c r="M112" i="6"/>
  <c r="J116" i="5"/>
  <c r="G115" i="6" s="1"/>
  <c r="H115" i="6" s="1"/>
  <c r="K116" i="5"/>
  <c r="L116" i="5" l="1"/>
  <c r="I114" i="6" s="1"/>
  <c r="J114" i="6" s="1"/>
  <c r="M113" i="6"/>
  <c r="J117" i="5"/>
  <c r="G116" i="6" s="1"/>
  <c r="H116" i="6" s="1"/>
  <c r="K117" i="5"/>
  <c r="L117" i="5" l="1"/>
  <c r="I115" i="6" s="1"/>
  <c r="J115" i="6" s="1"/>
  <c r="M114" i="6"/>
  <c r="J118" i="5"/>
  <c r="G117" i="6" s="1"/>
  <c r="H117" i="6" s="1"/>
  <c r="K118" i="5"/>
  <c r="L118" i="5" l="1"/>
  <c r="I116" i="6" s="1"/>
  <c r="J116" i="6" s="1"/>
  <c r="M115" i="6"/>
  <c r="J119" i="5"/>
  <c r="G118" i="6" s="1"/>
  <c r="H118" i="6" s="1"/>
  <c r="K119" i="5"/>
  <c r="L119" i="5" l="1"/>
  <c r="I117" i="6" s="1"/>
  <c r="J117" i="6" s="1"/>
  <c r="M116" i="6"/>
  <c r="J120" i="5"/>
  <c r="G119" i="6" s="1"/>
  <c r="H119" i="6" s="1"/>
  <c r="K120" i="5"/>
  <c r="L120" i="5" l="1"/>
  <c r="I118" i="6" s="1"/>
  <c r="J118" i="6" s="1"/>
  <c r="M117" i="6"/>
  <c r="K121" i="5"/>
  <c r="J121" i="5"/>
  <c r="G120" i="6" s="1"/>
  <c r="H120" i="6" s="1"/>
  <c r="L121" i="5" l="1"/>
  <c r="I119" i="6" s="1"/>
  <c r="J119" i="6" s="1"/>
  <c r="M118" i="6"/>
  <c r="K122" i="5"/>
  <c r="J122" i="5"/>
  <c r="G121" i="6" s="1"/>
  <c r="H121" i="6" s="1"/>
  <c r="L122" i="5" l="1"/>
  <c r="I120" i="6" s="1"/>
  <c r="J120" i="6" s="1"/>
  <c r="M119" i="6"/>
  <c r="K123" i="5"/>
  <c r="J123" i="5"/>
  <c r="G122" i="6" s="1"/>
  <c r="H122" i="6" s="1"/>
  <c r="L123" i="5" l="1"/>
  <c r="I121" i="6" s="1"/>
  <c r="J121" i="6" s="1"/>
  <c r="M120" i="6"/>
  <c r="J124" i="5"/>
  <c r="G123" i="6" s="1"/>
  <c r="H123" i="6" s="1"/>
  <c r="K124" i="5"/>
  <c r="L124" i="5" l="1"/>
  <c r="I122" i="6" s="1"/>
  <c r="J122" i="6" s="1"/>
  <c r="M121" i="6"/>
  <c r="J125" i="5"/>
  <c r="G124" i="6" s="1"/>
  <c r="H124" i="6" s="1"/>
  <c r="K125" i="5"/>
  <c r="L125" i="5" l="1"/>
  <c r="I123" i="6" s="1"/>
  <c r="J123" i="6" s="1"/>
  <c r="M122" i="6"/>
  <c r="J126" i="5"/>
  <c r="G125" i="6" s="1"/>
  <c r="H125" i="6" s="1"/>
  <c r="K126" i="5"/>
  <c r="L126" i="5" l="1"/>
  <c r="I124" i="6" s="1"/>
  <c r="J124" i="6" s="1"/>
  <c r="M123" i="6"/>
  <c r="J127" i="5"/>
  <c r="G126" i="6" s="1"/>
  <c r="H126" i="6" s="1"/>
  <c r="K127" i="5"/>
  <c r="L127" i="5" l="1"/>
  <c r="I125" i="6" s="1"/>
  <c r="J125" i="6" s="1"/>
  <c r="M124" i="6"/>
  <c r="J128" i="5"/>
  <c r="G127" i="6" s="1"/>
  <c r="H127" i="6" s="1"/>
  <c r="K128" i="5"/>
  <c r="L128" i="5" l="1"/>
  <c r="I126" i="6" s="1"/>
  <c r="J126" i="6" s="1"/>
  <c r="M125" i="6"/>
  <c r="J129" i="5"/>
  <c r="G128" i="6" s="1"/>
  <c r="H128" i="6" s="1"/>
  <c r="K129" i="5"/>
  <c r="L129" i="5" l="1"/>
  <c r="I127" i="6" s="1"/>
  <c r="J127" i="6" s="1"/>
  <c r="M126" i="6"/>
  <c r="K130" i="5"/>
  <c r="J130" i="5"/>
  <c r="G129" i="6" s="1"/>
  <c r="H129" i="6" s="1"/>
  <c r="L130" i="5" l="1"/>
  <c r="I128" i="6" s="1"/>
  <c r="J128" i="6" s="1"/>
  <c r="K131" i="5"/>
  <c r="J131" i="5"/>
  <c r="G130" i="6" s="1"/>
  <c r="H130" i="6" s="1"/>
  <c r="L131" i="5" l="1"/>
  <c r="N10" i="5" s="1"/>
  <c r="P10" i="5" s="1"/>
  <c r="T10" i="5" s="1"/>
  <c r="M128" i="6"/>
  <c r="M127" i="6"/>
  <c r="J132" i="5"/>
  <c r="G131" i="6" s="1"/>
  <c r="H131" i="6" s="1"/>
  <c r="K132" i="5"/>
  <c r="I129" i="6" l="1"/>
  <c r="J129" i="6" s="1"/>
  <c r="L132" i="5"/>
  <c r="I130" i="6" s="1"/>
  <c r="J130" i="6" s="1"/>
  <c r="J133" i="5"/>
  <c r="G132" i="6" s="1"/>
  <c r="H132" i="6" s="1"/>
  <c r="K133" i="5"/>
  <c r="M129" i="6" l="1"/>
  <c r="L133" i="5"/>
  <c r="I131" i="6" s="1"/>
  <c r="J131" i="6" s="1"/>
  <c r="J134" i="5"/>
  <c r="G133" i="6" s="1"/>
  <c r="H133" i="6" s="1"/>
  <c r="K134" i="5"/>
  <c r="M130" i="6" l="1"/>
  <c r="L134" i="5"/>
  <c r="I132" i="6" s="1"/>
  <c r="J132" i="6" s="1"/>
  <c r="J135" i="5"/>
  <c r="G134" i="6" s="1"/>
  <c r="H134" i="6" s="1"/>
  <c r="K135" i="5"/>
  <c r="M131" i="6" l="1"/>
  <c r="L135" i="5"/>
  <c r="I133" i="6" s="1"/>
  <c r="J133" i="6" s="1"/>
  <c r="J136" i="5"/>
  <c r="G135" i="6" s="1"/>
  <c r="H135" i="6" s="1"/>
  <c r="K136" i="5"/>
  <c r="M132" i="6" l="1"/>
  <c r="L136" i="5"/>
  <c r="I134" i="6" s="1"/>
  <c r="J134" i="6" s="1"/>
  <c r="J137" i="5"/>
  <c r="G136" i="6" s="1"/>
  <c r="H136" i="6" s="1"/>
  <c r="K137" i="5"/>
  <c r="M133" i="6" l="1"/>
  <c r="L137" i="5"/>
  <c r="I135" i="6" s="1"/>
  <c r="J135" i="6" s="1"/>
  <c r="J138" i="5"/>
  <c r="G137" i="6" s="1"/>
  <c r="H137" i="6" s="1"/>
  <c r="K138" i="5"/>
  <c r="M134" i="6" l="1"/>
  <c r="L138" i="5"/>
  <c r="I136" i="6" s="1"/>
  <c r="J136" i="6" s="1"/>
  <c r="J139" i="5"/>
  <c r="G138" i="6" s="1"/>
  <c r="H138" i="6" s="1"/>
  <c r="K139" i="5"/>
  <c r="M135" i="6" l="1"/>
  <c r="L139" i="5"/>
  <c r="I137" i="6" s="1"/>
  <c r="J137" i="6" s="1"/>
  <c r="J140" i="5"/>
  <c r="G139" i="6" s="1"/>
  <c r="H139" i="6" s="1"/>
  <c r="K140" i="5"/>
  <c r="M136" i="6" l="1"/>
  <c r="L140" i="5"/>
  <c r="I138" i="6" s="1"/>
  <c r="J138" i="6" s="1"/>
  <c r="J141" i="5"/>
  <c r="G140" i="6" s="1"/>
  <c r="H140" i="6" s="1"/>
  <c r="K141" i="5"/>
  <c r="M137" i="6" l="1"/>
  <c r="L141" i="5"/>
  <c r="I139" i="6" s="1"/>
  <c r="J139" i="6" s="1"/>
  <c r="K142" i="5"/>
  <c r="J142" i="5"/>
  <c r="G141" i="6" s="1"/>
  <c r="H141" i="6" s="1"/>
  <c r="M138" i="6" l="1"/>
  <c r="L142" i="5"/>
  <c r="I140" i="6" s="1"/>
  <c r="J140" i="6" s="1"/>
  <c r="M139" i="6"/>
  <c r="K143" i="5"/>
  <c r="J143" i="5"/>
  <c r="G142" i="6" s="1"/>
  <c r="H142" i="6" s="1"/>
  <c r="L143" i="5" l="1"/>
  <c r="I141" i="6" s="1"/>
  <c r="J141" i="6" s="1"/>
  <c r="J144" i="5"/>
  <c r="G143" i="6" s="1"/>
  <c r="H143" i="6" s="1"/>
  <c r="K144" i="5"/>
  <c r="M141" i="6" l="1"/>
  <c r="L144" i="5"/>
  <c r="I142" i="6" s="1"/>
  <c r="J142" i="6" s="1"/>
  <c r="M140" i="6"/>
  <c r="J145" i="5"/>
  <c r="G144" i="6" s="1"/>
  <c r="H144" i="6" s="1"/>
  <c r="K145" i="5"/>
  <c r="M142" i="6" l="1"/>
  <c r="L145" i="5"/>
  <c r="I143" i="6" s="1"/>
  <c r="J143" i="6" s="1"/>
  <c r="J146" i="5"/>
  <c r="G145" i="6" s="1"/>
  <c r="H145" i="6" s="1"/>
  <c r="K146" i="5"/>
  <c r="M143" i="6" l="1"/>
  <c r="L146" i="5"/>
  <c r="I144" i="6" s="1"/>
  <c r="J144" i="6" s="1"/>
  <c r="J147" i="5"/>
  <c r="G146" i="6" s="1"/>
  <c r="H146" i="6" s="1"/>
  <c r="K147" i="5"/>
  <c r="M144" i="6" l="1"/>
  <c r="L147" i="5"/>
  <c r="I145" i="6" s="1"/>
  <c r="J145" i="6" s="1"/>
  <c r="J148" i="5"/>
  <c r="G147" i="6" s="1"/>
  <c r="H147" i="6" s="1"/>
  <c r="K148" i="5"/>
  <c r="M145" i="6" l="1"/>
  <c r="L148" i="5"/>
  <c r="I146" i="6" s="1"/>
  <c r="J146" i="6" s="1"/>
  <c r="J149" i="5"/>
  <c r="G148" i="6" s="1"/>
  <c r="H148" i="6" s="1"/>
  <c r="K149" i="5"/>
  <c r="M146" i="6" l="1"/>
  <c r="L149" i="5"/>
  <c r="I147" i="6" s="1"/>
  <c r="J147" i="6" s="1"/>
  <c r="J150" i="5"/>
  <c r="G149" i="6" s="1"/>
  <c r="H149" i="6" s="1"/>
  <c r="K150" i="5"/>
  <c r="M147" i="6" l="1"/>
  <c r="L150" i="5"/>
  <c r="I148" i="6" s="1"/>
  <c r="J151" i="5"/>
  <c r="G150" i="6" s="1"/>
  <c r="H150" i="6" s="1"/>
  <c r="K151" i="5"/>
  <c r="L151" i="5" l="1"/>
  <c r="I149" i="6" s="1"/>
  <c r="J149" i="6" s="1"/>
  <c r="J148" i="6"/>
  <c r="J152" i="5"/>
  <c r="G151" i="6" s="1"/>
  <c r="H151" i="6" s="1"/>
  <c r="K152" i="5"/>
  <c r="L152" i="5" l="1"/>
  <c r="I150" i="6" s="1"/>
  <c r="J150" i="6" s="1"/>
  <c r="M149" i="6"/>
  <c r="M148" i="6"/>
  <c r="J153" i="5"/>
  <c r="G152" i="6" s="1"/>
  <c r="H152" i="6" s="1"/>
  <c r="K153" i="5"/>
  <c r="L153" i="5" l="1"/>
  <c r="I151" i="6" s="1"/>
  <c r="J151" i="6" s="1"/>
  <c r="M150" i="6"/>
  <c r="J154" i="5"/>
  <c r="G153" i="6" s="1"/>
  <c r="H153" i="6" s="1"/>
  <c r="K154" i="5"/>
  <c r="L154" i="5" l="1"/>
  <c r="N11" i="5" s="1"/>
  <c r="P11" i="5" s="1"/>
  <c r="T11" i="5" s="1"/>
  <c r="M151" i="6"/>
  <c r="K155" i="5"/>
  <c r="J155" i="5"/>
  <c r="G154" i="6" s="1"/>
  <c r="H154" i="6" s="1"/>
  <c r="I152" i="6" l="1"/>
  <c r="J152" i="6" s="1"/>
  <c r="L155" i="5"/>
  <c r="I153" i="6" s="1"/>
  <c r="J153" i="6" s="1"/>
  <c r="J156" i="5"/>
  <c r="G155" i="6" s="1"/>
  <c r="H155" i="6" s="1"/>
  <c r="K156" i="5"/>
  <c r="M152" i="6" l="1"/>
  <c r="L156" i="5"/>
  <c r="I154" i="6" s="1"/>
  <c r="J154" i="6" s="1"/>
  <c r="K157" i="5"/>
  <c r="J157" i="5"/>
  <c r="G156" i="6" s="1"/>
  <c r="H156" i="6" s="1"/>
  <c r="M153" i="6" l="1"/>
  <c r="L157" i="5"/>
  <c r="I155" i="6" s="1"/>
  <c r="J155" i="6" s="1"/>
  <c r="J158" i="5"/>
  <c r="G157" i="6" s="1"/>
  <c r="H157" i="6" s="1"/>
  <c r="K158" i="5"/>
  <c r="M154" i="6" l="1"/>
  <c r="L158" i="5"/>
  <c r="I156" i="6" s="1"/>
  <c r="J156" i="6" s="1"/>
  <c r="J159" i="5"/>
  <c r="G158" i="6" s="1"/>
  <c r="H158" i="6" s="1"/>
  <c r="K159" i="5"/>
  <c r="M155" i="6" l="1"/>
  <c r="L159" i="5"/>
  <c r="I157" i="6" s="1"/>
  <c r="J157" i="6" s="1"/>
  <c r="K160" i="5"/>
  <c r="J160" i="5"/>
  <c r="G159" i="6" s="1"/>
  <c r="H159" i="6" s="1"/>
  <c r="M156" i="6" l="1"/>
  <c r="L160" i="5"/>
  <c r="I158" i="6" s="1"/>
  <c r="J158" i="6" s="1"/>
  <c r="J161" i="5"/>
  <c r="G160" i="6" s="1"/>
  <c r="H160" i="6" s="1"/>
  <c r="K161" i="5"/>
  <c r="M158" i="6" l="1"/>
  <c r="L161" i="5"/>
  <c r="I159" i="6" s="1"/>
  <c r="J159" i="6" s="1"/>
  <c r="J162" i="5"/>
  <c r="G161" i="6" s="1"/>
  <c r="H161" i="6" s="1"/>
  <c r="K162" i="5"/>
  <c r="M157" i="6" l="1"/>
  <c r="M159" i="6"/>
  <c r="L162" i="5"/>
  <c r="I160" i="6" s="1"/>
  <c r="J160" i="6" s="1"/>
  <c r="J163" i="5"/>
  <c r="G162" i="6" s="1"/>
  <c r="H162" i="6" s="1"/>
  <c r="K163" i="5"/>
  <c r="M160" i="6" l="1"/>
  <c r="L163" i="5"/>
  <c r="I161" i="6" s="1"/>
  <c r="J161" i="6" s="1"/>
  <c r="J164" i="5"/>
  <c r="G163" i="6" s="1"/>
  <c r="H163" i="6" s="1"/>
  <c r="K164" i="5"/>
  <c r="M161" i="6" l="1"/>
  <c r="L164" i="5"/>
  <c r="I162" i="6" s="1"/>
  <c r="J162" i="6" s="1"/>
  <c r="K165" i="5"/>
  <c r="J165" i="5"/>
  <c r="G164" i="6" s="1"/>
  <c r="H164" i="6" s="1"/>
  <c r="M162" i="6" l="1"/>
  <c r="L165" i="5"/>
  <c r="I163" i="6" s="1"/>
  <c r="J163" i="6" s="1"/>
  <c r="K166" i="5"/>
  <c r="J166" i="5"/>
  <c r="G165" i="6" s="1"/>
  <c r="H165" i="6" s="1"/>
  <c r="M163" i="6" l="1"/>
  <c r="L166" i="5"/>
  <c r="I164" i="6" s="1"/>
  <c r="J164" i="6" s="1"/>
  <c r="J167" i="5"/>
  <c r="G166" i="6" s="1"/>
  <c r="H166" i="6" s="1"/>
  <c r="K167" i="5"/>
  <c r="M164" i="6" l="1"/>
  <c r="L167" i="5"/>
  <c r="I165" i="6" s="1"/>
  <c r="J165" i="6" s="1"/>
  <c r="J168" i="5"/>
  <c r="G167" i="6" s="1"/>
  <c r="H167" i="6" s="1"/>
  <c r="K168" i="5"/>
  <c r="M165" i="6" l="1"/>
  <c r="L168" i="5"/>
  <c r="I166" i="6" s="1"/>
  <c r="J166" i="6" s="1"/>
  <c r="J169" i="5"/>
  <c r="G168" i="6" s="1"/>
  <c r="H168" i="6" s="1"/>
  <c r="K169" i="5"/>
  <c r="M166" i="6" l="1"/>
  <c r="L169" i="5"/>
  <c r="I167" i="6" s="1"/>
  <c r="J167" i="6" s="1"/>
  <c r="K170" i="5"/>
  <c r="J170" i="5"/>
  <c r="G169" i="6" s="1"/>
  <c r="H169" i="6" s="1"/>
  <c r="M167" i="6" l="1"/>
  <c r="L170" i="5"/>
  <c r="I168" i="6" s="1"/>
  <c r="J168" i="6" s="1"/>
  <c r="J171" i="5"/>
  <c r="G170" i="6" s="1"/>
  <c r="H170" i="6" s="1"/>
  <c r="K171" i="5"/>
  <c r="M168" i="6" l="1"/>
  <c r="L171" i="5"/>
  <c r="I169" i="6" s="1"/>
  <c r="J169" i="6" s="1"/>
  <c r="J172" i="5"/>
  <c r="G171" i="6" s="1"/>
  <c r="H171" i="6" s="1"/>
  <c r="K172" i="5"/>
  <c r="L172" i="5" l="1"/>
  <c r="I170" i="6" s="1"/>
  <c r="J170" i="6" s="1"/>
  <c r="M169" i="6"/>
  <c r="K173" i="5"/>
  <c r="J173" i="5"/>
  <c r="G172" i="6" s="1"/>
  <c r="H172" i="6" s="1"/>
  <c r="L173" i="5" l="1"/>
  <c r="N12" i="5" s="1"/>
  <c r="P12" i="5" s="1"/>
  <c r="T12" i="5" s="1"/>
  <c r="M170" i="6"/>
  <c r="K174" i="5"/>
  <c r="J174" i="5"/>
  <c r="G173" i="6" s="1"/>
  <c r="H173" i="6" s="1"/>
  <c r="I171" i="6" l="1"/>
  <c r="J171" i="6" s="1"/>
  <c r="L174" i="5"/>
  <c r="I172" i="6" s="1"/>
  <c r="J172" i="6" s="1"/>
  <c r="K175" i="5"/>
  <c r="J175" i="5"/>
  <c r="G174" i="6" s="1"/>
  <c r="H174" i="6" s="1"/>
  <c r="M171" i="6" l="1"/>
  <c r="L175" i="5"/>
  <c r="I173" i="6" s="1"/>
  <c r="J173" i="6" s="1"/>
  <c r="J176" i="5"/>
  <c r="G175" i="6" s="1"/>
  <c r="H175" i="6" s="1"/>
  <c r="K176" i="5"/>
  <c r="M172" i="6" l="1"/>
  <c r="L176" i="5"/>
  <c r="I174" i="6" s="1"/>
  <c r="J174" i="6" s="1"/>
  <c r="J177" i="5"/>
  <c r="G176" i="6" s="1"/>
  <c r="H176" i="6" s="1"/>
  <c r="K177" i="5"/>
  <c r="M173" i="6" l="1"/>
  <c r="L177" i="5"/>
  <c r="I175" i="6" s="1"/>
  <c r="J175" i="6" s="1"/>
  <c r="J178" i="5"/>
  <c r="G177" i="6" s="1"/>
  <c r="H177" i="6" s="1"/>
  <c r="K178" i="5"/>
  <c r="M174" i="6" l="1"/>
  <c r="L178" i="5"/>
  <c r="I176" i="6" s="1"/>
  <c r="J176" i="6" s="1"/>
  <c r="M175" i="6"/>
  <c r="J179" i="5"/>
  <c r="G178" i="6" s="1"/>
  <c r="H178" i="6" s="1"/>
  <c r="K179" i="5"/>
  <c r="L179" i="5" l="1"/>
  <c r="I177" i="6" s="1"/>
  <c r="J177" i="6" s="1"/>
  <c r="M176" i="6"/>
  <c r="J180" i="5"/>
  <c r="G179" i="6" s="1"/>
  <c r="H179" i="6" s="1"/>
  <c r="K180" i="5"/>
  <c r="L180" i="5" l="1"/>
  <c r="I178" i="6" s="1"/>
  <c r="J178" i="6" s="1"/>
  <c r="M177" i="6"/>
  <c r="J181" i="5"/>
  <c r="G180" i="6" s="1"/>
  <c r="H180" i="6" s="1"/>
  <c r="K181" i="5"/>
  <c r="L181" i="5" l="1"/>
  <c r="I179" i="6" s="1"/>
  <c r="J179" i="6" s="1"/>
  <c r="M178" i="6"/>
  <c r="J182" i="5"/>
  <c r="G181" i="6" s="1"/>
  <c r="H181" i="6" s="1"/>
  <c r="K182" i="5"/>
  <c r="L182" i="5" l="1"/>
  <c r="I180" i="6" s="1"/>
  <c r="J180" i="6" s="1"/>
  <c r="M179" i="6"/>
  <c r="K183" i="5"/>
  <c r="J183" i="5"/>
  <c r="G182" i="6" s="1"/>
  <c r="H182" i="6" s="1"/>
  <c r="L183" i="5" l="1"/>
  <c r="I181" i="6" s="1"/>
  <c r="J181" i="6" s="1"/>
  <c r="M180" i="6"/>
  <c r="J184" i="5"/>
  <c r="G183" i="6" s="1"/>
  <c r="H183" i="6" s="1"/>
  <c r="K184" i="5"/>
  <c r="L184" i="5" l="1"/>
  <c r="I182" i="6" s="1"/>
  <c r="J182" i="6" s="1"/>
  <c r="M181" i="6"/>
  <c r="K185" i="5"/>
  <c r="J185" i="5"/>
  <c r="G184" i="6" s="1"/>
  <c r="H184" i="6" s="1"/>
  <c r="L185" i="5" l="1"/>
  <c r="I183" i="6" s="1"/>
  <c r="J183" i="6" s="1"/>
  <c r="M182" i="6"/>
  <c r="J186" i="5"/>
  <c r="G185" i="6" s="1"/>
  <c r="H185" i="6" s="1"/>
  <c r="K186" i="5"/>
  <c r="L186" i="5" l="1"/>
  <c r="I184" i="6" s="1"/>
  <c r="J184" i="6" s="1"/>
  <c r="M183" i="6"/>
  <c r="K187" i="5"/>
  <c r="J187" i="5"/>
  <c r="G186" i="6" s="1"/>
  <c r="H186" i="6" s="1"/>
  <c r="L187" i="5" l="1"/>
  <c r="I185" i="6" s="1"/>
  <c r="J185" i="6" s="1"/>
  <c r="M184" i="6"/>
  <c r="J188" i="5"/>
  <c r="G187" i="6" s="1"/>
  <c r="H187" i="6" s="1"/>
  <c r="K188" i="5"/>
  <c r="L188" i="5" l="1"/>
  <c r="I186" i="6" s="1"/>
  <c r="J186" i="6" s="1"/>
  <c r="M185" i="6"/>
  <c r="J189" i="5"/>
  <c r="G188" i="6" s="1"/>
  <c r="H188" i="6" s="1"/>
  <c r="K189" i="5"/>
  <c r="L189" i="5" l="1"/>
  <c r="I187" i="6" s="1"/>
  <c r="J187" i="6" s="1"/>
  <c r="M186" i="6"/>
  <c r="J190" i="5"/>
  <c r="G189" i="6" s="1"/>
  <c r="H189" i="6" s="1"/>
  <c r="K190" i="5"/>
  <c r="L190" i="5" l="1"/>
  <c r="I188" i="6" s="1"/>
  <c r="J188" i="6" s="1"/>
  <c r="M187" i="6"/>
  <c r="J191" i="5"/>
  <c r="G190" i="6" s="1"/>
  <c r="H190" i="6" s="1"/>
  <c r="K191" i="5"/>
  <c r="L191" i="5" l="1"/>
  <c r="I189" i="6" s="1"/>
  <c r="J189" i="6" s="1"/>
  <c r="M188" i="6"/>
  <c r="K192" i="5"/>
  <c r="J192" i="5"/>
  <c r="G191" i="6" s="1"/>
  <c r="H191" i="6" s="1"/>
  <c r="L192" i="5" l="1"/>
  <c r="I190" i="6" s="1"/>
  <c r="J190" i="6" s="1"/>
  <c r="M189" i="6"/>
  <c r="K193" i="5"/>
  <c r="J193" i="5"/>
  <c r="G192" i="6" s="1"/>
  <c r="H192" i="6" s="1"/>
  <c r="L193" i="5" l="1"/>
  <c r="N13" i="5" s="1"/>
  <c r="P13" i="5" s="1"/>
  <c r="T13" i="5" s="1"/>
  <c r="M190" i="6"/>
  <c r="J194" i="5"/>
  <c r="G193" i="6" s="1"/>
  <c r="H193" i="6" s="1"/>
  <c r="K194" i="5"/>
  <c r="I191" i="6" l="1"/>
  <c r="J191" i="6" s="1"/>
  <c r="L194" i="5"/>
  <c r="I192" i="6" s="1"/>
  <c r="J192" i="6" s="1"/>
  <c r="J195" i="5"/>
  <c r="G194" i="6" s="1"/>
  <c r="H194" i="6" s="1"/>
  <c r="K195" i="5"/>
  <c r="M192" i="6" l="1"/>
  <c r="L195" i="5"/>
  <c r="I193" i="6" s="1"/>
  <c r="J193" i="6" s="1"/>
  <c r="K196" i="5"/>
  <c r="J196" i="5"/>
  <c r="G195" i="6" s="1"/>
  <c r="H195" i="6" s="1"/>
  <c r="M191" i="6" l="1"/>
  <c r="L196" i="5"/>
  <c r="I194" i="6" s="1"/>
  <c r="J194" i="6" s="1"/>
  <c r="M193" i="6"/>
  <c r="K197" i="5"/>
  <c r="J197" i="5"/>
  <c r="G196" i="6" s="1"/>
  <c r="H196" i="6" s="1"/>
  <c r="L197" i="5" l="1"/>
  <c r="I195" i="6" s="1"/>
  <c r="J195" i="6" s="1"/>
  <c r="M194" i="6"/>
  <c r="J198" i="5"/>
  <c r="G197" i="6" s="1"/>
  <c r="H197" i="6" s="1"/>
  <c r="K198" i="5"/>
  <c r="L198" i="5" l="1"/>
  <c r="I196" i="6" s="1"/>
  <c r="J196" i="6" s="1"/>
  <c r="M195" i="6"/>
  <c r="J199" i="5"/>
  <c r="G198" i="6" s="1"/>
  <c r="H198" i="6" s="1"/>
  <c r="K199" i="5"/>
  <c r="L199" i="5" l="1"/>
  <c r="I197" i="6" s="1"/>
  <c r="J197" i="6" s="1"/>
  <c r="M196" i="6"/>
  <c r="J200" i="5"/>
  <c r="G199" i="6" s="1"/>
  <c r="H199" i="6" s="1"/>
  <c r="K200" i="5"/>
  <c r="L200" i="5" l="1"/>
  <c r="I198" i="6" s="1"/>
  <c r="J198" i="6" s="1"/>
  <c r="M197" i="6"/>
  <c r="J201" i="5"/>
  <c r="G200" i="6" s="1"/>
  <c r="H200" i="6" s="1"/>
  <c r="K201" i="5"/>
  <c r="L201" i="5" l="1"/>
  <c r="I199" i="6" s="1"/>
  <c r="J199" i="6" s="1"/>
  <c r="M198" i="6"/>
  <c r="J202" i="5"/>
  <c r="G201" i="6" s="1"/>
  <c r="H201" i="6" s="1"/>
  <c r="K202" i="5"/>
  <c r="L202" i="5" l="1"/>
  <c r="I200" i="6" s="1"/>
  <c r="J200" i="6" s="1"/>
  <c r="M199" i="6"/>
  <c r="J203" i="5"/>
  <c r="G202" i="6" s="1"/>
  <c r="H202" i="6" s="1"/>
  <c r="K203" i="5"/>
  <c r="L203" i="5" l="1"/>
  <c r="I201" i="6" s="1"/>
  <c r="J201" i="6" s="1"/>
  <c r="M200" i="6"/>
  <c r="K204" i="5"/>
  <c r="J204" i="5"/>
  <c r="G203" i="6" s="1"/>
  <c r="H203" i="6" s="1"/>
  <c r="L204" i="5" l="1"/>
  <c r="I202" i="6" s="1"/>
  <c r="J202" i="6" s="1"/>
  <c r="M201" i="6"/>
  <c r="K205" i="5"/>
  <c r="J205" i="5"/>
  <c r="G204" i="6" s="1"/>
  <c r="H204" i="6" s="1"/>
  <c r="L205" i="5" l="1"/>
  <c r="I203" i="6" s="1"/>
  <c r="J203" i="6" s="1"/>
  <c r="M202" i="6"/>
  <c r="J206" i="5"/>
  <c r="G205" i="6" s="1"/>
  <c r="H205" i="6" s="1"/>
  <c r="K206" i="5"/>
  <c r="L206" i="5" l="1"/>
  <c r="I204" i="6" s="1"/>
  <c r="J204" i="6" s="1"/>
  <c r="M203" i="6"/>
  <c r="K207" i="5"/>
  <c r="J207" i="5"/>
  <c r="G206" i="6" s="1"/>
  <c r="H206" i="6" s="1"/>
  <c r="L207" i="5" l="1"/>
  <c r="I205" i="6" s="1"/>
  <c r="J205" i="6" s="1"/>
  <c r="M204" i="6"/>
  <c r="J208" i="5"/>
  <c r="G207" i="6" s="1"/>
  <c r="H207" i="6" s="1"/>
  <c r="K208" i="5"/>
  <c r="L208" i="5" l="1"/>
  <c r="I206" i="6" s="1"/>
  <c r="J206" i="6" s="1"/>
  <c r="M205" i="6"/>
  <c r="J209" i="5"/>
  <c r="G208" i="6" s="1"/>
  <c r="H208" i="6" s="1"/>
  <c r="K209" i="5"/>
  <c r="L209" i="5" l="1"/>
  <c r="I207" i="6" s="1"/>
  <c r="J207" i="6" s="1"/>
  <c r="M206" i="6"/>
  <c r="J210" i="5"/>
  <c r="G209" i="6" s="1"/>
  <c r="H209" i="6" s="1"/>
  <c r="K210" i="5"/>
  <c r="L210" i="5" l="1"/>
  <c r="I208" i="6" s="1"/>
  <c r="J208" i="6" s="1"/>
  <c r="M207" i="6"/>
  <c r="K211" i="5"/>
  <c r="J211" i="5"/>
  <c r="G210" i="6" s="1"/>
  <c r="H210" i="6" s="1"/>
  <c r="L211" i="5" l="1"/>
  <c r="I209" i="6" s="1"/>
  <c r="J209" i="6" s="1"/>
  <c r="M208" i="6"/>
  <c r="J212" i="5"/>
  <c r="G211" i="6" s="1"/>
  <c r="H211" i="6" s="1"/>
  <c r="K212" i="5"/>
  <c r="L212" i="5" l="1"/>
  <c r="I210" i="6" s="1"/>
  <c r="J210" i="6" s="1"/>
  <c r="M209" i="6"/>
  <c r="K213" i="5"/>
  <c r="J213" i="5"/>
  <c r="G212" i="6" s="1"/>
  <c r="H212" i="6" s="1"/>
  <c r="L213" i="5" l="1"/>
  <c r="I211" i="6" s="1"/>
  <c r="J211" i="6" s="1"/>
  <c r="M210" i="6"/>
  <c r="K214" i="5"/>
  <c r="J214" i="5"/>
  <c r="G213" i="6" s="1"/>
  <c r="H213" i="6" s="1"/>
  <c r="L214" i="5" l="1"/>
  <c r="N14" i="5" s="1"/>
  <c r="M211" i="6"/>
  <c r="K215" i="5"/>
  <c r="J215" i="5"/>
  <c r="G214" i="6" s="1"/>
  <c r="H214" i="6" s="1"/>
  <c r="I212" i="6" l="1"/>
  <c r="J212" i="6" s="1"/>
  <c r="L215" i="5"/>
  <c r="I213" i="6" s="1"/>
  <c r="J213" i="6" s="1"/>
  <c r="P14" i="5"/>
  <c r="T14" i="5" s="1"/>
  <c r="J216" i="5"/>
  <c r="G215" i="6" s="1"/>
  <c r="H215" i="6" s="1"/>
  <c r="K216" i="5"/>
  <c r="M212" i="6" l="1"/>
  <c r="L216" i="5"/>
  <c r="I214" i="6" s="1"/>
  <c r="J214" i="6" s="1"/>
  <c r="K217" i="5"/>
  <c r="J217" i="5"/>
  <c r="G216" i="6" s="1"/>
  <c r="H216" i="6" s="1"/>
  <c r="M214" i="6" l="1"/>
  <c r="L217" i="5"/>
  <c r="I215" i="6" s="1"/>
  <c r="J215" i="6" s="1"/>
  <c r="J218" i="5"/>
  <c r="G217" i="6" s="1"/>
  <c r="H217" i="6" s="1"/>
  <c r="K218" i="5"/>
  <c r="M213" i="6" l="1"/>
  <c r="L218" i="5"/>
  <c r="I216" i="6" s="1"/>
  <c r="J216" i="6" s="1"/>
  <c r="M215" i="6"/>
  <c r="J219" i="5"/>
  <c r="G218" i="6" s="1"/>
  <c r="H218" i="6" s="1"/>
  <c r="K219" i="5"/>
  <c r="L219" i="5" l="1"/>
  <c r="I217" i="6" s="1"/>
  <c r="J217" i="6" s="1"/>
  <c r="M216" i="6"/>
  <c r="J220" i="5"/>
  <c r="G219" i="6" s="1"/>
  <c r="H219" i="6" s="1"/>
  <c r="K220" i="5"/>
  <c r="L220" i="5" l="1"/>
  <c r="I218" i="6" s="1"/>
  <c r="J218" i="6" s="1"/>
  <c r="M217" i="6"/>
  <c r="K221" i="5"/>
  <c r="J221" i="5"/>
  <c r="G220" i="6" s="1"/>
  <c r="H220" i="6" s="1"/>
  <c r="L221" i="5" l="1"/>
  <c r="I219" i="6" s="1"/>
  <c r="J219" i="6" s="1"/>
  <c r="M218" i="6"/>
  <c r="J222" i="5"/>
  <c r="G221" i="6" s="1"/>
  <c r="H221" i="6" s="1"/>
  <c r="K222" i="5"/>
  <c r="L222" i="5" l="1"/>
  <c r="I220" i="6" s="1"/>
  <c r="J220" i="6" s="1"/>
  <c r="M219" i="6"/>
  <c r="K223" i="5"/>
  <c r="J223" i="5"/>
  <c r="G222" i="6" s="1"/>
  <c r="H222" i="6" s="1"/>
  <c r="L223" i="5" l="1"/>
  <c r="I221" i="6" s="1"/>
  <c r="J221" i="6" s="1"/>
  <c r="M220" i="6"/>
  <c r="J224" i="5"/>
  <c r="G223" i="6" s="1"/>
  <c r="H223" i="6" s="1"/>
  <c r="K224" i="5"/>
  <c r="L224" i="5" l="1"/>
  <c r="I222" i="6" s="1"/>
  <c r="J222" i="6" s="1"/>
  <c r="M221" i="6"/>
  <c r="K225" i="5"/>
  <c r="J225" i="5"/>
  <c r="G224" i="6" s="1"/>
  <c r="H224" i="6" s="1"/>
  <c r="L225" i="5" l="1"/>
  <c r="I223" i="6" s="1"/>
  <c r="J223" i="6" s="1"/>
  <c r="M222" i="6"/>
  <c r="K226" i="5"/>
  <c r="J226" i="5"/>
  <c r="G225" i="6" s="1"/>
  <c r="H225" i="6" s="1"/>
  <c r="L226" i="5" l="1"/>
  <c r="I224" i="6" s="1"/>
  <c r="J224" i="6" s="1"/>
  <c r="M223" i="6"/>
  <c r="K227" i="5"/>
  <c r="J227" i="5"/>
  <c r="G226" i="6" s="1"/>
  <c r="H226" i="6" s="1"/>
  <c r="L227" i="5" l="1"/>
  <c r="I225" i="6" s="1"/>
  <c r="J225" i="6" s="1"/>
  <c r="M224" i="6"/>
  <c r="K228" i="5"/>
  <c r="J228" i="5"/>
  <c r="G227" i="6" s="1"/>
  <c r="H227" i="6" s="1"/>
  <c r="L228" i="5" l="1"/>
  <c r="I226" i="6" s="1"/>
  <c r="J226" i="6" s="1"/>
  <c r="M225" i="6"/>
  <c r="J229" i="5"/>
  <c r="G228" i="6" s="1"/>
  <c r="H228" i="6" s="1"/>
  <c r="K229" i="5"/>
  <c r="L229" i="5" l="1"/>
  <c r="I227" i="6" s="1"/>
  <c r="J227" i="6" s="1"/>
  <c r="M226" i="6"/>
  <c r="K230" i="5"/>
  <c r="J230" i="5"/>
  <c r="G229" i="6" s="1"/>
  <c r="H229" i="6" s="1"/>
  <c r="L230" i="5" l="1"/>
  <c r="I228" i="6" s="1"/>
  <c r="J228" i="6" s="1"/>
  <c r="M227" i="6"/>
  <c r="K231" i="5"/>
  <c r="J231" i="5"/>
  <c r="G230" i="6" s="1"/>
  <c r="H230" i="6" s="1"/>
  <c r="L231" i="5" l="1"/>
  <c r="I229" i="6" s="1"/>
  <c r="J229" i="6" s="1"/>
  <c r="M228" i="6"/>
  <c r="K232" i="5"/>
  <c r="J232" i="5"/>
  <c r="G231" i="6" s="1"/>
  <c r="H231" i="6" s="1"/>
  <c r="L232" i="5" l="1"/>
  <c r="I230" i="6" s="1"/>
  <c r="J230" i="6" s="1"/>
  <c r="M229" i="6"/>
  <c r="J233" i="5"/>
  <c r="G232" i="6" s="1"/>
  <c r="H232" i="6" s="1"/>
  <c r="K233" i="5"/>
  <c r="L233" i="5" l="1"/>
  <c r="I231" i="6" s="1"/>
  <c r="J231" i="6" s="1"/>
  <c r="M230" i="6"/>
  <c r="K234" i="5"/>
  <c r="J234" i="5"/>
  <c r="G233" i="6" s="1"/>
  <c r="H233" i="6" s="1"/>
  <c r="L234" i="5" l="1"/>
  <c r="N15" i="5" s="1"/>
  <c r="P15" i="5" s="1"/>
  <c r="T15" i="5" s="1"/>
  <c r="M231" i="6"/>
  <c r="J235" i="5"/>
  <c r="G234" i="6" s="1"/>
  <c r="H234" i="6" s="1"/>
  <c r="K235" i="5"/>
  <c r="I232" i="6" l="1"/>
  <c r="J232" i="6" s="1"/>
  <c r="L235" i="5"/>
  <c r="I233" i="6" s="1"/>
  <c r="J233" i="6" s="1"/>
  <c r="J236" i="5"/>
  <c r="G235" i="6" s="1"/>
  <c r="H235" i="6" s="1"/>
  <c r="K236" i="5"/>
  <c r="M233" i="6" l="1"/>
  <c r="L236" i="5"/>
  <c r="I234" i="6" s="1"/>
  <c r="J234" i="6" s="1"/>
  <c r="J237" i="5"/>
  <c r="G236" i="6" s="1"/>
  <c r="H236" i="6" s="1"/>
  <c r="K237" i="5"/>
  <c r="M232" i="6" l="1"/>
  <c r="L237" i="5"/>
  <c r="I235" i="6" s="1"/>
  <c r="J235" i="6" s="1"/>
  <c r="M234" i="6"/>
  <c r="K238" i="5"/>
  <c r="J238" i="5"/>
  <c r="G237" i="6" s="1"/>
  <c r="H237" i="6" s="1"/>
  <c r="L238" i="5" l="1"/>
  <c r="I236" i="6" s="1"/>
  <c r="J236" i="6" s="1"/>
  <c r="M235" i="6"/>
  <c r="J239" i="5"/>
  <c r="G238" i="6" s="1"/>
  <c r="H238" i="6" s="1"/>
  <c r="K239" i="5"/>
  <c r="L239" i="5" l="1"/>
  <c r="I237" i="6" s="1"/>
  <c r="J237" i="6" s="1"/>
  <c r="M236" i="6"/>
  <c r="K240" i="5"/>
  <c r="J240" i="5"/>
  <c r="G239" i="6" s="1"/>
  <c r="H239" i="6" s="1"/>
  <c r="L240" i="5" l="1"/>
  <c r="I238" i="6" s="1"/>
  <c r="J238" i="6" s="1"/>
  <c r="M237" i="6"/>
  <c r="K241" i="5"/>
  <c r="J241" i="5"/>
  <c r="G240" i="6" s="1"/>
  <c r="H240" i="6" s="1"/>
  <c r="L241" i="5" l="1"/>
  <c r="I239" i="6" s="1"/>
  <c r="J239" i="6" s="1"/>
  <c r="M238" i="6"/>
  <c r="J242" i="5"/>
  <c r="G241" i="6" s="1"/>
  <c r="H241" i="6" s="1"/>
  <c r="K242" i="5"/>
  <c r="L242" i="5" l="1"/>
  <c r="I240" i="6" s="1"/>
  <c r="J240" i="6" s="1"/>
  <c r="M239" i="6"/>
  <c r="J243" i="5"/>
  <c r="G242" i="6" s="1"/>
  <c r="H242" i="6" s="1"/>
  <c r="K243" i="5"/>
  <c r="L243" i="5" l="1"/>
  <c r="I241" i="6" s="1"/>
  <c r="J241" i="6" s="1"/>
  <c r="M240" i="6"/>
  <c r="J244" i="5"/>
  <c r="G243" i="6" s="1"/>
  <c r="H243" i="6" s="1"/>
  <c r="K244" i="5"/>
  <c r="L244" i="5" l="1"/>
  <c r="I242" i="6" s="1"/>
  <c r="J242" i="6" s="1"/>
  <c r="M241" i="6"/>
  <c r="J245" i="5"/>
  <c r="G244" i="6" s="1"/>
  <c r="H244" i="6" s="1"/>
  <c r="K245" i="5"/>
  <c r="L245" i="5" l="1"/>
  <c r="I243" i="6" s="1"/>
  <c r="J243" i="6" s="1"/>
  <c r="M242" i="6"/>
  <c r="K246" i="5"/>
  <c r="J246" i="5"/>
  <c r="G245" i="6" s="1"/>
  <c r="H245" i="6" s="1"/>
  <c r="L246" i="5" l="1"/>
  <c r="I244" i="6" s="1"/>
  <c r="J244" i="6" s="1"/>
  <c r="M243" i="6"/>
  <c r="K247" i="5"/>
  <c r="J247" i="5"/>
  <c r="G246" i="6" s="1"/>
  <c r="H246" i="6" s="1"/>
  <c r="L247" i="5" l="1"/>
  <c r="I245" i="6" s="1"/>
  <c r="J245" i="6" s="1"/>
  <c r="M244" i="6"/>
  <c r="K248" i="5"/>
  <c r="J248" i="5"/>
  <c r="G247" i="6" s="1"/>
  <c r="H247" i="6" s="1"/>
  <c r="L248" i="5" l="1"/>
  <c r="I246" i="6" s="1"/>
  <c r="J246" i="6" s="1"/>
  <c r="M245" i="6"/>
  <c r="K249" i="5"/>
  <c r="J249" i="5"/>
  <c r="G248" i="6" s="1"/>
  <c r="H248" i="6" s="1"/>
  <c r="L249" i="5" l="1"/>
  <c r="I247" i="6" s="1"/>
  <c r="J247" i="6" s="1"/>
  <c r="M246" i="6"/>
  <c r="J250" i="5"/>
  <c r="G249" i="6" s="1"/>
  <c r="H249" i="6" s="1"/>
  <c r="K250" i="5"/>
  <c r="L250" i="5" l="1"/>
  <c r="I248" i="6" s="1"/>
  <c r="J248" i="6" s="1"/>
  <c r="M247" i="6"/>
  <c r="J251" i="5"/>
  <c r="G250" i="6" s="1"/>
  <c r="H250" i="6" s="1"/>
  <c r="K251" i="5"/>
  <c r="L251" i="5" l="1"/>
  <c r="I249" i="6" s="1"/>
  <c r="J249" i="6" s="1"/>
  <c r="M248" i="6"/>
  <c r="J252" i="5"/>
  <c r="G251" i="6" s="1"/>
  <c r="H251" i="6" s="1"/>
  <c r="K252" i="5"/>
  <c r="L252" i="5" l="1"/>
  <c r="I250" i="6" s="1"/>
  <c r="J250" i="6" s="1"/>
  <c r="M249" i="6"/>
  <c r="K253" i="5"/>
  <c r="J253" i="5"/>
  <c r="G252" i="6" s="1"/>
  <c r="H252" i="6" s="1"/>
  <c r="L253" i="5" l="1"/>
  <c r="I251" i="6" s="1"/>
  <c r="J251" i="6" s="1"/>
  <c r="M250" i="6"/>
  <c r="K254" i="5"/>
  <c r="J254" i="5"/>
  <c r="G253" i="6" s="1"/>
  <c r="H253" i="6" s="1"/>
  <c r="L254" i="5" l="1"/>
  <c r="I252" i="6" s="1"/>
  <c r="J252" i="6" s="1"/>
  <c r="M251" i="6"/>
  <c r="J255" i="5"/>
  <c r="G254" i="6" s="1"/>
  <c r="H254" i="6" s="1"/>
  <c r="K255" i="5"/>
  <c r="L255" i="5" l="1"/>
  <c r="N16" i="5" s="1"/>
  <c r="M252" i="6"/>
  <c r="J256" i="5"/>
  <c r="G255" i="6" s="1"/>
  <c r="H255" i="6" s="1"/>
  <c r="K256" i="5"/>
  <c r="I253" i="6" l="1"/>
  <c r="J253" i="6" s="1"/>
  <c r="L256" i="5"/>
  <c r="I254" i="6" s="1"/>
  <c r="J254" i="6" s="1"/>
  <c r="J257" i="5"/>
  <c r="G256" i="6" s="1"/>
  <c r="H256" i="6" s="1"/>
  <c r="K257" i="5"/>
  <c r="M254" i="6" l="1"/>
  <c r="L257" i="5"/>
  <c r="I255" i="6" s="1"/>
  <c r="J255" i="6" s="1"/>
  <c r="P16" i="5"/>
  <c r="K258" i="5"/>
  <c r="J258" i="5"/>
  <c r="G257" i="6" s="1"/>
  <c r="H257" i="6" s="1"/>
  <c r="N17" i="5"/>
  <c r="AA17" i="5"/>
  <c r="M253" i="6" l="1"/>
  <c r="L258" i="5"/>
  <c r="I256" i="6" s="1"/>
  <c r="J256" i="6" s="1"/>
  <c r="Q18" i="5"/>
  <c r="T16" i="5"/>
  <c r="P17" i="5"/>
  <c r="J259" i="5"/>
  <c r="G258" i="6" s="1"/>
  <c r="H258" i="6" s="1"/>
  <c r="K259" i="5"/>
  <c r="L259" i="5" l="1"/>
  <c r="I257" i="6" s="1"/>
  <c r="J257" i="6" s="1"/>
  <c r="M256" i="6"/>
  <c r="M255" i="6"/>
  <c r="J260" i="5"/>
  <c r="G259" i="6" s="1"/>
  <c r="H259" i="6" s="1"/>
  <c r="K260" i="5"/>
  <c r="L260" i="5" l="1"/>
  <c r="I258" i="6" s="1"/>
  <c r="J258" i="6" s="1"/>
  <c r="M257" i="6"/>
  <c r="K261" i="5"/>
  <c r="J261" i="5"/>
  <c r="G260" i="6" s="1"/>
  <c r="H260" i="6" s="1"/>
  <c r="L261" i="5" l="1"/>
  <c r="I259" i="6" s="1"/>
  <c r="J259" i="6" s="1"/>
  <c r="M258" i="6"/>
  <c r="J262" i="5"/>
  <c r="G261" i="6" s="1"/>
  <c r="H261" i="6" s="1"/>
  <c r="K262" i="5"/>
  <c r="L262" i="5" l="1"/>
  <c r="I260" i="6" s="1"/>
  <c r="J260" i="6" s="1"/>
  <c r="M259" i="6"/>
  <c r="J263" i="5"/>
  <c r="G262" i="6" s="1"/>
  <c r="H262" i="6" s="1"/>
  <c r="K263" i="5"/>
  <c r="L263" i="5" l="1"/>
  <c r="I261" i="6" s="1"/>
  <c r="J261" i="6" s="1"/>
  <c r="M260" i="6"/>
  <c r="J264" i="5"/>
  <c r="G263" i="6" s="1"/>
  <c r="H263" i="6" s="1"/>
  <c r="K264" i="5"/>
  <c r="L264" i="5" l="1"/>
  <c r="I262" i="6" s="1"/>
  <c r="J262" i="6" s="1"/>
  <c r="M261" i="6"/>
  <c r="J265" i="5"/>
  <c r="G264" i="6" s="1"/>
  <c r="H264" i="6" s="1"/>
  <c r="K265" i="5"/>
  <c r="L265" i="5" l="1"/>
  <c r="I263" i="6" s="1"/>
  <c r="J263" i="6" s="1"/>
  <c r="M262" i="6"/>
  <c r="J266" i="5"/>
  <c r="G265" i="6" s="1"/>
  <c r="H265" i="6" s="1"/>
  <c r="K266" i="5"/>
  <c r="L266" i="5" l="1"/>
  <c r="I264" i="6" s="1"/>
  <c r="J264" i="6" s="1"/>
  <c r="M263" i="6"/>
  <c r="J267" i="5"/>
  <c r="G266" i="6" s="1"/>
  <c r="H266" i="6" s="1"/>
  <c r="K267" i="5"/>
  <c r="L267" i="5" l="1"/>
  <c r="I265" i="6" s="1"/>
  <c r="J265" i="6" s="1"/>
  <c r="M264" i="6"/>
  <c r="J268" i="5"/>
  <c r="G267" i="6" s="1"/>
  <c r="H267" i="6" s="1"/>
  <c r="K268" i="5"/>
  <c r="L268" i="5" l="1"/>
  <c r="I266" i="6" s="1"/>
  <c r="J266" i="6" s="1"/>
  <c r="M265" i="6"/>
  <c r="K269" i="5"/>
  <c r="J269" i="5"/>
  <c r="G268" i="6" s="1"/>
  <c r="H268" i="6" s="1"/>
  <c r="L269" i="5" l="1"/>
  <c r="I267" i="6" s="1"/>
  <c r="J267" i="6" s="1"/>
  <c r="M266" i="6"/>
  <c r="J270" i="5"/>
  <c r="G269" i="6" s="1"/>
  <c r="H269" i="6" s="1"/>
  <c r="K270" i="5"/>
  <c r="L270" i="5" l="1"/>
  <c r="I268" i="6" s="1"/>
  <c r="J268" i="6" s="1"/>
  <c r="M267" i="6"/>
  <c r="J271" i="5"/>
  <c r="G270" i="6" s="1"/>
  <c r="H270" i="6" s="1"/>
  <c r="K271" i="5"/>
  <c r="L271" i="5" l="1"/>
  <c r="I269" i="6" s="1"/>
  <c r="J269" i="6" s="1"/>
  <c r="M268" i="6"/>
  <c r="K272" i="5"/>
  <c r="J272" i="5"/>
  <c r="G271" i="6" s="1"/>
  <c r="H271" i="6" s="1"/>
  <c r="L272" i="5" l="1"/>
  <c r="I270" i="6" s="1"/>
  <c r="J270" i="6" s="1"/>
  <c r="M269" i="6"/>
  <c r="K273" i="5"/>
  <c r="J273" i="5"/>
  <c r="G272" i="6" s="1"/>
  <c r="H272" i="6" s="1"/>
  <c r="L273" i="5" l="1"/>
  <c r="I271" i="6" s="1"/>
  <c r="J271" i="6" s="1"/>
  <c r="M270" i="6"/>
  <c r="J274" i="5"/>
  <c r="G273" i="6" s="1"/>
  <c r="H273" i="6" s="1"/>
  <c r="K274" i="5"/>
  <c r="L274" i="5" l="1"/>
  <c r="I272" i="6" s="1"/>
  <c r="J272" i="6" s="1"/>
  <c r="M271" i="6"/>
  <c r="K275" i="5"/>
  <c r="J275" i="5"/>
  <c r="G274" i="6" s="1"/>
  <c r="H274" i="6" s="1"/>
  <c r="L275" i="5" l="1"/>
  <c r="I273" i="6" s="1"/>
  <c r="J273" i="6" s="1"/>
  <c r="M272" i="6"/>
  <c r="K276" i="5"/>
  <c r="J276" i="5"/>
  <c r="G275" i="6" s="1"/>
  <c r="H275" i="6" s="1"/>
  <c r="L276" i="5" l="1"/>
  <c r="I274" i="6" s="1"/>
  <c r="J274" i="6" s="1"/>
  <c r="M273" i="6"/>
  <c r="J277" i="5"/>
  <c r="G276" i="6" s="1"/>
  <c r="H276" i="6" s="1"/>
  <c r="K277" i="5"/>
  <c r="L277" i="5" l="1"/>
  <c r="I275" i="6" s="1"/>
  <c r="J275" i="6" s="1"/>
  <c r="M274" i="6"/>
  <c r="J278" i="5"/>
  <c r="G277" i="6" s="1"/>
  <c r="H277" i="6" s="1"/>
  <c r="K278" i="5"/>
  <c r="L278" i="5" l="1"/>
  <c r="I276" i="6" s="1"/>
  <c r="J276" i="6" s="1"/>
  <c r="M275" i="6"/>
  <c r="J279" i="5"/>
  <c r="G278" i="6" s="1"/>
  <c r="H278" i="6" s="1"/>
  <c r="K279" i="5"/>
  <c r="L279" i="5" l="1"/>
  <c r="I277" i="6" s="1"/>
  <c r="J277" i="6" s="1"/>
  <c r="M276" i="6"/>
  <c r="J280" i="5"/>
  <c r="G279" i="6" s="1"/>
  <c r="H279" i="6" s="1"/>
  <c r="K280" i="5"/>
  <c r="L280" i="5" l="1"/>
  <c r="I278" i="6" s="1"/>
  <c r="J278" i="6" s="1"/>
  <c r="M277" i="6"/>
  <c r="K281" i="5"/>
  <c r="J281" i="5"/>
  <c r="G280" i="6" s="1"/>
  <c r="H280" i="6" s="1"/>
  <c r="L281" i="5" l="1"/>
  <c r="I279" i="6" s="1"/>
  <c r="J279" i="6" s="1"/>
  <c r="M278" i="6"/>
  <c r="K282" i="5"/>
  <c r="J282" i="5"/>
  <c r="G281" i="6" s="1"/>
  <c r="H281" i="6" s="1"/>
  <c r="L282" i="5" l="1"/>
  <c r="I280" i="6" s="1"/>
  <c r="J280" i="6" s="1"/>
  <c r="M279" i="6"/>
  <c r="J283" i="5"/>
  <c r="G282" i="6" s="1"/>
  <c r="H282" i="6" s="1"/>
  <c r="K283" i="5"/>
  <c r="L283" i="5" l="1"/>
  <c r="I281" i="6" s="1"/>
  <c r="J281" i="6" s="1"/>
  <c r="M280" i="6"/>
  <c r="K284" i="5"/>
  <c r="J284" i="5"/>
  <c r="G283" i="6" s="1"/>
  <c r="H283" i="6" s="1"/>
  <c r="L284" i="5" l="1"/>
  <c r="I282" i="6" s="1"/>
  <c r="J282" i="6" s="1"/>
  <c r="M281" i="6"/>
  <c r="J285" i="5"/>
  <c r="G284" i="6" s="1"/>
  <c r="H284" i="6" s="1"/>
  <c r="K285" i="5"/>
  <c r="L285" i="5" l="1"/>
  <c r="I283" i="6" s="1"/>
  <c r="J283" i="6" s="1"/>
  <c r="M282" i="6"/>
  <c r="K286" i="5"/>
  <c r="J286" i="5"/>
  <c r="G285" i="6" s="1"/>
  <c r="H285" i="6" s="1"/>
  <c r="L286" i="5" l="1"/>
  <c r="I284" i="6" s="1"/>
  <c r="J284" i="6" s="1"/>
  <c r="M283" i="6"/>
  <c r="J287" i="5"/>
  <c r="G286" i="6" s="1"/>
  <c r="H286" i="6" s="1"/>
  <c r="K287" i="5"/>
  <c r="L287" i="5" l="1"/>
  <c r="I285" i="6" s="1"/>
  <c r="J285" i="6" s="1"/>
  <c r="M284" i="6"/>
  <c r="K288" i="5"/>
  <c r="J288" i="5"/>
  <c r="G287" i="6" s="1"/>
  <c r="H287" i="6" s="1"/>
  <c r="L288" i="5" l="1"/>
  <c r="I286" i="6" s="1"/>
  <c r="J286" i="6" s="1"/>
  <c r="M285" i="6"/>
  <c r="J289" i="5"/>
  <c r="G288" i="6" s="1"/>
  <c r="H288" i="6" s="1"/>
  <c r="K289" i="5"/>
  <c r="L289" i="5" l="1"/>
  <c r="I287" i="6" s="1"/>
  <c r="J287" i="6" s="1"/>
  <c r="M286" i="6"/>
  <c r="J290" i="5"/>
  <c r="G289" i="6" s="1"/>
  <c r="H289" i="6" s="1"/>
  <c r="K290" i="5"/>
  <c r="L290" i="5" l="1"/>
  <c r="I288" i="6" s="1"/>
  <c r="J288" i="6" s="1"/>
  <c r="M287" i="6"/>
  <c r="J291" i="5"/>
  <c r="G290" i="6" s="1"/>
  <c r="H290" i="6" s="1"/>
  <c r="K291" i="5"/>
  <c r="L291" i="5" l="1"/>
  <c r="I289" i="6" s="1"/>
  <c r="J289" i="6" s="1"/>
  <c r="M288" i="6"/>
  <c r="J292" i="5"/>
  <c r="G291" i="6" s="1"/>
  <c r="H291" i="6" s="1"/>
  <c r="K292" i="5"/>
  <c r="L292" i="5" l="1"/>
  <c r="I290" i="6" s="1"/>
  <c r="J290" i="6" s="1"/>
  <c r="M289" i="6"/>
  <c r="J293" i="5"/>
  <c r="G292" i="6" s="1"/>
  <c r="H292" i="6" s="1"/>
  <c r="K293" i="5"/>
  <c r="L293" i="5" l="1"/>
  <c r="I291" i="6" s="1"/>
  <c r="J291" i="6" s="1"/>
  <c r="M290" i="6"/>
  <c r="K294" i="5"/>
  <c r="J294" i="5"/>
  <c r="G293" i="6" s="1"/>
  <c r="H293" i="6" s="1"/>
  <c r="L294" i="5" l="1"/>
  <c r="I292" i="6" s="1"/>
  <c r="J292" i="6" s="1"/>
  <c r="M291" i="6"/>
  <c r="K295" i="5"/>
  <c r="J295" i="5"/>
  <c r="G294" i="6" s="1"/>
  <c r="H294" i="6" s="1"/>
  <c r="L295" i="5" l="1"/>
  <c r="I293" i="6" s="1"/>
  <c r="J293" i="6" s="1"/>
  <c r="M292" i="6"/>
  <c r="K296" i="5"/>
  <c r="J296" i="5"/>
  <c r="G295" i="6" s="1"/>
  <c r="H295" i="6" s="1"/>
  <c r="L296" i="5" l="1"/>
  <c r="I294" i="6" s="1"/>
  <c r="J294" i="6" s="1"/>
  <c r="M293" i="6"/>
  <c r="J297" i="5"/>
  <c r="G296" i="6" s="1"/>
  <c r="H296" i="6" s="1"/>
  <c r="K297" i="5"/>
  <c r="L297" i="5" l="1"/>
  <c r="I295" i="6" s="1"/>
  <c r="J295" i="6" s="1"/>
  <c r="M294" i="6"/>
  <c r="J298" i="5"/>
  <c r="G297" i="6" s="1"/>
  <c r="H297" i="6" s="1"/>
  <c r="K298" i="5"/>
  <c r="L298" i="5" l="1"/>
  <c r="I296" i="6" s="1"/>
  <c r="J296" i="6" s="1"/>
  <c r="M295" i="6"/>
  <c r="J299" i="5"/>
  <c r="G298" i="6" s="1"/>
  <c r="H298" i="6" s="1"/>
  <c r="K299" i="5"/>
  <c r="L299" i="5" l="1"/>
  <c r="I297" i="6" s="1"/>
  <c r="J297" i="6" s="1"/>
  <c r="M296" i="6"/>
  <c r="J300" i="5"/>
  <c r="G299" i="6" s="1"/>
  <c r="H299" i="6" s="1"/>
  <c r="K300" i="5"/>
  <c r="L300" i="5" l="1"/>
  <c r="I298" i="6" s="1"/>
  <c r="J298" i="6" s="1"/>
  <c r="M297" i="6"/>
  <c r="K301" i="5"/>
  <c r="J301" i="5"/>
  <c r="G300" i="6" s="1"/>
  <c r="H300" i="6" s="1"/>
  <c r="L301" i="5" l="1"/>
  <c r="I299" i="6" s="1"/>
  <c r="J299" i="6" s="1"/>
  <c r="M298" i="6"/>
  <c r="J302" i="5"/>
  <c r="G301" i="6" s="1"/>
  <c r="H301" i="6" s="1"/>
  <c r="K302" i="5"/>
  <c r="L302" i="5" l="1"/>
  <c r="I300" i="6" s="1"/>
  <c r="J300" i="6" s="1"/>
  <c r="M299" i="6"/>
  <c r="J303" i="5"/>
  <c r="G302" i="6" s="1"/>
  <c r="H302" i="6" s="1"/>
  <c r="K303" i="5"/>
  <c r="L303" i="5" l="1"/>
  <c r="I301" i="6" s="1"/>
  <c r="J301" i="6" s="1"/>
  <c r="M300" i="6"/>
  <c r="J304" i="5"/>
  <c r="G303" i="6" s="1"/>
  <c r="H303" i="6" s="1"/>
  <c r="K304" i="5"/>
  <c r="L304" i="5" l="1"/>
  <c r="I302" i="6" s="1"/>
  <c r="J302" i="6" s="1"/>
  <c r="M301" i="6"/>
  <c r="K305" i="5"/>
  <c r="J305" i="5"/>
  <c r="G304" i="6" s="1"/>
  <c r="H304" i="6" s="1"/>
  <c r="L305" i="5" l="1"/>
  <c r="I303" i="6" s="1"/>
  <c r="J303" i="6" s="1"/>
  <c r="M302" i="6"/>
  <c r="J306" i="5"/>
  <c r="G305" i="6" s="1"/>
  <c r="H305" i="6" s="1"/>
  <c r="K306" i="5"/>
  <c r="L306" i="5" l="1"/>
  <c r="I304" i="6" s="1"/>
  <c r="J304" i="6" s="1"/>
  <c r="M303" i="6"/>
  <c r="J307" i="5"/>
  <c r="G306" i="6" s="1"/>
  <c r="H306" i="6" s="1"/>
  <c r="K307" i="5"/>
  <c r="L307" i="5" l="1"/>
  <c r="I305" i="6" s="1"/>
  <c r="J305" i="6" s="1"/>
  <c r="M304" i="6"/>
  <c r="J308" i="5"/>
  <c r="G307" i="6" s="1"/>
  <c r="H307" i="6" s="1"/>
  <c r="K308" i="5"/>
  <c r="L308" i="5" l="1"/>
  <c r="I306" i="6" s="1"/>
  <c r="J306" i="6" s="1"/>
  <c r="M305" i="6"/>
  <c r="J309" i="5"/>
  <c r="G308" i="6" s="1"/>
  <c r="H308" i="6" s="1"/>
  <c r="K309" i="5"/>
  <c r="L309" i="5" l="1"/>
  <c r="I307" i="6" s="1"/>
  <c r="J307" i="6" s="1"/>
  <c r="M306" i="6"/>
  <c r="J310" i="5"/>
  <c r="G309" i="6" s="1"/>
  <c r="H309" i="6" s="1"/>
  <c r="K310" i="5"/>
  <c r="L310" i="5" l="1"/>
  <c r="I308" i="6" s="1"/>
  <c r="J308" i="6" s="1"/>
  <c r="M307" i="6"/>
  <c r="J311" i="5"/>
  <c r="G310" i="6" s="1"/>
  <c r="H310" i="6" s="1"/>
  <c r="K311" i="5"/>
  <c r="L311" i="5" l="1"/>
  <c r="I309" i="6" s="1"/>
  <c r="J309" i="6" s="1"/>
  <c r="M308" i="6"/>
  <c r="J312" i="5"/>
  <c r="G311" i="6" s="1"/>
  <c r="H311" i="6" s="1"/>
  <c r="K312" i="5"/>
  <c r="L312" i="5" l="1"/>
  <c r="I310" i="6" s="1"/>
  <c r="J310" i="6" s="1"/>
  <c r="M309" i="6"/>
  <c r="J313" i="5"/>
  <c r="G312" i="6" s="1"/>
  <c r="H312" i="6" s="1"/>
  <c r="K313" i="5"/>
  <c r="L313" i="5" l="1"/>
  <c r="I311" i="6" s="1"/>
  <c r="J311" i="6" s="1"/>
  <c r="M310" i="6"/>
  <c r="J314" i="5"/>
  <c r="G313" i="6" s="1"/>
  <c r="H313" i="6" s="1"/>
  <c r="K314" i="5"/>
  <c r="L314" i="5" l="1"/>
  <c r="I312" i="6" s="1"/>
  <c r="J312" i="6" s="1"/>
  <c r="M311" i="6"/>
  <c r="J315" i="5"/>
  <c r="G314" i="6" s="1"/>
  <c r="H314" i="6" s="1"/>
  <c r="K315" i="5"/>
  <c r="L315" i="5" l="1"/>
  <c r="I313" i="6" s="1"/>
  <c r="J313" i="6" s="1"/>
  <c r="M312" i="6"/>
  <c r="J316" i="5"/>
  <c r="G315" i="6" s="1"/>
  <c r="H315" i="6" s="1"/>
  <c r="K316" i="5"/>
  <c r="L316" i="5" l="1"/>
  <c r="I314" i="6" s="1"/>
  <c r="J314" i="6" s="1"/>
  <c r="M313" i="6"/>
  <c r="K317" i="5"/>
  <c r="J317" i="5"/>
  <c r="G316" i="6" s="1"/>
  <c r="H316" i="6" s="1"/>
  <c r="L317" i="5" l="1"/>
  <c r="I315" i="6" s="1"/>
  <c r="J315" i="6" s="1"/>
  <c r="M314" i="6"/>
  <c r="J318" i="5"/>
  <c r="K318" i="5"/>
  <c r="L318" i="5" l="1"/>
  <c r="I316" i="6" s="1"/>
  <c r="J316" i="6" s="1"/>
  <c r="M315" i="6"/>
  <c r="M316" i="6" l="1"/>
</calcChain>
</file>

<file path=xl/sharedStrings.xml><?xml version="1.0" encoding="utf-8"?>
<sst xmlns="http://schemas.openxmlformats.org/spreadsheetml/2006/main" count="43" uniqueCount="42">
  <si>
    <t>Time</t>
  </si>
  <si>
    <t>Number of Trials =</t>
  </si>
  <si>
    <t>Randomize =</t>
  </si>
  <si>
    <t>Random Seed =</t>
  </si>
  <si>
    <t>Step</t>
  </si>
  <si>
    <r>
      <t>e</t>
    </r>
    <r>
      <rPr>
        <b/>
        <vertAlign val="subscript"/>
        <sz val="10"/>
        <rFont val="Symbol"/>
        <family val="1"/>
        <charset val="2"/>
      </rPr>
      <t>s</t>
    </r>
  </si>
  <si>
    <r>
      <t>e</t>
    </r>
    <r>
      <rPr>
        <b/>
        <vertAlign val="subscript"/>
        <sz val="10"/>
        <rFont val="Arial"/>
        <family val="2"/>
      </rPr>
      <t>S</t>
    </r>
  </si>
  <si>
    <t>S =</t>
  </si>
  <si>
    <t>q =</t>
  </si>
  <si>
    <t># of Years =</t>
  </si>
  <si>
    <t>dt =</t>
  </si>
  <si>
    <t>r =</t>
  </si>
  <si>
    <t>Steps per Year =</t>
  </si>
  <si>
    <t>q</t>
  </si>
  <si>
    <t>r</t>
  </si>
  <si>
    <t>k =</t>
  </si>
  <si>
    <t>v(0) =</t>
  </si>
  <si>
    <t>s =</t>
  </si>
  <si>
    <t>l =</t>
  </si>
  <si>
    <t>a =</t>
  </si>
  <si>
    <t>d =</t>
  </si>
  <si>
    <r>
      <rPr>
        <b/>
        <sz val="10"/>
        <rFont val="Calibri"/>
        <family val="2"/>
      </rPr>
      <t>λ</t>
    </r>
    <r>
      <rPr>
        <b/>
        <vertAlign val="subscript"/>
        <sz val="10"/>
        <rFont val="Arial"/>
        <family val="2"/>
      </rPr>
      <t>S</t>
    </r>
  </si>
  <si>
    <r>
      <t xml:space="preserve">Adj </t>
    </r>
    <r>
      <rPr>
        <b/>
        <sz val="10"/>
        <rFont val="Symbol"/>
        <family val="1"/>
        <charset val="2"/>
      </rPr>
      <t>e</t>
    </r>
    <r>
      <rPr>
        <b/>
        <vertAlign val="subscript"/>
        <sz val="10"/>
        <rFont val="Arial"/>
        <family val="2"/>
      </rPr>
      <t>S</t>
    </r>
  </si>
  <si>
    <r>
      <t>s</t>
    </r>
    <r>
      <rPr>
        <b/>
        <vertAlign val="superscript"/>
        <sz val="10"/>
        <rFont val="Arial"/>
        <family val="2"/>
      </rPr>
      <t>2</t>
    </r>
    <r>
      <rPr>
        <b/>
        <vertAlign val="subscript"/>
        <sz val="10"/>
        <rFont val="Arial"/>
        <family val="2"/>
      </rPr>
      <t>t</t>
    </r>
  </si>
  <si>
    <t>S</t>
  </si>
  <si>
    <r>
      <rPr>
        <b/>
        <sz val="10"/>
        <rFont val="Calibri"/>
        <family val="2"/>
      </rPr>
      <t>∏</t>
    </r>
    <r>
      <rPr>
        <b/>
        <sz val="10"/>
        <rFont val="Arial"/>
        <family val="2"/>
      </rPr>
      <t>Jumps</t>
    </r>
  </si>
  <si>
    <r>
      <t>x</t>
    </r>
    <r>
      <rPr>
        <b/>
        <vertAlign val="subscript"/>
        <sz val="10"/>
        <rFont val="Arial"/>
        <family val="2"/>
      </rPr>
      <t>1</t>
    </r>
  </si>
  <si>
    <t>ds</t>
  </si>
  <si>
    <t>kappa</t>
  </si>
  <si>
    <t>theta</t>
  </si>
  <si>
    <t>sigma</t>
  </si>
  <si>
    <t>rho</t>
  </si>
  <si>
    <t>v0</t>
  </si>
  <si>
    <t>1% SE</t>
  </si>
  <si>
    <t>aEquityRand</t>
  </si>
  <si>
    <t>aVarianceRand</t>
  </si>
  <si>
    <t>aJumpSizeRand</t>
  </si>
  <si>
    <t>aJumpRandP</t>
  </si>
  <si>
    <t>aVolPath</t>
  </si>
  <si>
    <t>aEquityPath</t>
  </si>
  <si>
    <t>vol diff</t>
  </si>
  <si>
    <t>equity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</si>
</sst>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#,##0.0000"/>
    <numFmt numFmtId="168" formatCode="0.000%"/>
    <numFmt numFmtId="169" formatCode="0.0"/>
    <numFmt numFmtId="170" formatCode="#,##0.000"/>
    <numFmt numFmtId="171" formatCode="#,##0.00000"/>
    <numFmt numFmtId="172" formatCode="#,##0.000000000"/>
    <numFmt numFmtId="173" formatCode="0.0000%"/>
    <numFmt numFmtId="174" formatCode="_(* #,##0.000_);_(* \(#,##0.000\);_(* &quot;-&quot;??_);_(@_)"/>
    <numFmt numFmtId="175" formatCode="_(* #,##0.00000_);_(* \(#,##0.00000\);_(* &quot;-&quot;??_);_(@_)"/>
    <numFmt numFmtId="176" formatCode="_(* #,##0.0000000000_);_(* \(#,##0.0000000000\);_(* &quot;-&quot;??_);_(@_)"/>
    <numFmt numFmtId="177" formatCode="0.0000000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2" fontId="0" fillId="2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2" borderId="0" xfId="0" applyNumberFormat="1" applyFill="1" applyBorder="1" applyAlignment="1">
      <alignment horizontal="right"/>
    </xf>
    <xf numFmtId="3" fontId="0" fillId="2" borderId="2" xfId="0" applyNumberFormat="1" applyFill="1" applyBorder="1"/>
    <xf numFmtId="0" fontId="0" fillId="2" borderId="2" xfId="0" applyFill="1" applyBorder="1"/>
    <xf numFmtId="4" fontId="0" fillId="3" borderId="2" xfId="0" applyNumberFormat="1" applyFill="1" applyBorder="1"/>
    <xf numFmtId="165" fontId="0" fillId="4" borderId="4" xfId="0" applyNumberFormat="1" applyFill="1" applyBorder="1"/>
    <xf numFmtId="165" fontId="0" fillId="4" borderId="2" xfId="0" applyNumberFormat="1" applyFill="1" applyBorder="1"/>
    <xf numFmtId="165" fontId="0" fillId="4" borderId="3" xfId="0" applyNumberFormat="1" applyFill="1" applyBorder="1"/>
    <xf numFmtId="0" fontId="0" fillId="5" borderId="0" xfId="0" applyFill="1"/>
    <xf numFmtId="0" fontId="3" fillId="5" borderId="0" xfId="0" applyFont="1" applyFill="1" applyAlignment="1">
      <alignment horizontal="right"/>
    </xf>
    <xf numFmtId="0" fontId="5" fillId="5" borderId="0" xfId="0" applyFont="1" applyFill="1" applyAlignment="1">
      <alignment horizontal="right"/>
    </xf>
    <xf numFmtId="0" fontId="3" fillId="5" borderId="0" xfId="0" applyFont="1" applyFill="1" applyBorder="1" applyAlignment="1">
      <alignment horizontal="right"/>
    </xf>
    <xf numFmtId="2" fontId="0" fillId="5" borderId="0" xfId="0" applyNumberFormat="1" applyFill="1"/>
    <xf numFmtId="166" fontId="0" fillId="5" borderId="0" xfId="0" applyNumberFormat="1" applyFill="1"/>
    <xf numFmtId="10" fontId="0" fillId="5" borderId="0" xfId="0" applyNumberFormat="1" applyFill="1"/>
    <xf numFmtId="4" fontId="0" fillId="5" borderId="0" xfId="0" applyNumberFormat="1" applyFill="1" applyBorder="1"/>
    <xf numFmtId="167" fontId="0" fillId="5" borderId="0" xfId="0" applyNumberFormat="1" applyFill="1" applyBorder="1"/>
    <xf numFmtId="2" fontId="5" fillId="4" borderId="0" xfId="0" applyNumberFormat="1" applyFont="1" applyFill="1" applyBorder="1" applyAlignment="1">
      <alignment horizontal="right"/>
    </xf>
    <xf numFmtId="168" fontId="3" fillId="4" borderId="0" xfId="0" applyNumberFormat="1" applyFont="1" applyFill="1" applyBorder="1" applyAlignment="1">
      <alignment horizontal="right"/>
    </xf>
    <xf numFmtId="2" fontId="5" fillId="4" borderId="1" xfId="0" applyNumberFormat="1" applyFont="1" applyFill="1" applyBorder="1" applyAlignment="1">
      <alignment horizontal="right"/>
    </xf>
    <xf numFmtId="2" fontId="5" fillId="4" borderId="5" xfId="0" applyNumberFormat="1" applyFont="1" applyFill="1" applyBorder="1" applyAlignment="1">
      <alignment horizontal="right"/>
    </xf>
    <xf numFmtId="2" fontId="7" fillId="5" borderId="5" xfId="0" applyNumberFormat="1" applyFont="1" applyFill="1" applyBorder="1" applyAlignment="1">
      <alignment horizontal="right"/>
    </xf>
    <xf numFmtId="0" fontId="7" fillId="5" borderId="0" xfId="0" applyFont="1" applyFill="1" applyBorder="1" applyAlignment="1">
      <alignment horizontal="right"/>
    </xf>
    <xf numFmtId="0" fontId="7" fillId="5" borderId="1" xfId="0" applyFont="1" applyFill="1" applyBorder="1" applyAlignment="1">
      <alignment horizontal="right"/>
    </xf>
    <xf numFmtId="165" fontId="0" fillId="5" borderId="4" xfId="0" applyNumberFormat="1" applyFill="1" applyBorder="1"/>
    <xf numFmtId="165" fontId="0" fillId="5" borderId="2" xfId="0" applyNumberFormat="1" applyFill="1" applyBorder="1"/>
    <xf numFmtId="169" fontId="0" fillId="5" borderId="0" xfId="0" applyNumberFormat="1" applyFill="1"/>
    <xf numFmtId="165" fontId="1" fillId="5" borderId="3" xfId="0" applyNumberFormat="1" applyFont="1" applyFill="1" applyBorder="1"/>
    <xf numFmtId="0" fontId="0" fillId="6" borderId="0" xfId="0" applyFill="1"/>
    <xf numFmtId="0" fontId="3" fillId="6" borderId="0" xfId="0" applyFont="1" applyFill="1" applyBorder="1" applyAlignment="1">
      <alignment horizontal="right"/>
    </xf>
    <xf numFmtId="168" fontId="0" fillId="6" borderId="0" xfId="0" applyNumberFormat="1" applyFill="1"/>
    <xf numFmtId="0" fontId="0" fillId="6" borderId="0" xfId="0" applyFill="1" applyBorder="1"/>
    <xf numFmtId="1" fontId="0" fillId="6" borderId="0" xfId="0" applyNumberFormat="1" applyFill="1"/>
    <xf numFmtId="164" fontId="0" fillId="6" borderId="0" xfId="0" applyNumberFormat="1" applyFill="1"/>
    <xf numFmtId="3" fontId="0" fillId="6" borderId="0" xfId="0" applyNumberFormat="1" applyFill="1"/>
    <xf numFmtId="167" fontId="0" fillId="6" borderId="0" xfId="0" applyNumberFormat="1" applyFill="1" applyBorder="1"/>
    <xf numFmtId="1" fontId="1" fillId="6" borderId="0" xfId="0" applyNumberFormat="1" applyFont="1" applyFill="1"/>
    <xf numFmtId="2" fontId="0" fillId="7" borderId="0" xfId="0" applyNumberFormat="1" applyFill="1"/>
    <xf numFmtId="2" fontId="3" fillId="7" borderId="0" xfId="0" applyNumberFormat="1" applyFont="1" applyFill="1"/>
    <xf numFmtId="1" fontId="0" fillId="7" borderId="0" xfId="0" applyNumberFormat="1" applyFill="1"/>
    <xf numFmtId="168" fontId="0" fillId="8" borderId="0" xfId="0" applyNumberFormat="1" applyFill="1"/>
    <xf numFmtId="2" fontId="0" fillId="8" borderId="0" xfId="0" applyNumberFormat="1" applyFill="1"/>
    <xf numFmtId="1" fontId="0" fillId="8" borderId="0" xfId="0" applyNumberFormat="1" applyFill="1"/>
    <xf numFmtId="9" fontId="1" fillId="6" borderId="0" xfId="1" applyFont="1" applyFill="1"/>
    <xf numFmtId="170" fontId="0" fillId="6" borderId="0" xfId="0" applyNumberFormat="1" applyFill="1"/>
    <xf numFmtId="171" fontId="0" fillId="6" borderId="0" xfId="0" applyNumberFormat="1" applyFill="1"/>
    <xf numFmtId="172" fontId="0" fillId="6" borderId="0" xfId="0" applyNumberFormat="1" applyFill="1"/>
    <xf numFmtId="9" fontId="0" fillId="6" borderId="0" xfId="0" applyNumberFormat="1" applyFill="1"/>
    <xf numFmtId="10" fontId="0" fillId="6" borderId="0" xfId="1" applyNumberFormat="1" applyFont="1" applyFill="1"/>
    <xf numFmtId="165" fontId="0" fillId="4" borderId="0" xfId="0" applyNumberFormat="1" applyFill="1" applyBorder="1"/>
    <xf numFmtId="0" fontId="1" fillId="0" borderId="0" xfId="0" applyFont="1"/>
    <xf numFmtId="14" fontId="0" fillId="0" borderId="0" xfId="0" applyNumberFormat="1"/>
    <xf numFmtId="14" fontId="0" fillId="7" borderId="0" xfId="0" applyNumberFormat="1" applyFill="1"/>
    <xf numFmtId="14" fontId="3" fillId="7" borderId="0" xfId="0" applyNumberFormat="1" applyFont="1" applyFill="1"/>
    <xf numFmtId="14" fontId="3" fillId="0" borderId="0" xfId="0" applyNumberFormat="1" applyFont="1"/>
    <xf numFmtId="0" fontId="3" fillId="0" borderId="0" xfId="0" applyFont="1"/>
    <xf numFmtId="10" fontId="0" fillId="7" borderId="0" xfId="1" applyNumberFormat="1" applyFont="1" applyFill="1"/>
    <xf numFmtId="14" fontId="1" fillId="7" borderId="0" xfId="0" applyNumberFormat="1" applyFont="1" applyFill="1"/>
    <xf numFmtId="2" fontId="1" fillId="7" borderId="0" xfId="0" applyNumberFormat="1" applyFont="1" applyFill="1"/>
    <xf numFmtId="4" fontId="0" fillId="6" borderId="0" xfId="0" applyNumberFormat="1" applyFill="1"/>
    <xf numFmtId="168" fontId="1" fillId="8" borderId="0" xfId="0" applyNumberFormat="1" applyFont="1" applyFill="1"/>
    <xf numFmtId="173" fontId="0" fillId="6" borderId="0" xfId="1" applyNumberFormat="1" applyFont="1" applyFill="1"/>
    <xf numFmtId="173" fontId="0" fillId="8" borderId="0" xfId="1" applyNumberFormat="1" applyFont="1" applyFill="1"/>
    <xf numFmtId="9" fontId="1" fillId="6" borderId="0" xfId="0" applyNumberFormat="1" applyFont="1" applyFill="1"/>
    <xf numFmtId="10" fontId="0" fillId="0" borderId="0" xfId="1" applyNumberFormat="1" applyFont="1"/>
    <xf numFmtId="11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74" fontId="0" fillId="0" borderId="0" xfId="2" applyNumberFormat="1" applyFont="1"/>
    <xf numFmtId="174" fontId="0" fillId="0" borderId="0" xfId="0" applyNumberFormat="1"/>
    <xf numFmtId="2" fontId="0" fillId="6" borderId="0" xfId="0" applyNumberFormat="1" applyFill="1"/>
    <xf numFmtId="167" fontId="0" fillId="6" borderId="0" xfId="0" applyNumberFormat="1" applyFill="1"/>
    <xf numFmtId="175" fontId="0" fillId="0" borderId="0" xfId="0" applyNumberFormat="1"/>
    <xf numFmtId="176" fontId="0" fillId="0" borderId="0" xfId="0" applyNumberFormat="1"/>
    <xf numFmtId="166" fontId="0" fillId="4" borderId="4" xfId="0" applyNumberFormat="1" applyFill="1" applyBorder="1"/>
    <xf numFmtId="166" fontId="0" fillId="4" borderId="2" xfId="0" applyNumberFormat="1" applyFill="1" applyBorder="1"/>
    <xf numFmtId="166" fontId="0" fillId="4" borderId="3" xfId="0" applyNumberFormat="1" applyFill="1" applyBorder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2" fontId="1" fillId="5" borderId="0" xfId="0" applyNumberFormat="1" applyFont="1" applyFill="1"/>
    <xf numFmtId="177" fontId="0" fillId="0" borderId="0" xfId="1" applyNumberFormat="1" applyFont="1"/>
    <xf numFmtId="168" fontId="0" fillId="6" borderId="0" xfId="1" applyNumberFormat="1" applyFon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FF99FF"/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0</xdr:row>
          <xdr:rowOff>76200</xdr:rowOff>
        </xdr:from>
        <xdr:to>
          <xdr:col>14</xdr:col>
          <xdr:colOff>190500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9"/>
  <sheetViews>
    <sheetView workbookViewId="0">
      <selection activeCell="F41" sqref="F41"/>
    </sheetView>
  </sheetViews>
  <sheetFormatPr defaultRowHeight="12.75" x14ac:dyDescent="0.2"/>
  <cols>
    <col min="1" max="1" width="18.5703125" customWidth="1"/>
    <col min="2" max="2" width="10" customWidth="1"/>
    <col min="3" max="3" width="10.85546875" bestFit="1" customWidth="1"/>
    <col min="4" max="4" width="12.42578125" bestFit="1" customWidth="1"/>
    <col min="19" max="19" width="10.140625" bestFit="1" customWidth="1"/>
  </cols>
  <sheetData>
    <row r="1" spans="1:19" x14ac:dyDescent="0.2">
      <c r="A1" s="2" t="s">
        <v>1</v>
      </c>
      <c r="B1" s="5">
        <v>20000</v>
      </c>
      <c r="C1" s="1"/>
    </row>
    <row r="2" spans="1:19" x14ac:dyDescent="0.2">
      <c r="A2" s="2" t="s">
        <v>2</v>
      </c>
      <c r="B2" s="5">
        <v>500</v>
      </c>
      <c r="C2" s="1"/>
    </row>
    <row r="3" spans="1:19" x14ac:dyDescent="0.2">
      <c r="A3" s="4" t="s">
        <v>3</v>
      </c>
      <c r="B3" s="5">
        <v>55</v>
      </c>
      <c r="C3" s="1"/>
    </row>
    <row r="4" spans="1:19" x14ac:dyDescent="0.2">
      <c r="A4" s="4" t="s">
        <v>9</v>
      </c>
      <c r="B4" s="6">
        <v>1.25</v>
      </c>
      <c r="C4" s="1"/>
      <c r="S4" s="54"/>
    </row>
    <row r="5" spans="1:19" x14ac:dyDescent="0.2">
      <c r="A5" s="4" t="s">
        <v>12</v>
      </c>
      <c r="B5" s="6">
        <v>252</v>
      </c>
      <c r="C5" s="1"/>
      <c r="S5" s="54"/>
    </row>
    <row r="6" spans="1:19" x14ac:dyDescent="0.2">
      <c r="A6" s="4" t="s">
        <v>10</v>
      </c>
      <c r="B6" s="6">
        <f>1/B5</f>
        <v>3.968253968253968E-3</v>
      </c>
      <c r="C6" s="1"/>
      <c r="S6" s="54"/>
    </row>
    <row r="7" spans="1:19" x14ac:dyDescent="0.2">
      <c r="A7" s="23" t="s">
        <v>15</v>
      </c>
      <c r="B7" s="77">
        <v>0.91938271215786438</v>
      </c>
      <c r="C7" s="8">
        <v>1.0059567170406882</v>
      </c>
      <c r="D7" s="8">
        <v>0.99837343432941239</v>
      </c>
      <c r="E7" s="52">
        <v>1</v>
      </c>
      <c r="F7">
        <v>0.9601552074145524</v>
      </c>
      <c r="G7" s="53" t="s">
        <v>28</v>
      </c>
      <c r="S7" s="54"/>
    </row>
    <row r="8" spans="1:19" x14ac:dyDescent="0.2">
      <c r="A8" s="21" t="s">
        <v>16</v>
      </c>
      <c r="B8" s="78">
        <v>0.10471781610741841</v>
      </c>
      <c r="C8" s="9">
        <v>0.13598905983407084</v>
      </c>
      <c r="D8" s="9">
        <v>0.12845604139027564</v>
      </c>
      <c r="E8">
        <v>2</v>
      </c>
      <c r="F8">
        <v>4.7506057000547684E-2</v>
      </c>
      <c r="G8" s="53" t="s">
        <v>29</v>
      </c>
      <c r="S8" s="54"/>
    </row>
    <row r="9" spans="1:19" x14ac:dyDescent="0.2">
      <c r="A9" s="20" t="s">
        <v>11</v>
      </c>
      <c r="B9" s="78">
        <v>-0.6608705975633129</v>
      </c>
      <c r="C9" s="9">
        <v>-0.64015645735570592</v>
      </c>
      <c r="D9" s="9">
        <v>-0.67642568849557494</v>
      </c>
      <c r="E9" s="52">
        <v>3</v>
      </c>
      <c r="F9">
        <v>0.81658810566746853</v>
      </c>
      <c r="G9" s="53" t="s">
        <v>30</v>
      </c>
      <c r="S9" s="54"/>
    </row>
    <row r="10" spans="1:19" x14ac:dyDescent="0.2">
      <c r="A10" s="20" t="s">
        <v>17</v>
      </c>
      <c r="B10" s="78">
        <v>0.84234475742738379</v>
      </c>
      <c r="C10" s="9">
        <v>0.6107733452189561</v>
      </c>
      <c r="D10" s="9">
        <v>0.75661010592088929</v>
      </c>
      <c r="E10" s="52">
        <v>4</v>
      </c>
      <c r="F10">
        <v>-0.67322565695257697</v>
      </c>
      <c r="G10" s="53" t="s">
        <v>31</v>
      </c>
      <c r="S10" s="54"/>
    </row>
    <row r="11" spans="1:19" x14ac:dyDescent="0.2">
      <c r="A11" s="22" t="s">
        <v>8</v>
      </c>
      <c r="B11" s="79">
        <v>4.6259358845342581E-2</v>
      </c>
      <c r="C11" s="10">
        <v>7.6083680905406431E-2</v>
      </c>
      <c r="D11" s="10">
        <v>6.0188468988908839E-2</v>
      </c>
      <c r="E11" s="52">
        <v>5</v>
      </c>
      <c r="F11">
        <v>1.0609759134396032E-2</v>
      </c>
      <c r="G11" s="53" t="s">
        <v>32</v>
      </c>
      <c r="S11" s="54"/>
    </row>
    <row r="12" spans="1:19" x14ac:dyDescent="0.2">
      <c r="A12" s="3" t="s">
        <v>7</v>
      </c>
      <c r="B12" s="7">
        <v>1562.5</v>
      </c>
      <c r="C12" s="1"/>
      <c r="E12" s="52">
        <v>6</v>
      </c>
      <c r="F12">
        <v>0.91227969414441257</v>
      </c>
      <c r="S12" s="54"/>
    </row>
    <row r="13" spans="1:19" x14ac:dyDescent="0.2">
      <c r="A13" s="24" t="s">
        <v>18</v>
      </c>
      <c r="B13" s="27">
        <v>0.8359237407646104</v>
      </c>
      <c r="C13" s="27">
        <v>0</v>
      </c>
      <c r="D13" s="27">
        <v>0.48857038394393326</v>
      </c>
      <c r="E13" s="52">
        <v>7</v>
      </c>
      <c r="F13">
        <v>-4.2057073544729873E-2</v>
      </c>
      <c r="S13" s="54"/>
    </row>
    <row r="14" spans="1:19" x14ac:dyDescent="0.2">
      <c r="A14" s="25" t="s">
        <v>19</v>
      </c>
      <c r="B14" s="28">
        <v>-3.5002965178129418E-2</v>
      </c>
      <c r="C14" s="28">
        <v>0</v>
      </c>
      <c r="D14" s="28">
        <v>-3.7024791705835496E-2</v>
      </c>
      <c r="E14" s="52">
        <v>8</v>
      </c>
      <c r="F14">
        <v>9.4998673239724107E-2</v>
      </c>
      <c r="S14" s="54"/>
    </row>
    <row r="15" spans="1:19" x14ac:dyDescent="0.2">
      <c r="A15" s="26" t="s">
        <v>20</v>
      </c>
      <c r="B15" s="30">
        <v>9.6914389548414429E-2</v>
      </c>
      <c r="C15" s="30">
        <v>0</v>
      </c>
      <c r="D15" s="30">
        <v>0.1105992007414925</v>
      </c>
      <c r="S15" s="54"/>
    </row>
    <row r="16" spans="1:19" x14ac:dyDescent="0.2">
      <c r="S16" s="54"/>
    </row>
    <row r="17" spans="19:19" x14ac:dyDescent="0.2">
      <c r="S17" s="54"/>
    </row>
    <row r="18" spans="19:19" x14ac:dyDescent="0.2">
      <c r="S18" s="54"/>
    </row>
    <row r="19" spans="19:19" x14ac:dyDescent="0.2">
      <c r="S19" s="54"/>
    </row>
    <row r="20" spans="19:19" x14ac:dyDescent="0.2">
      <c r="S20" s="54"/>
    </row>
    <row r="21" spans="19:19" x14ac:dyDescent="0.2">
      <c r="S21" s="54"/>
    </row>
    <row r="22" spans="19:19" x14ac:dyDescent="0.2">
      <c r="S22" s="54"/>
    </row>
    <row r="23" spans="19:19" x14ac:dyDescent="0.2">
      <c r="S23" s="54"/>
    </row>
    <row r="24" spans="19:19" x14ac:dyDescent="0.2">
      <c r="S24" s="54"/>
    </row>
    <row r="25" spans="19:19" x14ac:dyDescent="0.2">
      <c r="S25" s="54"/>
    </row>
    <row r="26" spans="19:19" x14ac:dyDescent="0.2">
      <c r="S26" s="54"/>
    </row>
    <row r="27" spans="19:19" x14ac:dyDescent="0.2">
      <c r="S27" s="54"/>
    </row>
    <row r="28" spans="19:19" x14ac:dyDescent="0.2">
      <c r="S28" s="54"/>
    </row>
    <row r="29" spans="19:19" x14ac:dyDescent="0.2">
      <c r="S29" s="54"/>
    </row>
    <row r="30" spans="19:19" x14ac:dyDescent="0.2">
      <c r="S30" s="54"/>
    </row>
    <row r="31" spans="19:19" x14ac:dyDescent="0.2">
      <c r="S31" s="54"/>
    </row>
    <row r="32" spans="19:19" x14ac:dyDescent="0.2">
      <c r="S32" s="54"/>
    </row>
    <row r="33" spans="19:19" x14ac:dyDescent="0.2">
      <c r="S33" s="54"/>
    </row>
    <row r="34" spans="19:19" x14ac:dyDescent="0.2">
      <c r="S34" s="54"/>
    </row>
    <row r="35" spans="19:19" x14ac:dyDescent="0.2">
      <c r="S35" s="54"/>
    </row>
    <row r="36" spans="19:19" x14ac:dyDescent="0.2">
      <c r="S36" s="54"/>
    </row>
    <row r="37" spans="19:19" x14ac:dyDescent="0.2">
      <c r="S37" s="54"/>
    </row>
    <row r="38" spans="19:19" x14ac:dyDescent="0.2">
      <c r="S38" s="54"/>
    </row>
    <row r="39" spans="19:19" x14ac:dyDescent="0.2">
      <c r="S39" s="54"/>
    </row>
    <row r="40" spans="19:19" x14ac:dyDescent="0.2">
      <c r="S40" s="54"/>
    </row>
    <row r="41" spans="19:19" x14ac:dyDescent="0.2">
      <c r="S41" s="54"/>
    </row>
    <row r="42" spans="19:19" x14ac:dyDescent="0.2">
      <c r="S42" s="54"/>
    </row>
    <row r="43" spans="19:19" x14ac:dyDescent="0.2">
      <c r="S43" s="54"/>
    </row>
    <row r="44" spans="19:19" x14ac:dyDescent="0.2">
      <c r="S44" s="54"/>
    </row>
    <row r="45" spans="19:19" x14ac:dyDescent="0.2">
      <c r="S45" s="54"/>
    </row>
    <row r="46" spans="19:19" x14ac:dyDescent="0.2">
      <c r="S46" s="54"/>
    </row>
    <row r="47" spans="19:19" x14ac:dyDescent="0.2">
      <c r="S47" s="54"/>
    </row>
    <row r="48" spans="19:19" x14ac:dyDescent="0.2">
      <c r="S48" s="54"/>
    </row>
    <row r="49" spans="19:19" x14ac:dyDescent="0.2">
      <c r="S49" s="54"/>
    </row>
    <row r="50" spans="19:19" x14ac:dyDescent="0.2">
      <c r="S50" s="54"/>
    </row>
    <row r="51" spans="19:19" x14ac:dyDescent="0.2">
      <c r="S51" s="54"/>
    </row>
    <row r="52" spans="19:19" x14ac:dyDescent="0.2">
      <c r="S52" s="54"/>
    </row>
    <row r="53" spans="19:19" x14ac:dyDescent="0.2">
      <c r="S53" s="54"/>
    </row>
    <row r="54" spans="19:19" x14ac:dyDescent="0.2">
      <c r="S54" s="54"/>
    </row>
    <row r="55" spans="19:19" x14ac:dyDescent="0.2">
      <c r="S55" s="54"/>
    </row>
    <row r="56" spans="19:19" x14ac:dyDescent="0.2">
      <c r="S56" s="54"/>
    </row>
    <row r="57" spans="19:19" x14ac:dyDescent="0.2">
      <c r="S57" s="54"/>
    </row>
    <row r="58" spans="19:19" x14ac:dyDescent="0.2">
      <c r="S58" s="54"/>
    </row>
    <row r="59" spans="19:19" x14ac:dyDescent="0.2">
      <c r="S59" s="54"/>
    </row>
    <row r="60" spans="19:19" x14ac:dyDescent="0.2">
      <c r="S60" s="54"/>
    </row>
    <row r="61" spans="19:19" x14ac:dyDescent="0.2">
      <c r="S61" s="54"/>
    </row>
    <row r="62" spans="19:19" x14ac:dyDescent="0.2">
      <c r="S62" s="54"/>
    </row>
    <row r="63" spans="19:19" x14ac:dyDescent="0.2">
      <c r="S63" s="54"/>
    </row>
    <row r="64" spans="19:19" x14ac:dyDescent="0.2">
      <c r="S64" s="54"/>
    </row>
    <row r="65" spans="19:19" x14ac:dyDescent="0.2">
      <c r="S65" s="54"/>
    </row>
    <row r="66" spans="19:19" x14ac:dyDescent="0.2">
      <c r="S66" s="54"/>
    </row>
    <row r="67" spans="19:19" x14ac:dyDescent="0.2">
      <c r="S67" s="54"/>
    </row>
    <row r="68" spans="19:19" x14ac:dyDescent="0.2">
      <c r="S68" s="54"/>
    </row>
    <row r="69" spans="19:19" x14ac:dyDescent="0.2">
      <c r="S69" s="54"/>
    </row>
    <row r="70" spans="19:19" x14ac:dyDescent="0.2">
      <c r="S70" s="54"/>
    </row>
    <row r="71" spans="19:19" x14ac:dyDescent="0.2">
      <c r="S71" s="54"/>
    </row>
    <row r="72" spans="19:19" x14ac:dyDescent="0.2">
      <c r="S72" s="54"/>
    </row>
    <row r="73" spans="19:19" x14ac:dyDescent="0.2">
      <c r="S73" s="54"/>
    </row>
    <row r="74" spans="19:19" x14ac:dyDescent="0.2">
      <c r="S74" s="54"/>
    </row>
    <row r="75" spans="19:19" x14ac:dyDescent="0.2">
      <c r="S75" s="54"/>
    </row>
    <row r="76" spans="19:19" x14ac:dyDescent="0.2">
      <c r="S76" s="54"/>
    </row>
    <row r="77" spans="19:19" x14ac:dyDescent="0.2">
      <c r="S77" s="54"/>
    </row>
    <row r="78" spans="19:19" x14ac:dyDescent="0.2">
      <c r="S78" s="54"/>
    </row>
    <row r="79" spans="19:19" x14ac:dyDescent="0.2">
      <c r="S79" s="54"/>
    </row>
    <row r="80" spans="19:19" x14ac:dyDescent="0.2">
      <c r="S80" s="54"/>
    </row>
    <row r="81" spans="19:19" x14ac:dyDescent="0.2">
      <c r="S81" s="54"/>
    </row>
    <row r="82" spans="19:19" x14ac:dyDescent="0.2">
      <c r="S82" s="54"/>
    </row>
    <row r="83" spans="19:19" x14ac:dyDescent="0.2">
      <c r="S83" s="54"/>
    </row>
    <row r="84" spans="19:19" x14ac:dyDescent="0.2">
      <c r="S84" s="54"/>
    </row>
    <row r="85" spans="19:19" x14ac:dyDescent="0.2">
      <c r="S85" s="54"/>
    </row>
    <row r="86" spans="19:19" x14ac:dyDescent="0.2">
      <c r="S86" s="54"/>
    </row>
    <row r="87" spans="19:19" x14ac:dyDescent="0.2">
      <c r="S87" s="54"/>
    </row>
    <row r="88" spans="19:19" x14ac:dyDescent="0.2">
      <c r="S88" s="54"/>
    </row>
    <row r="89" spans="19:19" x14ac:dyDescent="0.2">
      <c r="S89" s="54"/>
    </row>
    <row r="90" spans="19:19" x14ac:dyDescent="0.2">
      <c r="S90" s="54"/>
    </row>
    <row r="91" spans="19:19" x14ac:dyDescent="0.2">
      <c r="S91" s="54"/>
    </row>
    <row r="92" spans="19:19" x14ac:dyDescent="0.2">
      <c r="S92" s="54"/>
    </row>
    <row r="93" spans="19:19" x14ac:dyDescent="0.2">
      <c r="S93" s="54"/>
    </row>
    <row r="94" spans="19:19" x14ac:dyDescent="0.2">
      <c r="S94" s="54"/>
    </row>
    <row r="95" spans="19:19" x14ac:dyDescent="0.2">
      <c r="S95" s="54"/>
    </row>
    <row r="96" spans="19:19" x14ac:dyDescent="0.2">
      <c r="S96" s="54"/>
    </row>
    <row r="97" spans="19:19" x14ac:dyDescent="0.2">
      <c r="S97" s="54"/>
    </row>
    <row r="98" spans="19:19" x14ac:dyDescent="0.2">
      <c r="S98" s="54"/>
    </row>
    <row r="99" spans="19:19" x14ac:dyDescent="0.2">
      <c r="S99" s="54"/>
    </row>
    <row r="100" spans="19:19" x14ac:dyDescent="0.2">
      <c r="S100" s="54"/>
    </row>
    <row r="101" spans="19:19" x14ac:dyDescent="0.2">
      <c r="S101" s="54"/>
    </row>
    <row r="102" spans="19:19" x14ac:dyDescent="0.2">
      <c r="S102" s="54"/>
    </row>
    <row r="103" spans="19:19" x14ac:dyDescent="0.2">
      <c r="S103" s="54"/>
    </row>
    <row r="104" spans="19:19" x14ac:dyDescent="0.2">
      <c r="S104" s="54"/>
    </row>
    <row r="105" spans="19:19" x14ac:dyDescent="0.2">
      <c r="S105" s="54"/>
    </row>
    <row r="106" spans="19:19" x14ac:dyDescent="0.2">
      <c r="S106" s="54"/>
    </row>
    <row r="107" spans="19:19" x14ac:dyDescent="0.2">
      <c r="S107" s="54"/>
    </row>
    <row r="108" spans="19:19" x14ac:dyDescent="0.2">
      <c r="S108" s="54"/>
    </row>
    <row r="109" spans="19:19" x14ac:dyDescent="0.2">
      <c r="S109" s="54"/>
    </row>
    <row r="110" spans="19:19" x14ac:dyDescent="0.2">
      <c r="S110" s="54"/>
    </row>
    <row r="111" spans="19:19" x14ac:dyDescent="0.2">
      <c r="S111" s="54"/>
    </row>
    <row r="112" spans="19:19" x14ac:dyDescent="0.2">
      <c r="S112" s="54"/>
    </row>
    <row r="113" spans="19:19" x14ac:dyDescent="0.2">
      <c r="S113" s="54"/>
    </row>
    <row r="114" spans="19:19" x14ac:dyDescent="0.2">
      <c r="S114" s="54"/>
    </row>
    <row r="115" spans="19:19" x14ac:dyDescent="0.2">
      <c r="S115" s="54"/>
    </row>
    <row r="116" spans="19:19" x14ac:dyDescent="0.2">
      <c r="S116" s="54"/>
    </row>
    <row r="117" spans="19:19" x14ac:dyDescent="0.2">
      <c r="S117" s="54"/>
    </row>
    <row r="118" spans="19:19" x14ac:dyDescent="0.2">
      <c r="S118" s="54"/>
    </row>
    <row r="119" spans="19:19" x14ac:dyDescent="0.2">
      <c r="S119" s="54"/>
    </row>
    <row r="120" spans="19:19" x14ac:dyDescent="0.2">
      <c r="S120" s="54"/>
    </row>
    <row r="121" spans="19:19" x14ac:dyDescent="0.2">
      <c r="S121" s="54"/>
    </row>
    <row r="122" spans="19:19" x14ac:dyDescent="0.2">
      <c r="S122" s="54"/>
    </row>
    <row r="123" spans="19:19" x14ac:dyDescent="0.2">
      <c r="S123" s="54"/>
    </row>
    <row r="124" spans="19:19" x14ac:dyDescent="0.2">
      <c r="S124" s="54"/>
    </row>
    <row r="125" spans="19:19" x14ac:dyDescent="0.2">
      <c r="S125" s="54"/>
    </row>
    <row r="126" spans="19:19" x14ac:dyDescent="0.2">
      <c r="S126" s="54"/>
    </row>
    <row r="127" spans="19:19" x14ac:dyDescent="0.2">
      <c r="S127" s="54"/>
    </row>
    <row r="128" spans="19:19" x14ac:dyDescent="0.2">
      <c r="S128" s="54"/>
    </row>
    <row r="129" spans="19:19" x14ac:dyDescent="0.2">
      <c r="S129" s="54"/>
    </row>
    <row r="130" spans="19:19" x14ac:dyDescent="0.2">
      <c r="S130" s="54"/>
    </row>
    <row r="131" spans="19:19" x14ac:dyDescent="0.2">
      <c r="S131" s="54"/>
    </row>
    <row r="132" spans="19:19" x14ac:dyDescent="0.2">
      <c r="S132" s="54"/>
    </row>
    <row r="133" spans="19:19" x14ac:dyDescent="0.2">
      <c r="S133" s="54"/>
    </row>
    <row r="134" spans="19:19" x14ac:dyDescent="0.2">
      <c r="S134" s="54"/>
    </row>
    <row r="135" spans="19:19" x14ac:dyDescent="0.2">
      <c r="S135" s="54"/>
    </row>
    <row r="136" spans="19:19" x14ac:dyDescent="0.2">
      <c r="S136" s="54"/>
    </row>
    <row r="137" spans="19:19" x14ac:dyDescent="0.2">
      <c r="S137" s="54"/>
    </row>
    <row r="138" spans="19:19" x14ac:dyDescent="0.2">
      <c r="S138" s="54"/>
    </row>
    <row r="139" spans="19:19" x14ac:dyDescent="0.2">
      <c r="S139" s="54"/>
    </row>
    <row r="140" spans="19:19" x14ac:dyDescent="0.2">
      <c r="S140" s="54"/>
    </row>
    <row r="141" spans="19:19" x14ac:dyDescent="0.2">
      <c r="S141" s="54"/>
    </row>
    <row r="142" spans="19:19" x14ac:dyDescent="0.2">
      <c r="S142" s="54"/>
    </row>
    <row r="143" spans="19:19" x14ac:dyDescent="0.2">
      <c r="S143" s="54"/>
    </row>
    <row r="144" spans="19:19" x14ac:dyDescent="0.2">
      <c r="S144" s="54"/>
    </row>
    <row r="145" spans="19:19" x14ac:dyDescent="0.2">
      <c r="S145" s="54"/>
    </row>
    <row r="146" spans="19:19" x14ac:dyDescent="0.2">
      <c r="S146" s="54"/>
    </row>
    <row r="147" spans="19:19" x14ac:dyDescent="0.2">
      <c r="S147" s="54"/>
    </row>
    <row r="148" spans="19:19" x14ac:dyDescent="0.2">
      <c r="S148" s="54"/>
    </row>
    <row r="149" spans="19:19" x14ac:dyDescent="0.2">
      <c r="S149" s="54"/>
    </row>
    <row r="150" spans="19:19" x14ac:dyDescent="0.2">
      <c r="S150" s="54"/>
    </row>
    <row r="151" spans="19:19" x14ac:dyDescent="0.2">
      <c r="S151" s="54"/>
    </row>
    <row r="152" spans="19:19" x14ac:dyDescent="0.2">
      <c r="S152" s="54"/>
    </row>
    <row r="153" spans="19:19" x14ac:dyDescent="0.2">
      <c r="S153" s="54"/>
    </row>
    <row r="154" spans="19:19" x14ac:dyDescent="0.2">
      <c r="S154" s="54"/>
    </row>
    <row r="155" spans="19:19" x14ac:dyDescent="0.2">
      <c r="S155" s="54"/>
    </row>
    <row r="156" spans="19:19" x14ac:dyDescent="0.2">
      <c r="S156" s="54"/>
    </row>
    <row r="157" spans="19:19" x14ac:dyDescent="0.2">
      <c r="S157" s="54"/>
    </row>
    <row r="158" spans="19:19" x14ac:dyDescent="0.2">
      <c r="S158" s="54"/>
    </row>
    <row r="159" spans="19:19" x14ac:dyDescent="0.2">
      <c r="S159" s="54"/>
    </row>
    <row r="160" spans="19:19" x14ac:dyDescent="0.2">
      <c r="S160" s="54"/>
    </row>
    <row r="161" spans="19:19" x14ac:dyDescent="0.2">
      <c r="S161" s="54"/>
    </row>
    <row r="162" spans="19:19" x14ac:dyDescent="0.2">
      <c r="S162" s="54"/>
    </row>
    <row r="163" spans="19:19" x14ac:dyDescent="0.2">
      <c r="S163" s="54"/>
    </row>
    <row r="164" spans="19:19" x14ac:dyDescent="0.2">
      <c r="S164" s="54"/>
    </row>
    <row r="165" spans="19:19" x14ac:dyDescent="0.2">
      <c r="S165" s="54"/>
    </row>
    <row r="166" spans="19:19" x14ac:dyDescent="0.2">
      <c r="S166" s="54"/>
    </row>
    <row r="167" spans="19:19" x14ac:dyDescent="0.2">
      <c r="S167" s="54"/>
    </row>
    <row r="168" spans="19:19" x14ac:dyDescent="0.2">
      <c r="S168" s="54"/>
    </row>
    <row r="169" spans="19:19" x14ac:dyDescent="0.2">
      <c r="S169" s="54"/>
    </row>
    <row r="170" spans="19:19" x14ac:dyDescent="0.2">
      <c r="S170" s="54"/>
    </row>
    <row r="171" spans="19:19" x14ac:dyDescent="0.2">
      <c r="S171" s="54"/>
    </row>
    <row r="172" spans="19:19" x14ac:dyDescent="0.2">
      <c r="S172" s="54"/>
    </row>
    <row r="173" spans="19:19" x14ac:dyDescent="0.2">
      <c r="S173" s="54"/>
    </row>
    <row r="174" spans="19:19" x14ac:dyDescent="0.2">
      <c r="S174" s="54"/>
    </row>
    <row r="175" spans="19:19" x14ac:dyDescent="0.2">
      <c r="S175" s="54"/>
    </row>
    <row r="176" spans="19:19" x14ac:dyDescent="0.2">
      <c r="S176" s="54"/>
    </row>
    <row r="177" spans="19:19" x14ac:dyDescent="0.2">
      <c r="S177" s="54"/>
    </row>
    <row r="178" spans="19:19" x14ac:dyDescent="0.2">
      <c r="S178" s="54"/>
    </row>
    <row r="179" spans="19:19" x14ac:dyDescent="0.2">
      <c r="S179" s="54"/>
    </row>
    <row r="180" spans="19:19" x14ac:dyDescent="0.2">
      <c r="S180" s="54"/>
    </row>
    <row r="181" spans="19:19" x14ac:dyDescent="0.2">
      <c r="S181" s="54"/>
    </row>
    <row r="182" spans="19:19" x14ac:dyDescent="0.2">
      <c r="S182" s="54"/>
    </row>
    <row r="183" spans="19:19" x14ac:dyDescent="0.2">
      <c r="S183" s="54"/>
    </row>
    <row r="184" spans="19:19" x14ac:dyDescent="0.2">
      <c r="S184" s="54"/>
    </row>
    <row r="185" spans="19:19" x14ac:dyDescent="0.2">
      <c r="S185" s="54"/>
    </row>
    <row r="186" spans="19:19" x14ac:dyDescent="0.2">
      <c r="S186" s="54"/>
    </row>
    <row r="187" spans="19:19" x14ac:dyDescent="0.2">
      <c r="S187" s="54"/>
    </row>
    <row r="188" spans="19:19" x14ac:dyDescent="0.2">
      <c r="S188" s="54"/>
    </row>
    <row r="189" spans="19:19" x14ac:dyDescent="0.2">
      <c r="S189" s="54"/>
    </row>
    <row r="190" spans="19:19" x14ac:dyDescent="0.2">
      <c r="S190" s="54"/>
    </row>
    <row r="191" spans="19:19" x14ac:dyDescent="0.2">
      <c r="S191" s="54"/>
    </row>
    <row r="192" spans="19:19" x14ac:dyDescent="0.2">
      <c r="S192" s="54"/>
    </row>
    <row r="193" spans="19:19" x14ac:dyDescent="0.2">
      <c r="S193" s="54"/>
    </row>
    <row r="194" spans="19:19" x14ac:dyDescent="0.2">
      <c r="S194" s="54"/>
    </row>
    <row r="195" spans="19:19" x14ac:dyDescent="0.2">
      <c r="S195" s="54"/>
    </row>
    <row r="196" spans="19:19" x14ac:dyDescent="0.2">
      <c r="S196" s="54"/>
    </row>
    <row r="197" spans="19:19" x14ac:dyDescent="0.2">
      <c r="S197" s="54"/>
    </row>
    <row r="198" spans="19:19" x14ac:dyDescent="0.2">
      <c r="S198" s="54"/>
    </row>
    <row r="199" spans="19:19" x14ac:dyDescent="0.2">
      <c r="S199" s="54"/>
    </row>
    <row r="200" spans="19:19" x14ac:dyDescent="0.2">
      <c r="S200" s="54"/>
    </row>
    <row r="201" spans="19:19" x14ac:dyDescent="0.2">
      <c r="S201" s="54"/>
    </row>
    <row r="202" spans="19:19" x14ac:dyDescent="0.2">
      <c r="S202" s="54"/>
    </row>
    <row r="203" spans="19:19" x14ac:dyDescent="0.2">
      <c r="S203" s="54"/>
    </row>
    <row r="204" spans="19:19" x14ac:dyDescent="0.2">
      <c r="S204" s="54"/>
    </row>
    <row r="205" spans="19:19" x14ac:dyDescent="0.2">
      <c r="S205" s="54"/>
    </row>
    <row r="206" spans="19:19" x14ac:dyDescent="0.2">
      <c r="S206" s="54"/>
    </row>
    <row r="207" spans="19:19" x14ac:dyDescent="0.2">
      <c r="S207" s="54"/>
    </row>
    <row r="208" spans="19:19" x14ac:dyDescent="0.2">
      <c r="S208" s="54"/>
    </row>
    <row r="209" spans="19:19" x14ac:dyDescent="0.2">
      <c r="S209" s="54"/>
    </row>
    <row r="210" spans="19:19" x14ac:dyDescent="0.2">
      <c r="S210" s="54"/>
    </row>
    <row r="211" spans="19:19" x14ac:dyDescent="0.2">
      <c r="S211" s="54"/>
    </row>
    <row r="212" spans="19:19" x14ac:dyDescent="0.2">
      <c r="S212" s="54"/>
    </row>
    <row r="213" spans="19:19" x14ac:dyDescent="0.2">
      <c r="S213" s="54"/>
    </row>
    <row r="214" spans="19:19" x14ac:dyDescent="0.2">
      <c r="S214" s="54"/>
    </row>
    <row r="215" spans="19:19" x14ac:dyDescent="0.2">
      <c r="S215" s="54"/>
    </row>
    <row r="216" spans="19:19" x14ac:dyDescent="0.2">
      <c r="S216" s="54"/>
    </row>
    <row r="217" spans="19:19" x14ac:dyDescent="0.2">
      <c r="S217" s="54"/>
    </row>
    <row r="218" spans="19:19" x14ac:dyDescent="0.2">
      <c r="S218" s="54"/>
    </row>
    <row r="219" spans="19:19" x14ac:dyDescent="0.2">
      <c r="S219" s="54"/>
    </row>
    <row r="220" spans="19:19" x14ac:dyDescent="0.2">
      <c r="S220" s="54"/>
    </row>
    <row r="221" spans="19:19" x14ac:dyDescent="0.2">
      <c r="S221" s="54"/>
    </row>
    <row r="222" spans="19:19" x14ac:dyDescent="0.2">
      <c r="S222" s="54"/>
    </row>
    <row r="223" spans="19:19" x14ac:dyDescent="0.2">
      <c r="S223" s="54"/>
    </row>
    <row r="224" spans="19:19" x14ac:dyDescent="0.2">
      <c r="S224" s="54"/>
    </row>
    <row r="225" spans="19:19" x14ac:dyDescent="0.2">
      <c r="S225" s="54"/>
    </row>
    <row r="226" spans="19:19" x14ac:dyDescent="0.2">
      <c r="S226" s="54"/>
    </row>
    <row r="227" spans="19:19" x14ac:dyDescent="0.2">
      <c r="S227" s="54"/>
    </row>
    <row r="228" spans="19:19" x14ac:dyDescent="0.2">
      <c r="S228" s="54"/>
    </row>
    <row r="229" spans="19:19" x14ac:dyDescent="0.2">
      <c r="S229" s="54"/>
    </row>
    <row r="230" spans="19:19" x14ac:dyDescent="0.2">
      <c r="S230" s="54"/>
    </row>
    <row r="231" spans="19:19" x14ac:dyDescent="0.2">
      <c r="S231" s="54"/>
    </row>
    <row r="232" spans="19:19" x14ac:dyDescent="0.2">
      <c r="S232" s="54"/>
    </row>
    <row r="233" spans="19:19" x14ac:dyDescent="0.2">
      <c r="S233" s="54"/>
    </row>
    <row r="234" spans="19:19" x14ac:dyDescent="0.2">
      <c r="S234" s="54"/>
    </row>
    <row r="235" spans="19:19" x14ac:dyDescent="0.2">
      <c r="S235" s="54"/>
    </row>
    <row r="236" spans="19:19" x14ac:dyDescent="0.2">
      <c r="S236" s="54"/>
    </row>
    <row r="237" spans="19:19" x14ac:dyDescent="0.2">
      <c r="S237" s="54"/>
    </row>
    <row r="238" spans="19:19" x14ac:dyDescent="0.2">
      <c r="S238" s="54"/>
    </row>
    <row r="239" spans="19:19" x14ac:dyDescent="0.2">
      <c r="S239" s="54"/>
    </row>
    <row r="240" spans="19:19" x14ac:dyDescent="0.2">
      <c r="S240" s="54"/>
    </row>
    <row r="241" spans="19:19" x14ac:dyDescent="0.2">
      <c r="S241" s="54"/>
    </row>
    <row r="242" spans="19:19" x14ac:dyDescent="0.2">
      <c r="S242" s="54"/>
    </row>
    <row r="243" spans="19:19" x14ac:dyDescent="0.2">
      <c r="S243" s="54"/>
    </row>
    <row r="244" spans="19:19" x14ac:dyDescent="0.2">
      <c r="S244" s="54"/>
    </row>
    <row r="245" spans="19:19" x14ac:dyDescent="0.2">
      <c r="S245" s="54"/>
    </row>
    <row r="246" spans="19:19" x14ac:dyDescent="0.2">
      <c r="S246" s="54"/>
    </row>
    <row r="247" spans="19:19" x14ac:dyDescent="0.2">
      <c r="S247" s="54"/>
    </row>
    <row r="248" spans="19:19" x14ac:dyDescent="0.2">
      <c r="S248" s="54"/>
    </row>
    <row r="249" spans="19:19" x14ac:dyDescent="0.2">
      <c r="S249" s="54"/>
    </row>
    <row r="250" spans="19:19" x14ac:dyDescent="0.2">
      <c r="S250" s="54"/>
    </row>
    <row r="251" spans="19:19" x14ac:dyDescent="0.2">
      <c r="S251" s="54"/>
    </row>
    <row r="252" spans="19:19" x14ac:dyDescent="0.2">
      <c r="S252" s="54"/>
    </row>
    <row r="253" spans="19:19" x14ac:dyDescent="0.2">
      <c r="S253" s="54"/>
    </row>
    <row r="254" spans="19:19" x14ac:dyDescent="0.2">
      <c r="S254" s="54"/>
    </row>
    <row r="255" spans="19:19" x14ac:dyDescent="0.2">
      <c r="S255" s="54"/>
    </row>
    <row r="256" spans="19:19" x14ac:dyDescent="0.2">
      <c r="S256" s="54"/>
    </row>
    <row r="257" spans="19:19" x14ac:dyDescent="0.2">
      <c r="S257" s="54"/>
    </row>
    <row r="258" spans="19:19" x14ac:dyDescent="0.2">
      <c r="S258" s="54"/>
    </row>
    <row r="259" spans="19:19" x14ac:dyDescent="0.2">
      <c r="S259" s="54"/>
    </row>
    <row r="260" spans="19:19" x14ac:dyDescent="0.2">
      <c r="S260" s="54"/>
    </row>
    <row r="261" spans="19:19" x14ac:dyDescent="0.2">
      <c r="S261" s="54"/>
    </row>
    <row r="262" spans="19:19" x14ac:dyDescent="0.2">
      <c r="S262" s="54"/>
    </row>
    <row r="263" spans="19:19" x14ac:dyDescent="0.2">
      <c r="S263" s="54"/>
    </row>
    <row r="264" spans="19:19" x14ac:dyDescent="0.2">
      <c r="S264" s="54"/>
    </row>
    <row r="265" spans="19:19" x14ac:dyDescent="0.2">
      <c r="S265" s="54"/>
    </row>
    <row r="266" spans="19:19" x14ac:dyDescent="0.2">
      <c r="S266" s="54"/>
    </row>
    <row r="267" spans="19:19" x14ac:dyDescent="0.2">
      <c r="S267" s="54"/>
    </row>
    <row r="268" spans="19:19" x14ac:dyDescent="0.2">
      <c r="S268" s="54"/>
    </row>
    <row r="269" spans="19:19" x14ac:dyDescent="0.2">
      <c r="S269" s="54"/>
    </row>
    <row r="270" spans="19:19" x14ac:dyDescent="0.2">
      <c r="S270" s="54"/>
    </row>
    <row r="271" spans="19:19" x14ac:dyDescent="0.2">
      <c r="S271" s="54"/>
    </row>
    <row r="272" spans="19:19" x14ac:dyDescent="0.2">
      <c r="S272" s="54"/>
    </row>
    <row r="273" spans="19:19" x14ac:dyDescent="0.2">
      <c r="S273" s="54"/>
    </row>
    <row r="274" spans="19:19" x14ac:dyDescent="0.2">
      <c r="S274" s="54"/>
    </row>
    <row r="275" spans="19:19" x14ac:dyDescent="0.2">
      <c r="S275" s="54"/>
    </row>
    <row r="276" spans="19:19" x14ac:dyDescent="0.2">
      <c r="S276" s="54"/>
    </row>
    <row r="277" spans="19:19" x14ac:dyDescent="0.2">
      <c r="S277" s="54"/>
    </row>
    <row r="278" spans="19:19" x14ac:dyDescent="0.2">
      <c r="S278" s="54"/>
    </row>
    <row r="279" spans="19:19" x14ac:dyDescent="0.2">
      <c r="S279" s="54"/>
    </row>
    <row r="280" spans="19:19" x14ac:dyDescent="0.2">
      <c r="S280" s="54"/>
    </row>
    <row r="281" spans="19:19" x14ac:dyDescent="0.2">
      <c r="S281" s="54"/>
    </row>
    <row r="282" spans="19:19" x14ac:dyDescent="0.2">
      <c r="S282" s="54"/>
    </row>
    <row r="283" spans="19:19" x14ac:dyDescent="0.2">
      <c r="S283" s="54"/>
    </row>
    <row r="284" spans="19:19" x14ac:dyDescent="0.2">
      <c r="S284" s="54"/>
    </row>
    <row r="285" spans="19:19" x14ac:dyDescent="0.2">
      <c r="S285" s="54"/>
    </row>
    <row r="286" spans="19:19" x14ac:dyDescent="0.2">
      <c r="S286" s="54"/>
    </row>
    <row r="287" spans="19:19" x14ac:dyDescent="0.2">
      <c r="S287" s="54"/>
    </row>
    <row r="288" spans="19:19" x14ac:dyDescent="0.2">
      <c r="S288" s="54"/>
    </row>
    <row r="289" spans="19:19" x14ac:dyDescent="0.2">
      <c r="S289" s="54"/>
    </row>
    <row r="290" spans="19:19" x14ac:dyDescent="0.2">
      <c r="S290" s="54"/>
    </row>
    <row r="291" spans="19:19" x14ac:dyDescent="0.2">
      <c r="S291" s="54"/>
    </row>
    <row r="292" spans="19:19" x14ac:dyDescent="0.2">
      <c r="S292" s="54"/>
    </row>
    <row r="293" spans="19:19" x14ac:dyDescent="0.2">
      <c r="S293" s="54"/>
    </row>
    <row r="294" spans="19:19" x14ac:dyDescent="0.2">
      <c r="S294" s="54"/>
    </row>
    <row r="295" spans="19:19" x14ac:dyDescent="0.2">
      <c r="S295" s="54"/>
    </row>
    <row r="296" spans="19:19" x14ac:dyDescent="0.2">
      <c r="S296" s="54"/>
    </row>
    <row r="297" spans="19:19" x14ac:dyDescent="0.2">
      <c r="S297" s="54"/>
    </row>
    <row r="298" spans="19:19" x14ac:dyDescent="0.2">
      <c r="S298" s="54"/>
    </row>
    <row r="299" spans="19:19" x14ac:dyDescent="0.2">
      <c r="S299" s="54"/>
    </row>
    <row r="300" spans="19:19" x14ac:dyDescent="0.2">
      <c r="S300" s="54"/>
    </row>
    <row r="301" spans="19:19" x14ac:dyDescent="0.2">
      <c r="S301" s="54"/>
    </row>
    <row r="302" spans="19:19" x14ac:dyDescent="0.2">
      <c r="S302" s="54"/>
    </row>
    <row r="303" spans="19:19" x14ac:dyDescent="0.2">
      <c r="S303" s="54"/>
    </row>
    <row r="304" spans="19:19" x14ac:dyDescent="0.2">
      <c r="S304" s="54"/>
    </row>
    <row r="305" spans="19:19" x14ac:dyDescent="0.2">
      <c r="S305" s="54"/>
    </row>
    <row r="306" spans="19:19" x14ac:dyDescent="0.2">
      <c r="S306" s="54"/>
    </row>
    <row r="307" spans="19:19" x14ac:dyDescent="0.2">
      <c r="S307" s="54"/>
    </row>
    <row r="308" spans="19:19" x14ac:dyDescent="0.2">
      <c r="S308" s="54"/>
    </row>
    <row r="309" spans="19:19" x14ac:dyDescent="0.2">
      <c r="S309" s="54"/>
    </row>
    <row r="310" spans="19:19" x14ac:dyDescent="0.2">
      <c r="S310" s="54"/>
    </row>
    <row r="311" spans="19:19" x14ac:dyDescent="0.2">
      <c r="S311" s="54"/>
    </row>
    <row r="312" spans="19:19" x14ac:dyDescent="0.2">
      <c r="S312" s="54"/>
    </row>
    <row r="313" spans="19:19" x14ac:dyDescent="0.2">
      <c r="S313" s="54"/>
    </row>
    <row r="314" spans="19:19" x14ac:dyDescent="0.2">
      <c r="S314" s="54"/>
    </row>
    <row r="315" spans="19:19" x14ac:dyDescent="0.2">
      <c r="S315" s="54"/>
    </row>
    <row r="316" spans="19:19" x14ac:dyDescent="0.2">
      <c r="S316" s="54"/>
    </row>
    <row r="317" spans="19:19" x14ac:dyDescent="0.2">
      <c r="S317" s="54"/>
    </row>
    <row r="318" spans="19:19" x14ac:dyDescent="0.2">
      <c r="S318" s="54"/>
    </row>
    <row r="319" spans="19:19" x14ac:dyDescent="0.2">
      <c r="S319" s="54"/>
    </row>
    <row r="320" spans="19:19" x14ac:dyDescent="0.2">
      <c r="S320" s="54"/>
    </row>
    <row r="321" spans="19:19" x14ac:dyDescent="0.2">
      <c r="S321" s="54"/>
    </row>
    <row r="322" spans="19:19" x14ac:dyDescent="0.2">
      <c r="S322" s="54"/>
    </row>
    <row r="323" spans="19:19" x14ac:dyDescent="0.2">
      <c r="S323" s="54"/>
    </row>
    <row r="324" spans="19:19" x14ac:dyDescent="0.2">
      <c r="S324" s="54"/>
    </row>
    <row r="325" spans="19:19" x14ac:dyDescent="0.2">
      <c r="S325" s="54"/>
    </row>
    <row r="326" spans="19:19" x14ac:dyDescent="0.2">
      <c r="S326" s="54"/>
    </row>
    <row r="327" spans="19:19" x14ac:dyDescent="0.2">
      <c r="S327" s="54"/>
    </row>
    <row r="328" spans="19:19" x14ac:dyDescent="0.2">
      <c r="S328" s="54"/>
    </row>
    <row r="329" spans="19:19" x14ac:dyDescent="0.2">
      <c r="S329" s="54"/>
    </row>
    <row r="330" spans="19:19" x14ac:dyDescent="0.2">
      <c r="S330" s="54"/>
    </row>
    <row r="331" spans="19:19" x14ac:dyDescent="0.2">
      <c r="S331" s="54"/>
    </row>
    <row r="332" spans="19:19" x14ac:dyDescent="0.2">
      <c r="S332" s="54"/>
    </row>
    <row r="333" spans="19:19" x14ac:dyDescent="0.2">
      <c r="S333" s="54"/>
    </row>
    <row r="334" spans="19:19" x14ac:dyDescent="0.2">
      <c r="S334" s="54"/>
    </row>
    <row r="335" spans="19:19" x14ac:dyDescent="0.2">
      <c r="S335" s="54"/>
    </row>
    <row r="336" spans="19:19" x14ac:dyDescent="0.2">
      <c r="S336" s="54"/>
    </row>
    <row r="337" spans="19:19" x14ac:dyDescent="0.2">
      <c r="S337" s="54"/>
    </row>
    <row r="338" spans="19:19" x14ac:dyDescent="0.2">
      <c r="S338" s="54"/>
    </row>
    <row r="339" spans="19:19" x14ac:dyDescent="0.2">
      <c r="S339" s="54"/>
    </row>
    <row r="340" spans="19:19" x14ac:dyDescent="0.2">
      <c r="S340" s="54"/>
    </row>
    <row r="341" spans="19:19" x14ac:dyDescent="0.2">
      <c r="S341" s="54"/>
    </row>
    <row r="342" spans="19:19" x14ac:dyDescent="0.2">
      <c r="S342" s="54"/>
    </row>
    <row r="343" spans="19:19" x14ac:dyDescent="0.2">
      <c r="S343" s="54"/>
    </row>
    <row r="344" spans="19:19" x14ac:dyDescent="0.2">
      <c r="S344" s="54"/>
    </row>
    <row r="345" spans="19:19" x14ac:dyDescent="0.2">
      <c r="S345" s="54"/>
    </row>
    <row r="346" spans="19:19" x14ac:dyDescent="0.2">
      <c r="S346" s="54"/>
    </row>
    <row r="347" spans="19:19" x14ac:dyDescent="0.2">
      <c r="S347" s="54"/>
    </row>
    <row r="348" spans="19:19" x14ac:dyDescent="0.2">
      <c r="S348" s="54"/>
    </row>
    <row r="349" spans="19:19" x14ac:dyDescent="0.2">
      <c r="S349" s="54"/>
    </row>
    <row r="350" spans="19:19" x14ac:dyDescent="0.2">
      <c r="S350" s="54"/>
    </row>
    <row r="351" spans="19:19" x14ac:dyDescent="0.2">
      <c r="S351" s="54"/>
    </row>
    <row r="352" spans="19:19" x14ac:dyDescent="0.2">
      <c r="S352" s="54"/>
    </row>
    <row r="353" spans="19:19" x14ac:dyDescent="0.2">
      <c r="S353" s="54"/>
    </row>
    <row r="354" spans="19:19" x14ac:dyDescent="0.2">
      <c r="S354" s="54"/>
    </row>
    <row r="355" spans="19:19" x14ac:dyDescent="0.2">
      <c r="S355" s="54"/>
    </row>
    <row r="356" spans="19:19" x14ac:dyDescent="0.2">
      <c r="S356" s="54"/>
    </row>
    <row r="357" spans="19:19" x14ac:dyDescent="0.2">
      <c r="S357" s="54"/>
    </row>
    <row r="358" spans="19:19" x14ac:dyDescent="0.2">
      <c r="S358" s="54"/>
    </row>
    <row r="359" spans="19:19" x14ac:dyDescent="0.2">
      <c r="S359" s="54"/>
    </row>
    <row r="360" spans="19:19" x14ac:dyDescent="0.2">
      <c r="S360" s="54"/>
    </row>
    <row r="361" spans="19:19" x14ac:dyDescent="0.2">
      <c r="S361" s="54"/>
    </row>
    <row r="362" spans="19:19" x14ac:dyDescent="0.2">
      <c r="S362" s="54"/>
    </row>
    <row r="363" spans="19:19" x14ac:dyDescent="0.2">
      <c r="S363" s="54"/>
    </row>
    <row r="364" spans="19:19" x14ac:dyDescent="0.2">
      <c r="S364" s="54"/>
    </row>
    <row r="365" spans="19:19" x14ac:dyDescent="0.2">
      <c r="S365" s="54"/>
    </row>
    <row r="366" spans="19:19" x14ac:dyDescent="0.2">
      <c r="S366" s="54"/>
    </row>
    <row r="367" spans="19:19" x14ac:dyDescent="0.2">
      <c r="S367" s="54"/>
    </row>
    <row r="368" spans="19:19" x14ac:dyDescent="0.2">
      <c r="S368" s="54"/>
    </row>
    <row r="369" spans="19:19" x14ac:dyDescent="0.2">
      <c r="S369" s="54"/>
    </row>
    <row r="370" spans="19:19" x14ac:dyDescent="0.2">
      <c r="S370" s="54"/>
    </row>
    <row r="371" spans="19:19" x14ac:dyDescent="0.2">
      <c r="S371" s="54"/>
    </row>
    <row r="372" spans="19:19" x14ac:dyDescent="0.2">
      <c r="S372" s="54"/>
    </row>
    <row r="373" spans="19:19" x14ac:dyDescent="0.2">
      <c r="S373" s="54"/>
    </row>
    <row r="374" spans="19:19" x14ac:dyDescent="0.2">
      <c r="S374" s="54"/>
    </row>
    <row r="375" spans="19:19" x14ac:dyDescent="0.2">
      <c r="S375" s="54"/>
    </row>
    <row r="376" spans="19:19" x14ac:dyDescent="0.2">
      <c r="S376" s="54"/>
    </row>
    <row r="377" spans="19:19" x14ac:dyDescent="0.2">
      <c r="S377" s="54"/>
    </row>
    <row r="378" spans="19:19" x14ac:dyDescent="0.2">
      <c r="S378" s="54"/>
    </row>
    <row r="379" spans="19:19" x14ac:dyDescent="0.2">
      <c r="S379" s="54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465"/>
  <sheetViews>
    <sheetView tabSelected="1" topLeftCell="A82" workbookViewId="0">
      <selection activeCell="Q95" sqref="Q95"/>
    </sheetView>
  </sheetViews>
  <sheetFormatPr defaultRowHeight="12.75" x14ac:dyDescent="0.2"/>
  <cols>
    <col min="14" max="14" width="11.5703125" bestFit="1" customWidth="1"/>
    <col min="16" max="16" width="10.28515625" bestFit="1" customWidth="1"/>
    <col min="17" max="17" width="11.5703125" bestFit="1" customWidth="1"/>
    <col min="21" max="21" width="10.140625" bestFit="1" customWidth="1"/>
    <col min="26" max="26" width="11.5703125" bestFit="1" customWidth="1"/>
  </cols>
  <sheetData>
    <row r="1" spans="1:30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31"/>
      <c r="N1" s="32"/>
      <c r="O1" s="31"/>
      <c r="P1" s="33"/>
      <c r="Q1" s="33"/>
      <c r="R1" s="33"/>
      <c r="S1" s="33"/>
      <c r="T1" s="33"/>
      <c r="U1" s="40"/>
      <c r="V1" s="40"/>
      <c r="W1" s="40"/>
      <c r="X1" s="40"/>
      <c r="Y1" s="40"/>
      <c r="Z1" s="43"/>
      <c r="AA1" s="43"/>
      <c r="AB1" s="43"/>
      <c r="AC1" s="43"/>
      <c r="AD1" s="43"/>
    </row>
    <row r="2" spans="1:30" ht="15" x14ac:dyDescent="0.25">
      <c r="A2" s="12" t="s">
        <v>4</v>
      </c>
      <c r="B2" s="12" t="s">
        <v>0</v>
      </c>
      <c r="C2" s="12" t="s">
        <v>14</v>
      </c>
      <c r="D2" s="12" t="s">
        <v>13</v>
      </c>
      <c r="E2" s="13" t="s">
        <v>5</v>
      </c>
      <c r="F2" s="13" t="s">
        <v>6</v>
      </c>
      <c r="G2" s="13" t="s">
        <v>21</v>
      </c>
      <c r="H2" s="13" t="s">
        <v>25</v>
      </c>
      <c r="I2" s="12" t="s">
        <v>22</v>
      </c>
      <c r="J2" s="13" t="s">
        <v>23</v>
      </c>
      <c r="K2" s="12" t="s">
        <v>26</v>
      </c>
      <c r="L2" s="14" t="s">
        <v>24</v>
      </c>
      <c r="M2" s="31"/>
      <c r="N2" s="34"/>
      <c r="O2" s="38"/>
      <c r="P2" s="39">
        <f>COLUMN()</f>
        <v>16</v>
      </c>
      <c r="Q2" s="39">
        <f>COLUMN()</f>
        <v>17</v>
      </c>
      <c r="R2" s="35"/>
      <c r="S2" s="35"/>
      <c r="T2" s="35"/>
      <c r="U2" s="42"/>
      <c r="V2" s="42"/>
      <c r="W2" s="42"/>
      <c r="X2" s="42"/>
      <c r="Y2" s="42"/>
      <c r="Z2" s="45"/>
      <c r="AA2" s="45"/>
      <c r="AB2" s="45"/>
      <c r="AC2" s="45"/>
      <c r="AD2" s="45"/>
    </row>
    <row r="3" spans="1:30" x14ac:dyDescent="0.2">
      <c r="A3" s="11">
        <v>0</v>
      </c>
      <c r="B3" s="15">
        <v>0</v>
      </c>
      <c r="C3" s="15"/>
      <c r="D3" s="15"/>
      <c r="E3" s="15"/>
      <c r="F3" s="16"/>
      <c r="G3" s="11"/>
      <c r="H3" s="11"/>
      <c r="I3" s="11"/>
      <c r="J3" s="17">
        <f>Sigma.SPX^2</f>
        <v>1.09658210103071E-2</v>
      </c>
      <c r="K3" s="16">
        <v>0</v>
      </c>
      <c r="L3" s="18">
        <f>S</f>
        <v>1562.5</v>
      </c>
      <c r="M3" s="31">
        <f>A3</f>
        <v>0</v>
      </c>
      <c r="N3" s="34"/>
      <c r="O3" s="38"/>
      <c r="P3" s="46" t="s">
        <v>27</v>
      </c>
      <c r="Q3" s="39"/>
      <c r="R3" s="73"/>
      <c r="S3" s="35"/>
      <c r="T3" s="35"/>
      <c r="U3" s="55">
        <v>41017</v>
      </c>
      <c r="V3" s="40">
        <v>1385.14</v>
      </c>
      <c r="W3" s="40"/>
      <c r="X3" s="40"/>
      <c r="Y3" s="40"/>
      <c r="Z3" s="63" t="s">
        <v>27</v>
      </c>
      <c r="AA3" s="43"/>
      <c r="AB3" s="43"/>
      <c r="AC3" s="43"/>
      <c r="AD3" s="43"/>
    </row>
    <row r="4" spans="1:30" x14ac:dyDescent="0.2">
      <c r="A4" s="11">
        <f t="shared" ref="A4:A67" si="0">A3+1</f>
        <v>1</v>
      </c>
      <c r="B4" s="15">
        <f t="shared" ref="B4:B67" si="1">B3+dt</f>
        <v>3.968253968253968E-3</v>
      </c>
      <c r="C4" s="51">
        <v>3.8530845108368199E-9</v>
      </c>
      <c r="D4" s="51">
        <v>2.4109806654339001E-2</v>
      </c>
      <c r="E4" s="16">
        <v>0.71949753390006965</v>
      </c>
      <c r="F4" s="16">
        <v>0.97826610558846616</v>
      </c>
      <c r="G4" s="29">
        <v>0</v>
      </c>
      <c r="H4" s="16">
        <v>0</v>
      </c>
      <c r="I4" s="16">
        <f t="shared" ref="I4:I67" si="2">Rho*E4+F4*(1-Rho^2)^0.5</f>
        <v>0.2586938188569935</v>
      </c>
      <c r="J4" s="17">
        <f t="shared" ref="J4:J67" si="3">MAX((SQRT(J3)+Eta*SQRT(dt)*E4/2)^2+Kappa*(Theta-J3)*dt-Eta*Eta*dt/4,0)</f>
        <v>1.4753039806410921E-2</v>
      </c>
      <c r="K4" s="19">
        <f t="shared" ref="K4:K67" si="4">(C4-D4-Lambda*(EXP(Alpha+Delta^2/2)-1)-MAX((SQRT($J3)-0),0)^2/2)*dt+SQRT(MAX((SQRT($J3)-0),0)^2*dt)*I4</f>
        <v>1.6880930453360276E-3</v>
      </c>
      <c r="L4" s="18">
        <f>EXP(K4)*EXP(H4)*L3</f>
        <v>1565.1398729320115</v>
      </c>
      <c r="M4" s="31">
        <f>A4</f>
        <v>1</v>
      </c>
      <c r="N4" s="73">
        <f>L3</f>
        <v>1562.5</v>
      </c>
      <c r="O4" s="38">
        <f>EXP(-SUM($C$4:C4)*dt)</f>
        <v>0.99999999998471001</v>
      </c>
      <c r="P4" s="37"/>
      <c r="Q4" s="37"/>
      <c r="R4" s="73">
        <v>1562.5</v>
      </c>
      <c r="S4" s="37"/>
      <c r="T4" s="37"/>
      <c r="U4" s="56">
        <v>41018</v>
      </c>
      <c r="V4" s="41">
        <v>1376.92</v>
      </c>
      <c r="W4" s="40"/>
      <c r="X4" s="62">
        <v>1</v>
      </c>
      <c r="Y4" s="36">
        <f>V4</f>
        <v>1376.92</v>
      </c>
      <c r="Z4" s="44"/>
      <c r="AA4" s="44"/>
      <c r="AB4" s="44"/>
      <c r="AC4" s="44"/>
      <c r="AD4" s="44"/>
    </row>
    <row r="5" spans="1:30" x14ac:dyDescent="0.2">
      <c r="A5" s="11">
        <f t="shared" si="0"/>
        <v>2</v>
      </c>
      <c r="B5" s="15">
        <f t="shared" si="1"/>
        <v>7.9365079365079361E-3</v>
      </c>
      <c r="C5" s="51">
        <v>3.8530845108368199E-9</v>
      </c>
      <c r="D5" s="51">
        <v>2.4109806654339001E-2</v>
      </c>
      <c r="E5" s="16">
        <v>5.4111915747803198E-2</v>
      </c>
      <c r="F5" s="16">
        <v>0.25567608240492995</v>
      </c>
      <c r="G5" s="29">
        <v>0</v>
      </c>
      <c r="H5" s="16">
        <v>0</v>
      </c>
      <c r="I5" s="16">
        <f t="shared" si="2"/>
        <v>0.15612389223999526</v>
      </c>
      <c r="J5" s="17">
        <f t="shared" si="3"/>
        <v>1.4514890717952485E-2</v>
      </c>
      <c r="K5" s="19">
        <f t="shared" si="4"/>
        <v>1.1686436596265691E-3</v>
      </c>
      <c r="L5" s="18">
        <f t="shared" ref="L5:L67" si="5">EXP(K5)*EXP(H5)*L4</f>
        <v>1566.9700329150808</v>
      </c>
      <c r="M5" s="31">
        <v>21</v>
      </c>
      <c r="N5" s="73">
        <f>L25</f>
        <v>1534.380778129977</v>
      </c>
      <c r="O5" s="38">
        <f>EXP(-SUM($C$4:C25)*dt)</f>
        <v>0.99999999966361963</v>
      </c>
      <c r="P5" s="74">
        <f>N5/N4-1</f>
        <v>-1.7996301996814679E-2</v>
      </c>
      <c r="Q5" s="37"/>
      <c r="R5" s="73">
        <v>1560.11535721939</v>
      </c>
      <c r="S5" s="74">
        <f>R5/R4-1</f>
        <v>-1.5261713795903242E-3</v>
      </c>
      <c r="T5" s="47">
        <f>P5-S5</f>
        <v>-1.6470130617224354E-2</v>
      </c>
      <c r="U5" s="55">
        <v>41019</v>
      </c>
      <c r="V5" s="40">
        <v>1378.53</v>
      </c>
      <c r="W5" s="40"/>
      <c r="X5" s="31">
        <v>21</v>
      </c>
      <c r="Y5" s="36">
        <f>V45</f>
        <v>1344.78</v>
      </c>
      <c r="Z5" s="44">
        <f>Y5/Y4-1</f>
        <v>-2.3341951602126598E-2</v>
      </c>
      <c r="AA5" s="44"/>
      <c r="AB5" s="44"/>
      <c r="AC5" s="44"/>
      <c r="AD5" s="44"/>
    </row>
    <row r="6" spans="1:30" x14ac:dyDescent="0.2">
      <c r="A6" s="11">
        <f t="shared" si="0"/>
        <v>3</v>
      </c>
      <c r="B6" s="15">
        <f t="shared" si="1"/>
        <v>1.1904761904761904E-2</v>
      </c>
      <c r="C6" s="51">
        <v>3.8530845108368199E-9</v>
      </c>
      <c r="D6" s="51">
        <v>2.4109806654339001E-2</v>
      </c>
      <c r="E6" s="16">
        <v>-0.40040690380474886</v>
      </c>
      <c r="F6" s="16">
        <v>-1.0027944449987745</v>
      </c>
      <c r="G6" s="29">
        <v>0</v>
      </c>
      <c r="H6" s="16">
        <v>0</v>
      </c>
      <c r="I6" s="16">
        <f t="shared" si="2"/>
        <v>-0.48797994975765113</v>
      </c>
      <c r="J6" s="17">
        <f t="shared" si="3"/>
        <v>1.147989454400028E-2</v>
      </c>
      <c r="K6" s="19">
        <f t="shared" si="4"/>
        <v>-3.7289169850490862E-3</v>
      </c>
      <c r="L6" s="18">
        <f t="shared" si="5"/>
        <v>1561.1378124352818</v>
      </c>
      <c r="M6" s="31">
        <f>21*2</f>
        <v>42</v>
      </c>
      <c r="N6" s="73">
        <f>L46</f>
        <v>1512.6069738011761</v>
      </c>
      <c r="O6" s="38">
        <f>EXP(-SUM($C$4:C46)*dt)</f>
        <v>0.99999999934252926</v>
      </c>
      <c r="P6" s="74">
        <f>N6/N5-1</f>
        <v>-1.4190613333502355E-2</v>
      </c>
      <c r="Q6" s="37"/>
      <c r="R6" s="73">
        <v>1512.7057796721001</v>
      </c>
      <c r="S6" s="74">
        <f t="shared" ref="S6:S16" si="6">R6/R5-1</f>
        <v>-3.0388507700987222E-2</v>
      </c>
      <c r="T6" s="47">
        <f t="shared" ref="T6:T16" si="7">P6-S6</f>
        <v>1.6197894367484866E-2</v>
      </c>
      <c r="U6" s="55">
        <v>41022</v>
      </c>
      <c r="V6" s="40">
        <v>1366.94</v>
      </c>
      <c r="W6" s="40"/>
      <c r="X6" s="31">
        <f>21*2</f>
        <v>42</v>
      </c>
      <c r="Y6" s="36">
        <f>V66</f>
        <v>1372.78</v>
      </c>
      <c r="Z6" s="44">
        <f t="shared" ref="Z6:Z16" si="8">Y6/Y5-1</f>
        <v>2.0821249572420708E-2</v>
      </c>
      <c r="AA6" s="44"/>
      <c r="AB6" s="44"/>
      <c r="AC6" s="44"/>
      <c r="AD6" s="44"/>
    </row>
    <row r="7" spans="1:30" x14ac:dyDescent="0.2">
      <c r="A7" s="11">
        <f t="shared" si="0"/>
        <v>4</v>
      </c>
      <c r="B7" s="15">
        <f t="shared" si="1"/>
        <v>1.5873015873015872E-2</v>
      </c>
      <c r="C7" s="51">
        <v>3.8530845108368199E-9</v>
      </c>
      <c r="D7" s="51">
        <v>2.4109806654339001E-2</v>
      </c>
      <c r="E7" s="16">
        <v>0.60327977663874055</v>
      </c>
      <c r="F7" s="16">
        <v>-1.358420308583689</v>
      </c>
      <c r="G7" s="29">
        <v>0</v>
      </c>
      <c r="H7" s="16">
        <v>0</v>
      </c>
      <c r="I7" s="16">
        <f t="shared" si="2"/>
        <v>-1.4181841300402034</v>
      </c>
      <c r="J7" s="17">
        <f t="shared" si="3"/>
        <v>1.458892276115034E-2</v>
      </c>
      <c r="K7" s="19">
        <f t="shared" si="4"/>
        <v>-9.5913965654016477E-3</v>
      </c>
      <c r="L7" s="18">
        <f t="shared" si="5"/>
        <v>1546.2358999007947</v>
      </c>
      <c r="M7" s="31">
        <f>21*3</f>
        <v>63</v>
      </c>
      <c r="N7" s="73">
        <f>L66</f>
        <v>1591.2121163296813</v>
      </c>
      <c r="O7" s="38">
        <f>EXP(-SUM($C$4:C66)*dt)</f>
        <v>0.99908408036821494</v>
      </c>
      <c r="P7" s="74">
        <f t="shared" ref="P7:P16" si="9">N7/N6-1</f>
        <v>5.1966666748184176E-2</v>
      </c>
      <c r="Q7" s="37"/>
      <c r="R7" s="73">
        <v>1525.2225687544101</v>
      </c>
      <c r="S7" s="74">
        <f t="shared" si="6"/>
        <v>8.2744372702954205E-3</v>
      </c>
      <c r="T7" s="47">
        <f t="shared" si="7"/>
        <v>4.3692229477888755E-2</v>
      </c>
      <c r="U7" s="55">
        <v>41023</v>
      </c>
      <c r="V7" s="40">
        <v>1371.97</v>
      </c>
      <c r="W7" s="40"/>
      <c r="X7" s="31">
        <f>21*3</f>
        <v>63</v>
      </c>
      <c r="Y7" s="36">
        <f>V87</f>
        <v>1415.51</v>
      </c>
      <c r="Z7" s="44">
        <f t="shared" si="8"/>
        <v>3.1126618977549203E-2</v>
      </c>
      <c r="AA7" s="44"/>
      <c r="AB7" s="44"/>
      <c r="AC7" s="44"/>
      <c r="AD7" s="44"/>
    </row>
    <row r="8" spans="1:30" x14ac:dyDescent="0.2">
      <c r="A8" s="11">
        <f t="shared" si="0"/>
        <v>5</v>
      </c>
      <c r="B8" s="15">
        <f t="shared" si="1"/>
        <v>1.984126984126984E-2</v>
      </c>
      <c r="C8" s="51">
        <v>3.8530845108368199E-9</v>
      </c>
      <c r="D8" s="51">
        <v>2.4109806654339001E-2</v>
      </c>
      <c r="E8" s="16">
        <v>1.636594018325916</v>
      </c>
      <c r="F8" s="16">
        <v>0.27919277428603323</v>
      </c>
      <c r="G8" s="29">
        <v>0</v>
      </c>
      <c r="H8" s="16">
        <v>0</v>
      </c>
      <c r="I8" s="16">
        <f t="shared" si="2"/>
        <v>-0.87204272634942104</v>
      </c>
      <c r="J8" s="17">
        <f t="shared" si="3"/>
        <v>2.6375139248809513E-2</v>
      </c>
      <c r="K8" s="19">
        <f t="shared" si="4"/>
        <v>-6.6607208613436129E-3</v>
      </c>
      <c r="L8" s="18">
        <f t="shared" si="5"/>
        <v>1535.9710776935221</v>
      </c>
      <c r="M8" s="31">
        <f>21*4</f>
        <v>84</v>
      </c>
      <c r="N8" s="73">
        <f>L89</f>
        <v>1470.7321249652703</v>
      </c>
      <c r="O8" s="38">
        <f>EXP(-SUM($C$4:C89)*dt)</f>
        <v>0.99873443132671924</v>
      </c>
      <c r="P8" s="74">
        <f t="shared" si="9"/>
        <v>-7.5715858450294049E-2</v>
      </c>
      <c r="Q8" s="37"/>
      <c r="R8" s="73">
        <v>1564.8006317257</v>
      </c>
      <c r="S8" s="74">
        <f t="shared" si="6"/>
        <v>2.5949041000364881E-2</v>
      </c>
      <c r="T8" s="47">
        <f t="shared" si="7"/>
        <v>-0.10166489945065893</v>
      </c>
      <c r="U8" s="55">
        <v>41024</v>
      </c>
      <c r="V8" s="40">
        <v>1390.69</v>
      </c>
      <c r="W8" s="40"/>
      <c r="X8" s="31">
        <f>21*4</f>
        <v>84</v>
      </c>
      <c r="Y8" s="36">
        <f>V108</f>
        <v>1461.19</v>
      </c>
      <c r="Z8" s="44">
        <f t="shared" si="8"/>
        <v>3.2271054248998565E-2</v>
      </c>
      <c r="AA8" s="44"/>
      <c r="AB8" s="44"/>
      <c r="AC8" s="44"/>
      <c r="AD8" s="44"/>
    </row>
    <row r="9" spans="1:30" x14ac:dyDescent="0.2">
      <c r="A9" s="11">
        <f t="shared" si="0"/>
        <v>6</v>
      </c>
      <c r="B9" s="15">
        <f t="shared" si="1"/>
        <v>2.3809523809523808E-2</v>
      </c>
      <c r="C9" s="51">
        <v>3.8530845108368199E-9</v>
      </c>
      <c r="D9" s="51">
        <v>2.4109806654339001E-2</v>
      </c>
      <c r="E9" s="16">
        <v>1.8582267838063067</v>
      </c>
      <c r="F9" s="16">
        <v>1.3888597954204946</v>
      </c>
      <c r="G9" s="29">
        <v>0</v>
      </c>
      <c r="H9" s="16">
        <v>0</v>
      </c>
      <c r="I9" s="16">
        <f t="shared" si="2"/>
        <v>-0.18570835058556012</v>
      </c>
      <c r="J9" s="17">
        <f t="shared" si="3"/>
        <v>4.4187867336061865E-2</v>
      </c>
      <c r="K9" s="19">
        <f t="shared" si="4"/>
        <v>-1.9488716321303847E-3</v>
      </c>
      <c r="L9" s="18">
        <f t="shared" si="5"/>
        <v>1532.9805822248418</v>
      </c>
      <c r="M9" s="31">
        <f>21*5</f>
        <v>105</v>
      </c>
      <c r="N9" s="73">
        <f>L109</f>
        <v>1507.8642080992411</v>
      </c>
      <c r="O9" s="38">
        <f>EXP(-SUM($C$4:C109)*dt)</f>
        <v>0.99834081139231123</v>
      </c>
      <c r="P9" s="74">
        <f t="shared" si="9"/>
        <v>2.5247346205107046E-2</v>
      </c>
      <c r="Q9" s="37"/>
      <c r="R9" s="73">
        <v>1572.77520742513</v>
      </c>
      <c r="S9" s="74">
        <f t="shared" si="6"/>
        <v>5.0962247443850917E-3</v>
      </c>
      <c r="T9" s="47">
        <f t="shared" si="7"/>
        <v>2.0151121460721955E-2</v>
      </c>
      <c r="U9" s="55">
        <v>41025</v>
      </c>
      <c r="V9" s="40">
        <v>1399.98</v>
      </c>
      <c r="W9" s="40"/>
      <c r="X9" s="31">
        <f>21*5</f>
        <v>105</v>
      </c>
      <c r="Y9" s="36">
        <f>V129</f>
        <v>1454.92</v>
      </c>
      <c r="Z9" s="44">
        <f t="shared" si="8"/>
        <v>-4.2910230702372099E-3</v>
      </c>
      <c r="AA9" s="44"/>
      <c r="AB9" s="44"/>
      <c r="AC9" s="44"/>
      <c r="AD9" s="44"/>
    </row>
    <row r="10" spans="1:30" x14ac:dyDescent="0.2">
      <c r="A10" s="11">
        <f t="shared" si="0"/>
        <v>7</v>
      </c>
      <c r="B10" s="15">
        <f t="shared" si="1"/>
        <v>2.7777777777777776E-2</v>
      </c>
      <c r="C10" s="51">
        <v>3.8530845108368199E-9</v>
      </c>
      <c r="D10" s="51">
        <v>2.4109806654339001E-2</v>
      </c>
      <c r="E10" s="16">
        <v>0.14889452942100284</v>
      </c>
      <c r="F10" s="16">
        <v>0.67157274995796556</v>
      </c>
      <c r="G10" s="29">
        <v>0</v>
      </c>
      <c r="H10" s="16">
        <v>0</v>
      </c>
      <c r="I10" s="16">
        <f t="shared" si="2"/>
        <v>0.40561524419357764</v>
      </c>
      <c r="J10" s="17">
        <f t="shared" si="3"/>
        <v>4.5167926617554706E-2</v>
      </c>
      <c r="K10" s="19">
        <f t="shared" si="4"/>
        <v>5.2868042376231416E-3</v>
      </c>
      <c r="L10" s="18">
        <f t="shared" si="5"/>
        <v>1541.1066119001323</v>
      </c>
      <c r="M10" s="31">
        <f>21*6</f>
        <v>126</v>
      </c>
      <c r="N10" s="73">
        <f>L131</f>
        <v>1525.3012396172071</v>
      </c>
      <c r="O10" s="38">
        <f>EXP(-SUM($C$4:C131)*dt)</f>
        <v>0.99796314422651711</v>
      </c>
      <c r="P10" s="74">
        <f t="shared" si="9"/>
        <v>1.1564059564717954E-2</v>
      </c>
      <c r="Q10" s="37"/>
      <c r="R10" s="73">
        <v>1583.0946818325599</v>
      </c>
      <c r="S10" s="74">
        <f t="shared" si="6"/>
        <v>6.5613155387440614E-3</v>
      </c>
      <c r="T10" s="47">
        <f t="shared" si="7"/>
        <v>5.0027440259738931E-3</v>
      </c>
      <c r="U10" s="55">
        <v>41026</v>
      </c>
      <c r="V10" s="40">
        <v>1403.36</v>
      </c>
      <c r="W10" s="40"/>
      <c r="X10" s="31">
        <f>21*6</f>
        <v>126</v>
      </c>
      <c r="Y10" s="36">
        <f>V150</f>
        <v>1359.88</v>
      </c>
      <c r="Z10" s="44">
        <f t="shared" si="8"/>
        <v>-6.532317928133502E-2</v>
      </c>
      <c r="AA10" s="44"/>
      <c r="AB10" s="44"/>
      <c r="AC10" s="44"/>
      <c r="AD10" s="44"/>
    </row>
    <row r="11" spans="1:30" x14ac:dyDescent="0.2">
      <c r="A11" s="11">
        <f t="shared" si="0"/>
        <v>8</v>
      </c>
      <c r="B11" s="15">
        <f t="shared" si="1"/>
        <v>3.1746031746031744E-2</v>
      </c>
      <c r="C11" s="51">
        <v>3.8530845108368199E-9</v>
      </c>
      <c r="D11" s="51">
        <v>2.4109806654339001E-2</v>
      </c>
      <c r="E11" s="16">
        <v>0.5355788750489745</v>
      </c>
      <c r="F11" s="16">
        <v>-0.77377371005521911</v>
      </c>
      <c r="G11" s="29">
        <v>0</v>
      </c>
      <c r="H11" s="16">
        <v>0</v>
      </c>
      <c r="I11" s="16">
        <f t="shared" si="2"/>
        <v>-0.93466539918019742</v>
      </c>
      <c r="J11" s="17">
        <f t="shared" si="3"/>
        <v>5.0709786399459507E-2</v>
      </c>
      <c r="K11" s="19">
        <f t="shared" si="4"/>
        <v>-1.2599543066616706E-2</v>
      </c>
      <c r="L11" s="18">
        <f t="shared" si="5"/>
        <v>1521.811184814834</v>
      </c>
      <c r="M11" s="31">
        <f>21*7</f>
        <v>147</v>
      </c>
      <c r="N11" s="73">
        <f>L154</f>
        <v>1549.9803941091873</v>
      </c>
      <c r="O11" s="38">
        <f>EXP(-SUM($C$4:C154)*dt)</f>
        <v>0.99757120696792756</v>
      </c>
      <c r="P11" s="74">
        <f t="shared" si="9"/>
        <v>1.6179856051368402E-2</v>
      </c>
      <c r="Q11" s="37"/>
      <c r="R11" s="73">
        <v>1586.3907657386001</v>
      </c>
      <c r="S11" s="74">
        <f t="shared" si="6"/>
        <v>2.0820510256687186E-3</v>
      </c>
      <c r="T11" s="47">
        <f t="shared" si="7"/>
        <v>1.4097805025699683E-2</v>
      </c>
      <c r="U11" s="55">
        <v>41029</v>
      </c>
      <c r="V11" s="40">
        <v>1397.91</v>
      </c>
      <c r="W11" s="40"/>
      <c r="X11" s="31">
        <f>21*7</f>
        <v>147</v>
      </c>
      <c r="Y11" s="36">
        <f>V171</f>
        <v>1446.79</v>
      </c>
      <c r="Z11" s="44">
        <f t="shared" si="8"/>
        <v>6.3910050886842873E-2</v>
      </c>
      <c r="AA11" s="44"/>
      <c r="AB11" s="44"/>
      <c r="AC11" s="44"/>
      <c r="AD11" s="44"/>
    </row>
    <row r="12" spans="1:30" x14ac:dyDescent="0.2">
      <c r="A12" s="11">
        <f t="shared" si="0"/>
        <v>9</v>
      </c>
      <c r="B12" s="15">
        <f t="shared" si="1"/>
        <v>3.5714285714285712E-2</v>
      </c>
      <c r="C12" s="51">
        <v>3.8530845108368199E-9</v>
      </c>
      <c r="D12" s="51">
        <v>2.4109806654339001E-2</v>
      </c>
      <c r="E12" s="16">
        <v>-0.72695045429754546</v>
      </c>
      <c r="F12" s="16">
        <v>1.2707751117388073</v>
      </c>
      <c r="G12" s="29">
        <v>0</v>
      </c>
      <c r="H12" s="16">
        <v>0</v>
      </c>
      <c r="I12" s="16">
        <f t="shared" si="2"/>
        <v>1.434136735940488</v>
      </c>
      <c r="J12" s="17">
        <f t="shared" si="3"/>
        <v>4.1675214544312986E-2</v>
      </c>
      <c r="K12" s="19">
        <f t="shared" si="4"/>
        <v>2.0246727919815414E-2</v>
      </c>
      <c r="L12" s="18">
        <f t="shared" si="5"/>
        <v>1552.9369156472294</v>
      </c>
      <c r="M12" s="31">
        <f>21*8</f>
        <v>168</v>
      </c>
      <c r="N12" s="73">
        <f>L173</f>
        <v>1568.2263086697558</v>
      </c>
      <c r="O12" s="38">
        <f>EXP(-SUM($C$4:C173)*dt)</f>
        <v>0.99724754881443844</v>
      </c>
      <c r="P12" s="74">
        <f t="shared" si="9"/>
        <v>1.1771706680880234E-2</v>
      </c>
      <c r="Q12" s="37"/>
      <c r="R12" s="73">
        <v>1596.8444888653601</v>
      </c>
      <c r="S12" s="74">
        <f t="shared" si="6"/>
        <v>6.5896268136009795E-3</v>
      </c>
      <c r="T12" s="47">
        <f t="shared" si="7"/>
        <v>5.1820798672792545E-3</v>
      </c>
      <c r="U12" s="55">
        <v>41030</v>
      </c>
      <c r="V12" s="40">
        <v>1405.82</v>
      </c>
      <c r="W12" s="40"/>
      <c r="X12" s="31">
        <f>21*8</f>
        <v>168</v>
      </c>
      <c r="Y12" s="36">
        <f>V192</f>
        <v>1485.98</v>
      </c>
      <c r="Z12" s="44">
        <f t="shared" si="8"/>
        <v>2.708755244368577E-2</v>
      </c>
      <c r="AA12" s="44"/>
      <c r="AB12" s="44"/>
      <c r="AC12" s="44"/>
      <c r="AD12" s="44"/>
    </row>
    <row r="13" spans="1:30" x14ac:dyDescent="0.2">
      <c r="A13" s="11">
        <f t="shared" si="0"/>
        <v>10</v>
      </c>
      <c r="B13" s="15">
        <f t="shared" si="1"/>
        <v>3.968253968253968E-2</v>
      </c>
      <c r="C13" s="51">
        <v>3.8530845108368199E-9</v>
      </c>
      <c r="D13" s="51">
        <v>2.4109806654339001E-2</v>
      </c>
      <c r="E13" s="16">
        <v>0.57932193248469055</v>
      </c>
      <c r="F13" s="16">
        <v>-1.0978197709104911</v>
      </c>
      <c r="G13" s="29">
        <v>0</v>
      </c>
      <c r="H13" s="16">
        <v>0</v>
      </c>
      <c r="I13" s="16">
        <f t="shared" si="2"/>
        <v>-1.2067704258888186</v>
      </c>
      <c r="J13" s="17">
        <f t="shared" si="3"/>
        <v>4.7499771209378545E-2</v>
      </c>
      <c r="K13" s="19">
        <f t="shared" si="4"/>
        <v>-1.5598323434757306E-2</v>
      </c>
      <c r="L13" s="18">
        <f t="shared" si="5"/>
        <v>1528.9016456493573</v>
      </c>
      <c r="M13" s="31">
        <f>21*9</f>
        <v>189</v>
      </c>
      <c r="N13" s="73">
        <f>L193</f>
        <v>1547.4180611259885</v>
      </c>
      <c r="O13" s="38">
        <f>EXP(-SUM($C$4:C192)*dt)</f>
        <v>0.99693943910892613</v>
      </c>
      <c r="P13" s="74">
        <f t="shared" si="9"/>
        <v>-1.3268650977688146E-2</v>
      </c>
      <c r="Q13" s="37"/>
      <c r="R13" s="73">
        <v>1548.23979314947</v>
      </c>
      <c r="S13" s="74">
        <f t="shared" si="6"/>
        <v>-3.0437964407182938E-2</v>
      </c>
      <c r="T13" s="47">
        <f t="shared" si="7"/>
        <v>1.7169313429494792E-2</v>
      </c>
      <c r="U13" s="55">
        <v>41031</v>
      </c>
      <c r="V13" s="40">
        <v>1402.31</v>
      </c>
      <c r="W13" s="40"/>
      <c r="X13" s="31">
        <f>21*9</f>
        <v>189</v>
      </c>
      <c r="Y13" s="36">
        <f>V213</f>
        <v>1511.95</v>
      </c>
      <c r="Z13" s="44">
        <f t="shared" si="8"/>
        <v>1.7476682054940129E-2</v>
      </c>
      <c r="AA13" s="44"/>
      <c r="AB13" s="44"/>
      <c r="AC13" s="44"/>
      <c r="AD13" s="44"/>
    </row>
    <row r="14" spans="1:30" x14ac:dyDescent="0.2">
      <c r="A14" s="11">
        <f t="shared" si="0"/>
        <v>11</v>
      </c>
      <c r="B14" s="15">
        <f t="shared" si="1"/>
        <v>4.3650793650793648E-2</v>
      </c>
      <c r="C14" s="51">
        <v>3.8530845108368199E-9</v>
      </c>
      <c r="D14" s="51">
        <v>2.4109806654339001E-2</v>
      </c>
      <c r="E14" s="16">
        <v>0.27850885694071414</v>
      </c>
      <c r="F14" s="16">
        <v>0.37293357990371268</v>
      </c>
      <c r="G14" s="29">
        <v>0</v>
      </c>
      <c r="H14" s="16">
        <v>0</v>
      </c>
      <c r="I14" s="16">
        <f t="shared" si="2"/>
        <v>9.5828288127318584E-2</v>
      </c>
      <c r="J14" s="17">
        <f t="shared" si="3"/>
        <v>5.0066811707124508E-2</v>
      </c>
      <c r="K14" s="19">
        <f t="shared" si="4"/>
        <v>1.224751303519828E-3</v>
      </c>
      <c r="L14" s="18">
        <f t="shared" si="5"/>
        <v>1530.7753170893777</v>
      </c>
      <c r="M14" s="31">
        <f>21*10</f>
        <v>210</v>
      </c>
      <c r="N14" s="73">
        <f>L214</f>
        <v>1547.430897752957</v>
      </c>
      <c r="O14" s="38">
        <f>EXP(-SUM($C$4:C213)*dt)</f>
        <v>0.99659995473595253</v>
      </c>
      <c r="P14" s="74">
        <f t="shared" si="9"/>
        <v>8.2955132105766438E-6</v>
      </c>
      <c r="Q14" s="37"/>
      <c r="R14" s="73">
        <v>1564.4954241738701</v>
      </c>
      <c r="S14" s="74">
        <f t="shared" si="6"/>
        <v>1.0499427218139346E-2</v>
      </c>
      <c r="T14" s="47">
        <f t="shared" si="7"/>
        <v>-1.0491131704928769E-2</v>
      </c>
      <c r="U14" s="55">
        <v>41032</v>
      </c>
      <c r="V14" s="40">
        <v>1391.57</v>
      </c>
      <c r="W14" s="40"/>
      <c r="X14" s="31">
        <f>21*10</f>
        <v>210</v>
      </c>
      <c r="Y14" s="36">
        <f>V235</f>
        <v>1556.89</v>
      </c>
      <c r="Z14" s="44">
        <f t="shared" si="8"/>
        <v>2.9723205132444974E-2</v>
      </c>
      <c r="AA14" s="44"/>
      <c r="AB14" s="44"/>
      <c r="AC14" s="44"/>
      <c r="AD14" s="44"/>
    </row>
    <row r="15" spans="1:30" x14ac:dyDescent="0.2">
      <c r="A15" s="11">
        <f t="shared" si="0"/>
        <v>12</v>
      </c>
      <c r="B15" s="15">
        <f t="shared" si="1"/>
        <v>4.7619047619047616E-2</v>
      </c>
      <c r="C15" s="51">
        <v>3.8530845108368199E-9</v>
      </c>
      <c r="D15" s="51">
        <v>2.4109806654339001E-2</v>
      </c>
      <c r="E15" s="16">
        <v>0.32396469200369299</v>
      </c>
      <c r="F15" s="16">
        <v>-0.45075914736822476</v>
      </c>
      <c r="G15" s="29">
        <v>0</v>
      </c>
      <c r="H15" s="16">
        <v>0</v>
      </c>
      <c r="I15" s="16">
        <f t="shared" si="2"/>
        <v>-0.55239342061645891</v>
      </c>
      <c r="J15" s="17">
        <f t="shared" si="3"/>
        <v>5.3269354496425565E-2</v>
      </c>
      <c r="K15" s="19">
        <f t="shared" si="4"/>
        <v>-7.8821462281705272E-3</v>
      </c>
      <c r="L15" s="18">
        <f t="shared" si="5"/>
        <v>1518.7569496855149</v>
      </c>
      <c r="M15" s="31">
        <f>21*11</f>
        <v>231</v>
      </c>
      <c r="N15" s="73">
        <f>L234</f>
        <v>1567.8304333248973</v>
      </c>
      <c r="O15" s="38">
        <f>EXP(-SUM($C$4:C234)*dt)</f>
        <v>0.99626058596642963</v>
      </c>
      <c r="P15" s="74">
        <f t="shared" si="9"/>
        <v>1.3182841057111316E-2</v>
      </c>
      <c r="Q15" s="37"/>
      <c r="R15" s="73">
        <v>1594.9911856564599</v>
      </c>
      <c r="S15" s="74">
        <f t="shared" si="6"/>
        <v>1.949239416835824E-2</v>
      </c>
      <c r="T15" s="47">
        <f t="shared" si="7"/>
        <v>-6.3095531112469239E-3</v>
      </c>
      <c r="U15" s="55">
        <v>41033</v>
      </c>
      <c r="V15" s="40">
        <v>1369.1</v>
      </c>
      <c r="W15" s="40"/>
      <c r="X15" s="31">
        <f>21*11</f>
        <v>231</v>
      </c>
      <c r="Y15" s="36">
        <f>V255</f>
        <v>1562.5</v>
      </c>
      <c r="Z15" s="44">
        <f>Y15/Y14-1</f>
        <v>3.6033374226822623E-3</v>
      </c>
      <c r="AA15" s="44"/>
      <c r="AB15" s="44"/>
      <c r="AC15" s="44"/>
      <c r="AD15" s="44"/>
    </row>
    <row r="16" spans="1:30" x14ac:dyDescent="0.2">
      <c r="A16" s="11">
        <f t="shared" si="0"/>
        <v>13</v>
      </c>
      <c r="B16" s="15">
        <f t="shared" si="1"/>
        <v>5.1587301587301584E-2</v>
      </c>
      <c r="C16" s="51">
        <v>3.8530845108368199E-9</v>
      </c>
      <c r="D16" s="51">
        <v>2.4109806654339001E-2</v>
      </c>
      <c r="E16" s="16">
        <v>-0.24637367758851481</v>
      </c>
      <c r="F16" s="16">
        <v>-0.39887618077818637</v>
      </c>
      <c r="G16" s="29">
        <v>0</v>
      </c>
      <c r="H16" s="16">
        <v>0</v>
      </c>
      <c r="I16" s="16">
        <f t="shared" si="2"/>
        <v>-0.1365354018648203</v>
      </c>
      <c r="J16" s="17">
        <f t="shared" si="3"/>
        <v>4.9565265026464217E-2</v>
      </c>
      <c r="K16" s="19">
        <f t="shared" si="4"/>
        <v>-2.0874488741991744E-3</v>
      </c>
      <c r="L16" s="18">
        <f t="shared" si="5"/>
        <v>1515.5899288477622</v>
      </c>
      <c r="M16" s="31">
        <f>21*12</f>
        <v>252</v>
      </c>
      <c r="N16" s="73">
        <f>L255</f>
        <v>1873.3775191638915</v>
      </c>
      <c r="O16" s="38">
        <f>EXP(-SUM($C$4:C255)*dt)</f>
        <v>0.99592133337252597</v>
      </c>
      <c r="P16" s="74">
        <f t="shared" si="9"/>
        <v>0.19488528819473205</v>
      </c>
      <c r="Q16" s="49"/>
      <c r="R16" s="73">
        <v>1608.9027679523399</v>
      </c>
      <c r="S16" s="74">
        <f t="shared" si="6"/>
        <v>8.7220433698849131E-3</v>
      </c>
      <c r="T16" s="47">
        <f t="shared" si="7"/>
        <v>0.18616324482484714</v>
      </c>
      <c r="U16" s="55">
        <v>41036</v>
      </c>
      <c r="V16" s="40">
        <v>1369.58</v>
      </c>
      <c r="W16" s="40"/>
      <c r="X16" s="31">
        <f>21*12</f>
        <v>252</v>
      </c>
      <c r="Y16" s="36">
        <f>N5</f>
        <v>1534.380778129977</v>
      </c>
      <c r="Z16" s="44">
        <f t="shared" si="8"/>
        <v>-1.7996301996814679E-2</v>
      </c>
      <c r="AA16" s="44"/>
      <c r="AB16" s="44"/>
      <c r="AC16" s="44"/>
      <c r="AD16" s="44"/>
    </row>
    <row r="17" spans="1:36" x14ac:dyDescent="0.2">
      <c r="A17" s="11">
        <f t="shared" si="0"/>
        <v>14</v>
      </c>
      <c r="B17" s="15">
        <f t="shared" si="1"/>
        <v>5.5555555555555552E-2</v>
      </c>
      <c r="C17" s="51">
        <v>3.8530845108368199E-9</v>
      </c>
      <c r="D17" s="51">
        <v>2.4109806654339001E-2</v>
      </c>
      <c r="E17" s="16">
        <v>-0.33084569688782978</v>
      </c>
      <c r="F17" s="16">
        <v>-9.1195451771310027E-2</v>
      </c>
      <c r="G17" s="29">
        <v>0</v>
      </c>
      <c r="H17" s="16">
        <v>0</v>
      </c>
      <c r="I17" s="16">
        <f t="shared" si="2"/>
        <v>0.15020401880137935</v>
      </c>
      <c r="J17" s="17">
        <f t="shared" si="3"/>
        <v>4.5017896848467916E-2</v>
      </c>
      <c r="K17" s="19">
        <f t="shared" si="4"/>
        <v>2.0115479892545145E-3</v>
      </c>
      <c r="L17" s="18">
        <f t="shared" si="5"/>
        <v>1518.6416790636442</v>
      </c>
      <c r="M17" s="50">
        <v>0.01</v>
      </c>
      <c r="N17" s="49">
        <f>cliquet(M17,$P$5:$P$16,O16)</f>
        <v>0</v>
      </c>
      <c r="O17" s="38"/>
      <c r="P17" s="48">
        <f>SUM(P5:P16)</f>
        <v>0.20363463525701253</v>
      </c>
      <c r="Q17" s="49"/>
      <c r="R17" s="48"/>
      <c r="S17" s="48">
        <f>SUM(S5:S16)</f>
        <v>3.0913917661681167E-2</v>
      </c>
      <c r="T17" s="37"/>
      <c r="U17" s="55">
        <v>41037</v>
      </c>
      <c r="V17" s="40">
        <v>1363.72</v>
      </c>
      <c r="W17" s="40"/>
      <c r="X17" s="40"/>
      <c r="Y17" s="59">
        <v>1.0999999999999999E-2</v>
      </c>
      <c r="Z17" s="64"/>
      <c r="AA17" s="65">
        <f>cliquet(Y17,P5:P5,O5)</f>
        <v>0</v>
      </c>
      <c r="AB17" s="44"/>
      <c r="AC17" s="44"/>
      <c r="AD17" s="44"/>
    </row>
    <row r="18" spans="1:36" x14ac:dyDescent="0.2">
      <c r="A18" s="11">
        <f t="shared" si="0"/>
        <v>15</v>
      </c>
      <c r="B18" s="15">
        <f t="shared" si="1"/>
        <v>5.9523809523809521E-2</v>
      </c>
      <c r="C18" s="51">
        <v>3.8530845108368199E-9</v>
      </c>
      <c r="D18" s="51">
        <v>2.4109806654339001E-2</v>
      </c>
      <c r="E18" s="16">
        <v>1.3171588410368873</v>
      </c>
      <c r="F18" s="16">
        <v>0.29629619194264367</v>
      </c>
      <c r="G18" s="29">
        <v>0</v>
      </c>
      <c r="H18" s="16">
        <v>0</v>
      </c>
      <c r="I18" s="16">
        <f t="shared" si="2"/>
        <v>-0.64810129714199594</v>
      </c>
      <c r="J18" s="17">
        <f t="shared" si="3"/>
        <v>6.0369027317160665E-2</v>
      </c>
      <c r="K18" s="19">
        <f t="shared" si="4"/>
        <v>-8.7483107581997621E-3</v>
      </c>
      <c r="L18" s="18">
        <f t="shared" si="5"/>
        <v>1505.4140736882343</v>
      </c>
      <c r="M18" s="50">
        <v>0.01</v>
      </c>
      <c r="N18" s="51">
        <v>7.8522321337039184E-3</v>
      </c>
      <c r="O18" s="38"/>
      <c r="P18" s="37"/>
      <c r="Q18" s="51">
        <f>Q16-Q17</f>
        <v>0</v>
      </c>
      <c r="R18" s="37"/>
      <c r="S18" s="37"/>
      <c r="T18" s="37"/>
      <c r="U18" s="55">
        <v>41038</v>
      </c>
      <c r="V18" s="40">
        <v>1354.58</v>
      </c>
      <c r="W18" s="40"/>
      <c r="X18" s="40"/>
      <c r="Y18" s="40"/>
      <c r="Z18" s="44"/>
      <c r="AA18" s="44"/>
      <c r="AB18" s="44"/>
      <c r="AC18" s="44"/>
      <c r="AD18" s="44"/>
    </row>
    <row r="19" spans="1:36" x14ac:dyDescent="0.2">
      <c r="A19" s="11">
        <f t="shared" si="0"/>
        <v>16</v>
      </c>
      <c r="B19" s="15">
        <f t="shared" si="1"/>
        <v>6.3492063492063489E-2</v>
      </c>
      <c r="C19" s="51">
        <v>3.8530845108368199E-9</v>
      </c>
      <c r="D19" s="51">
        <v>2.4109806654339001E-2</v>
      </c>
      <c r="E19" s="16">
        <v>0.57964285773882895</v>
      </c>
      <c r="F19" s="16">
        <v>0.63978625730213623</v>
      </c>
      <c r="G19" s="29">
        <v>0</v>
      </c>
      <c r="H19" s="16">
        <v>0</v>
      </c>
      <c r="I19" s="16">
        <f t="shared" si="2"/>
        <v>9.7090580486571598E-2</v>
      </c>
      <c r="J19" s="17">
        <f t="shared" si="3"/>
        <v>6.7407277018068312E-2</v>
      </c>
      <c r="K19" s="19">
        <f t="shared" si="4"/>
        <v>1.386310795472087E-3</v>
      </c>
      <c r="L19" s="18">
        <f t="shared" si="5"/>
        <v>1507.5024927347085</v>
      </c>
      <c r="M19" s="66" t="s">
        <v>33</v>
      </c>
      <c r="N19" s="64">
        <v>1.2712984562647937E-4</v>
      </c>
      <c r="O19" s="38"/>
      <c r="P19" s="37"/>
      <c r="Q19" s="37"/>
      <c r="R19" s="37"/>
      <c r="S19" s="37"/>
      <c r="T19" s="37"/>
      <c r="U19" s="55">
        <v>41039</v>
      </c>
      <c r="V19" s="40">
        <v>1357.99</v>
      </c>
      <c r="W19" s="40"/>
      <c r="X19" s="40"/>
      <c r="Y19" s="40"/>
      <c r="Z19" s="44"/>
      <c r="AA19" s="44"/>
      <c r="AB19" s="44"/>
      <c r="AC19" s="44"/>
      <c r="AD19" s="44"/>
    </row>
    <row r="20" spans="1:36" x14ac:dyDescent="0.2">
      <c r="A20" s="11">
        <f t="shared" si="0"/>
        <v>17</v>
      </c>
      <c r="B20" s="15">
        <f t="shared" si="1"/>
        <v>6.7460317460317457E-2</v>
      </c>
      <c r="C20" s="51">
        <v>3.8530845108368199E-9</v>
      </c>
      <c r="D20" s="51">
        <v>2.4109806654339001E-2</v>
      </c>
      <c r="E20" s="16">
        <v>-2.1298935981013803E-2</v>
      </c>
      <c r="F20" s="16">
        <v>1.0159460665614706</v>
      </c>
      <c r="G20" s="29">
        <v>0</v>
      </c>
      <c r="H20" s="16">
        <v>0</v>
      </c>
      <c r="I20" s="16">
        <f t="shared" si="2"/>
        <v>0.77654323035193562</v>
      </c>
      <c r="J20" s="17">
        <f t="shared" si="3"/>
        <v>6.6333100515779037E-2</v>
      </c>
      <c r="K20" s="19">
        <f t="shared" si="4"/>
        <v>1.257004554986303E-2</v>
      </c>
      <c r="L20" s="18">
        <f t="shared" si="5"/>
        <v>1526.5714655797876</v>
      </c>
      <c r="M20" s="31"/>
      <c r="N20" s="36"/>
      <c r="O20" s="38"/>
      <c r="P20" s="37"/>
      <c r="Q20" s="51"/>
      <c r="R20" s="37"/>
      <c r="S20" s="37"/>
      <c r="T20" s="37"/>
      <c r="U20" s="55">
        <v>41040</v>
      </c>
      <c r="V20" s="40">
        <v>1353.39</v>
      </c>
      <c r="W20" s="40"/>
      <c r="X20" s="40"/>
      <c r="Y20" s="40"/>
      <c r="Z20" s="44"/>
      <c r="AA20" s="44"/>
      <c r="AB20" s="44"/>
      <c r="AC20" s="44"/>
      <c r="AD20" s="44"/>
    </row>
    <row r="21" spans="1:36" x14ac:dyDescent="0.2">
      <c r="A21" s="11">
        <f t="shared" si="0"/>
        <v>18</v>
      </c>
      <c r="B21" s="15">
        <f t="shared" si="1"/>
        <v>7.1428571428571425E-2</v>
      </c>
      <c r="C21" s="51">
        <v>3.8530845108368199E-9</v>
      </c>
      <c r="D21" s="51">
        <v>2.4109806654339001E-2</v>
      </c>
      <c r="E21" s="16">
        <v>0.74144233519865377</v>
      </c>
      <c r="F21" s="16">
        <v>-0.36602102208137194</v>
      </c>
      <c r="G21" s="29">
        <v>0</v>
      </c>
      <c r="H21" s="16">
        <v>0</v>
      </c>
      <c r="I21" s="16">
        <f t="shared" si="2"/>
        <v>-0.76469616822218134</v>
      </c>
      <c r="J21" s="17">
        <f t="shared" si="3"/>
        <v>7.6075780436288487E-2</v>
      </c>
      <c r="K21" s="19">
        <f t="shared" si="4"/>
        <v>-1.25348918323242E-2</v>
      </c>
      <c r="L21" s="18">
        <f t="shared" si="5"/>
        <v>1507.5554879830117</v>
      </c>
      <c r="M21" s="31"/>
      <c r="N21" s="36"/>
      <c r="O21" s="38"/>
      <c r="P21" s="37"/>
      <c r="Q21" s="51"/>
      <c r="R21" s="37"/>
      <c r="S21" s="37"/>
      <c r="T21" s="37"/>
      <c r="U21" s="55">
        <v>41043</v>
      </c>
      <c r="V21" s="40">
        <v>1338.35</v>
      </c>
      <c r="W21" s="40"/>
      <c r="X21" s="40"/>
      <c r="Y21" s="40"/>
      <c r="Z21" s="44"/>
      <c r="AA21" s="44"/>
      <c r="AB21" s="44"/>
      <c r="AC21" s="44"/>
      <c r="AD21" s="44"/>
    </row>
    <row r="22" spans="1:36" x14ac:dyDescent="0.2">
      <c r="A22" s="11">
        <f t="shared" si="0"/>
        <v>19</v>
      </c>
      <c r="B22" s="15">
        <f t="shared" si="1"/>
        <v>7.5396825396825393E-2</v>
      </c>
      <c r="C22" s="51">
        <v>3.8530845108368199E-9</v>
      </c>
      <c r="D22" s="51">
        <v>2.4109806654339001E-2</v>
      </c>
      <c r="E22" s="16">
        <v>-1.2340486347300619</v>
      </c>
      <c r="F22" s="16">
        <v>0.47300266753099252</v>
      </c>
      <c r="G22" s="29">
        <v>0</v>
      </c>
      <c r="H22" s="16">
        <v>0</v>
      </c>
      <c r="I22" s="16">
        <f t="shared" si="2"/>
        <v>1.1705348986456925</v>
      </c>
      <c r="J22" s="17">
        <f t="shared" si="3"/>
        <v>5.8273922141403707E-2</v>
      </c>
      <c r="K22" s="19">
        <f t="shared" si="4"/>
        <v>2.019036239613417E-2</v>
      </c>
      <c r="L22" s="18">
        <f t="shared" si="5"/>
        <v>1538.3029361672466</v>
      </c>
      <c r="M22" s="31"/>
      <c r="N22" s="36"/>
      <c r="O22" s="38"/>
      <c r="P22" s="37"/>
      <c r="Q22" s="51"/>
      <c r="R22" s="37"/>
      <c r="S22" s="37"/>
      <c r="T22" s="37"/>
      <c r="U22" s="55">
        <v>41044</v>
      </c>
      <c r="V22" s="40">
        <v>1330.66</v>
      </c>
      <c r="W22" s="40"/>
      <c r="X22" s="40"/>
      <c r="Y22" s="40"/>
      <c r="Z22" s="44"/>
      <c r="AA22" s="44"/>
      <c r="AB22" s="44"/>
      <c r="AC22" s="44"/>
      <c r="AD22" s="44"/>
    </row>
    <row r="23" spans="1:36" x14ac:dyDescent="0.2">
      <c r="A23" s="11">
        <f t="shared" si="0"/>
        <v>20</v>
      </c>
      <c r="B23" s="15">
        <f t="shared" si="1"/>
        <v>7.9365079365079361E-2</v>
      </c>
      <c r="C23" s="51">
        <v>3.8530845108368199E-9</v>
      </c>
      <c r="D23" s="51">
        <v>2.4109806654339001E-2</v>
      </c>
      <c r="E23" s="16">
        <v>-0.11999045478488732</v>
      </c>
      <c r="F23" s="16">
        <v>-1.7524120939163139</v>
      </c>
      <c r="G23" s="29">
        <v>0</v>
      </c>
      <c r="H23" s="16">
        <v>0</v>
      </c>
      <c r="I23" s="16">
        <f t="shared" si="2"/>
        <v>-1.2358868832543914</v>
      </c>
      <c r="J23" s="17">
        <f t="shared" si="3"/>
        <v>5.5999311782284525E-2</v>
      </c>
      <c r="K23" s="19">
        <f t="shared" si="4"/>
        <v>-1.8906114745851826E-2</v>
      </c>
      <c r="L23" s="18">
        <f t="shared" si="5"/>
        <v>1509.4928063081106</v>
      </c>
      <c r="M23" s="31"/>
      <c r="N23" s="36"/>
      <c r="O23" s="38"/>
      <c r="P23" s="37"/>
      <c r="Q23" s="37"/>
      <c r="R23" s="37"/>
      <c r="S23" s="37"/>
      <c r="T23" s="37"/>
      <c r="U23" s="55">
        <v>41045</v>
      </c>
      <c r="V23" s="40">
        <v>1324.8</v>
      </c>
      <c r="W23" s="40"/>
      <c r="X23" s="40"/>
      <c r="Y23" s="40"/>
      <c r="Z23" s="44"/>
      <c r="AA23" s="44"/>
      <c r="AB23" s="44"/>
      <c r="AC23" s="44"/>
      <c r="AD23" s="44"/>
    </row>
    <row r="24" spans="1:36" x14ac:dyDescent="0.2">
      <c r="A24" s="11">
        <f t="shared" si="0"/>
        <v>21</v>
      </c>
      <c r="B24" s="15">
        <f t="shared" si="1"/>
        <v>8.3333333333333329E-2</v>
      </c>
      <c r="C24" s="51">
        <v>3.8530845108368199E-9</v>
      </c>
      <c r="D24" s="51">
        <v>2.4109806654339001E-2</v>
      </c>
      <c r="E24" s="16">
        <v>0.78989591664965764</v>
      </c>
      <c r="F24" s="16">
        <v>0.10841727479428241</v>
      </c>
      <c r="G24" s="29">
        <v>0</v>
      </c>
      <c r="H24" s="16">
        <v>0</v>
      </c>
      <c r="I24" s="16">
        <f t="shared" si="2"/>
        <v>-0.44065183592533042</v>
      </c>
      <c r="J24" s="17">
        <f t="shared" si="3"/>
        <v>6.5617670434004419E-2</v>
      </c>
      <c r="K24" s="19">
        <f t="shared" si="4"/>
        <v>-6.6765687415958844E-3</v>
      </c>
      <c r="L24" s="18">
        <f t="shared" si="5"/>
        <v>1499.4481430771491</v>
      </c>
      <c r="M24" s="31"/>
      <c r="N24" s="36"/>
      <c r="O24" s="38"/>
      <c r="P24" s="37"/>
      <c r="Q24" s="37"/>
      <c r="R24" s="37"/>
      <c r="S24" s="37"/>
      <c r="T24" s="37">
        <v>0</v>
      </c>
      <c r="U24" s="56">
        <v>41046</v>
      </c>
      <c r="V24" s="41">
        <v>1304.8599999999999</v>
      </c>
      <c r="W24" s="59"/>
      <c r="X24" s="40"/>
      <c r="Y24" s="40"/>
      <c r="Z24" s="44"/>
      <c r="AA24" s="44"/>
      <c r="AB24" s="44"/>
      <c r="AC24" s="44"/>
      <c r="AD24" s="44"/>
    </row>
    <row r="25" spans="1:36" x14ac:dyDescent="0.2">
      <c r="A25" s="11">
        <f t="shared" si="0"/>
        <v>22</v>
      </c>
      <c r="B25" s="15">
        <f t="shared" si="1"/>
        <v>8.7301587301587297E-2</v>
      </c>
      <c r="C25" s="51">
        <v>3.8530845108368199E-9</v>
      </c>
      <c r="D25" s="51">
        <v>2.4109806654339001E-2</v>
      </c>
      <c r="E25" s="16">
        <v>-2.1039643653868452</v>
      </c>
      <c r="F25" s="16">
        <v>5.9419473450420347E-2</v>
      </c>
      <c r="G25" s="29">
        <v>0</v>
      </c>
      <c r="H25" s="16">
        <v>0</v>
      </c>
      <c r="I25" s="16">
        <f t="shared" si="2"/>
        <v>1.4350424944420404</v>
      </c>
      <c r="J25" s="17">
        <f t="shared" si="3"/>
        <v>3.936094104472878E-2</v>
      </c>
      <c r="K25" s="19">
        <f t="shared" si="4"/>
        <v>2.3029761981591741E-2</v>
      </c>
      <c r="L25" s="18">
        <f t="shared" si="5"/>
        <v>1534.380778129977</v>
      </c>
      <c r="M25" s="31"/>
      <c r="N25" s="36"/>
      <c r="O25" s="38"/>
      <c r="P25" s="37"/>
      <c r="Q25" s="37"/>
      <c r="R25" s="37"/>
      <c r="S25" s="37"/>
      <c r="T25" s="37">
        <v>1</v>
      </c>
      <c r="U25" s="60">
        <v>41047</v>
      </c>
      <c r="V25" s="61">
        <v>1295.22</v>
      </c>
      <c r="W25" s="59"/>
      <c r="X25" s="40"/>
      <c r="Y25" s="40"/>
      <c r="Z25" s="44"/>
      <c r="AA25" s="44"/>
      <c r="AB25" s="44"/>
      <c r="AC25" s="44"/>
      <c r="AD25" s="44"/>
    </row>
    <row r="26" spans="1:36" x14ac:dyDescent="0.2">
      <c r="A26" s="11">
        <f t="shared" si="0"/>
        <v>23</v>
      </c>
      <c r="B26" s="15">
        <f t="shared" si="1"/>
        <v>9.1269841269841265E-2</v>
      </c>
      <c r="C26" s="51">
        <v>3.8530845108368199E-9</v>
      </c>
      <c r="D26" s="51">
        <v>2.4109806654339001E-2</v>
      </c>
      <c r="E26" s="16">
        <v>-1.1392443791075246</v>
      </c>
      <c r="F26" s="16">
        <v>-1.22058688475877</v>
      </c>
      <c r="G26" s="29">
        <v>0</v>
      </c>
      <c r="H26" s="16">
        <v>0</v>
      </c>
      <c r="I26" s="16">
        <f t="shared" si="2"/>
        <v>-0.16315718344775165</v>
      </c>
      <c r="J26" s="17">
        <f t="shared" si="3"/>
        <v>2.7602474055095437E-2</v>
      </c>
      <c r="K26" s="19">
        <f t="shared" si="4"/>
        <v>-2.11384739763153E-3</v>
      </c>
      <c r="L26" s="18">
        <f t="shared" si="5"/>
        <v>1531.140756976755</v>
      </c>
      <c r="M26" s="31"/>
      <c r="N26" s="36"/>
      <c r="O26" s="38"/>
      <c r="P26" s="37"/>
      <c r="Q26" s="37"/>
      <c r="R26" s="37"/>
      <c r="S26" s="37"/>
      <c r="T26" s="37">
        <f>T25+1</f>
        <v>2</v>
      </c>
      <c r="U26" s="55">
        <v>41050</v>
      </c>
      <c r="V26" s="40">
        <v>1315.99</v>
      </c>
      <c r="W26" s="59"/>
      <c r="X26" s="40"/>
      <c r="Y26" s="40"/>
      <c r="Z26" s="44"/>
      <c r="AA26" s="44"/>
      <c r="AB26" s="44"/>
      <c r="AC26" s="44"/>
      <c r="AD26" s="44"/>
    </row>
    <row r="27" spans="1:36" x14ac:dyDescent="0.2">
      <c r="A27" s="11">
        <f t="shared" si="0"/>
        <v>24</v>
      </c>
      <c r="B27" s="15">
        <f t="shared" si="1"/>
        <v>9.5238095238095233E-2</v>
      </c>
      <c r="C27" s="51">
        <v>3.8530845108368199E-9</v>
      </c>
      <c r="D27" s="51">
        <v>2.4109806654339001E-2</v>
      </c>
      <c r="E27" s="16">
        <v>0.12475983971569807</v>
      </c>
      <c r="F27" s="16">
        <v>-1.5453183758675415</v>
      </c>
      <c r="G27" s="29">
        <v>0</v>
      </c>
      <c r="H27" s="16">
        <v>0</v>
      </c>
      <c r="I27" s="16">
        <f t="shared" si="2"/>
        <v>-1.2422113483812545</v>
      </c>
      <c r="J27" s="17">
        <f t="shared" si="3"/>
        <v>2.8077446395303567E-2</v>
      </c>
      <c r="K27" s="19">
        <f t="shared" si="4"/>
        <v>-1.305219099742976E-2</v>
      </c>
      <c r="L27" s="18">
        <f t="shared" si="5"/>
        <v>1511.2858721193095</v>
      </c>
      <c r="M27" s="31"/>
      <c r="N27" s="36"/>
      <c r="O27" s="38"/>
      <c r="P27" s="37"/>
      <c r="Q27" s="37"/>
      <c r="R27" s="37"/>
      <c r="S27" s="37"/>
      <c r="T27" s="37">
        <f t="shared" ref="T27:T90" si="10">T26+1</f>
        <v>3</v>
      </c>
      <c r="U27" s="55">
        <v>41051</v>
      </c>
      <c r="V27" s="40">
        <v>1316.63</v>
      </c>
      <c r="W27" s="59"/>
      <c r="X27" s="40"/>
      <c r="Y27" s="40"/>
      <c r="Z27" s="44"/>
      <c r="AA27" s="44"/>
      <c r="AB27" s="44"/>
      <c r="AC27" s="44"/>
      <c r="AD27" s="44"/>
    </row>
    <row r="28" spans="1:36" x14ac:dyDescent="0.2">
      <c r="A28" s="11">
        <f t="shared" si="0"/>
        <v>25</v>
      </c>
      <c r="B28" s="15">
        <f t="shared" si="1"/>
        <v>9.9206349206349201E-2</v>
      </c>
      <c r="C28" s="51">
        <v>3.8530845108368199E-9</v>
      </c>
      <c r="D28" s="51">
        <v>2.4109806654339001E-2</v>
      </c>
      <c r="E28" s="16">
        <v>0.91140548220439443</v>
      </c>
      <c r="F28" s="16">
        <v>0.96812500322824679</v>
      </c>
      <c r="G28" s="29">
        <v>0</v>
      </c>
      <c r="H28" s="16">
        <v>0</v>
      </c>
      <c r="I28" s="16">
        <f t="shared" si="2"/>
        <v>0.1242566023917312</v>
      </c>
      <c r="J28" s="17">
        <f t="shared" si="3"/>
        <v>3.6128217814201655E-2</v>
      </c>
      <c r="K28" s="19">
        <f t="shared" si="4"/>
        <v>1.2592308805592974E-3</v>
      </c>
      <c r="L28" s="18">
        <f t="shared" si="5"/>
        <v>1513.1901286565276</v>
      </c>
      <c r="M28" s="31"/>
      <c r="N28" s="36"/>
      <c r="O28" s="38"/>
      <c r="P28" s="51">
        <v>3.8530845108368199E-9</v>
      </c>
      <c r="Q28" s="51">
        <v>2.4109806654339001E-2</v>
      </c>
      <c r="R28" s="37"/>
      <c r="S28" s="37"/>
      <c r="T28" s="37">
        <f t="shared" si="10"/>
        <v>4</v>
      </c>
      <c r="U28" s="55">
        <v>41052</v>
      </c>
      <c r="V28" s="40">
        <v>1318.86</v>
      </c>
      <c r="W28" s="59"/>
      <c r="X28" s="40"/>
      <c r="Y28" s="40"/>
      <c r="Z28" s="44"/>
      <c r="AA28" s="44"/>
      <c r="AB28" s="44"/>
      <c r="AC28" s="44"/>
      <c r="AD28" s="44"/>
    </row>
    <row r="29" spans="1:36" x14ac:dyDescent="0.2">
      <c r="A29" s="11">
        <f t="shared" si="0"/>
        <v>26</v>
      </c>
      <c r="B29" s="15">
        <f t="shared" si="1"/>
        <v>0.10317460317460317</v>
      </c>
      <c r="C29" s="51">
        <v>3.8530845108368199E-9</v>
      </c>
      <c r="D29" s="51">
        <v>2.4109806654339001E-2</v>
      </c>
      <c r="E29" s="16">
        <v>-0.10359083819194609</v>
      </c>
      <c r="F29" s="16">
        <v>1.4067471230451196</v>
      </c>
      <c r="G29" s="29">
        <v>0</v>
      </c>
      <c r="H29" s="16">
        <v>0</v>
      </c>
      <c r="I29" s="16">
        <f t="shared" si="2"/>
        <v>1.124223670612599</v>
      </c>
      <c r="J29" s="17">
        <f t="shared" si="3"/>
        <v>3.4424017508950078E-2</v>
      </c>
      <c r="K29" s="19">
        <f t="shared" si="4"/>
        <v>1.339261779981845E-2</v>
      </c>
      <c r="L29" s="18">
        <f t="shared" si="5"/>
        <v>1533.5920181189754</v>
      </c>
      <c r="M29" s="31"/>
      <c r="N29" s="36"/>
      <c r="O29" s="38"/>
      <c r="P29" s="51">
        <v>1.21535444614248E-2</v>
      </c>
      <c r="Q29" s="51">
        <v>2.47477979498547E-2</v>
      </c>
      <c r="R29" s="37"/>
      <c r="S29" s="37"/>
      <c r="T29" s="37">
        <f t="shared" si="10"/>
        <v>5</v>
      </c>
      <c r="U29" s="55">
        <v>41053</v>
      </c>
      <c r="V29" s="40">
        <v>1320.68</v>
      </c>
      <c r="W29" s="59"/>
      <c r="X29" s="40"/>
      <c r="Y29" s="40">
        <v>23</v>
      </c>
      <c r="Z29" s="44">
        <v>44</v>
      </c>
      <c r="AA29" s="44">
        <v>64</v>
      </c>
      <c r="AB29" s="44">
        <v>87</v>
      </c>
      <c r="AC29" s="44">
        <v>107</v>
      </c>
      <c r="AD29" s="44">
        <v>129</v>
      </c>
      <c r="AE29">
        <v>152</v>
      </c>
      <c r="AF29">
        <v>171</v>
      </c>
      <c r="AG29">
        <v>191</v>
      </c>
      <c r="AH29">
        <v>212</v>
      </c>
      <c r="AI29">
        <v>232</v>
      </c>
      <c r="AJ29">
        <v>253</v>
      </c>
    </row>
    <row r="30" spans="1:36" x14ac:dyDescent="0.2">
      <c r="A30" s="11">
        <f t="shared" si="0"/>
        <v>27</v>
      </c>
      <c r="B30" s="15">
        <f t="shared" si="1"/>
        <v>0.10714285714285714</v>
      </c>
      <c r="C30" s="51">
        <v>3.8530845108368199E-9</v>
      </c>
      <c r="D30" s="51">
        <v>2.4109806654339001E-2</v>
      </c>
      <c r="E30" s="16">
        <v>-1.1631306769298346</v>
      </c>
      <c r="F30" s="16">
        <v>-0.19241153450863982</v>
      </c>
      <c r="G30" s="29">
        <v>0</v>
      </c>
      <c r="H30" s="16">
        <v>0</v>
      </c>
      <c r="I30" s="16">
        <f t="shared" si="2"/>
        <v>0.62427403407590143</v>
      </c>
      <c r="J30" s="17">
        <f t="shared" si="3"/>
        <v>2.3264444440034227E-2</v>
      </c>
      <c r="K30" s="19">
        <f t="shared" si="4"/>
        <v>7.2314007533201725E-3</v>
      </c>
      <c r="L30" s="18">
        <f t="shared" si="5"/>
        <v>1544.7222316084017</v>
      </c>
      <c r="M30" s="50"/>
      <c r="N30" s="85">
        <v>3.853084510836824E-9</v>
      </c>
      <c r="O30" s="38"/>
      <c r="P30" s="51">
        <v>3.6653573699909898E-3</v>
      </c>
      <c r="Q30" s="51">
        <v>2.44412477530618E-2</v>
      </c>
      <c r="R30" s="37"/>
      <c r="S30" s="37"/>
      <c r="T30" s="37">
        <f t="shared" si="10"/>
        <v>6</v>
      </c>
      <c r="U30" s="55">
        <v>41054</v>
      </c>
      <c r="V30" s="40">
        <v>1317.82</v>
      </c>
      <c r="W30" s="59"/>
      <c r="X30" s="41"/>
      <c r="Y30" s="41"/>
      <c r="Z30" s="44"/>
      <c r="AA30" s="44"/>
      <c r="AB30" s="44"/>
      <c r="AC30" s="44"/>
      <c r="AD30" s="44"/>
    </row>
    <row r="31" spans="1:36" x14ac:dyDescent="0.2">
      <c r="A31" s="11">
        <f t="shared" si="0"/>
        <v>28</v>
      </c>
      <c r="B31" s="15">
        <f t="shared" si="1"/>
        <v>0.1111111111111111</v>
      </c>
      <c r="C31" s="51">
        <v>3.8530845108368199E-9</v>
      </c>
      <c r="D31" s="51">
        <v>2.4109806654339001E-2</v>
      </c>
      <c r="E31" s="16">
        <v>2.1387470535558863</v>
      </c>
      <c r="F31" s="16">
        <v>1.1989428462126241</v>
      </c>
      <c r="G31" s="29">
        <v>0</v>
      </c>
      <c r="H31" s="16">
        <v>0</v>
      </c>
      <c r="I31" s="16">
        <f t="shared" si="2"/>
        <v>-0.51362859437324315</v>
      </c>
      <c r="J31" s="17">
        <f t="shared" si="3"/>
        <v>4.3174224927882698E-2</v>
      </c>
      <c r="K31" s="19">
        <f t="shared" si="4"/>
        <v>-4.9779013882087489E-3</v>
      </c>
      <c r="L31" s="18">
        <f t="shared" si="5"/>
        <v>1537.0518636738611</v>
      </c>
      <c r="M31" s="31"/>
      <c r="N31" s="85">
        <v>1.2153544461424765E-2</v>
      </c>
      <c r="O31" s="38"/>
      <c r="P31" s="51">
        <v>4.9668746892205197E-3</v>
      </c>
      <c r="Q31" s="51">
        <v>1.8803258169889099E-2</v>
      </c>
      <c r="R31" s="37"/>
      <c r="S31" s="37"/>
      <c r="T31" s="37">
        <f t="shared" si="10"/>
        <v>7</v>
      </c>
      <c r="U31" s="55">
        <v>41058</v>
      </c>
      <c r="V31" s="40">
        <v>1332.42</v>
      </c>
      <c r="W31" s="59"/>
      <c r="X31" s="41"/>
      <c r="Y31" s="41"/>
      <c r="Z31" s="44"/>
      <c r="AA31" s="44"/>
      <c r="AB31" s="44"/>
      <c r="AC31" s="44"/>
      <c r="AD31" s="44"/>
    </row>
    <row r="32" spans="1:36" x14ac:dyDescent="0.2">
      <c r="A32" s="11">
        <f t="shared" si="0"/>
        <v>29</v>
      </c>
      <c r="B32" s="15">
        <f t="shared" si="1"/>
        <v>0.11507936507936507</v>
      </c>
      <c r="C32" s="51">
        <v>3.8530845108368199E-9</v>
      </c>
      <c r="D32" s="51">
        <v>2.4109806654339001E-2</v>
      </c>
      <c r="E32" s="16">
        <v>-0.31094811854355114</v>
      </c>
      <c r="F32" s="16">
        <v>-0.35651396826725823</v>
      </c>
      <c r="G32" s="29">
        <v>0</v>
      </c>
      <c r="H32" s="16">
        <v>0</v>
      </c>
      <c r="I32" s="16">
        <f t="shared" si="2"/>
        <v>-6.2067217546163289E-2</v>
      </c>
      <c r="J32" s="17">
        <f t="shared" si="3"/>
        <v>3.9121240861108991E-2</v>
      </c>
      <c r="K32" s="19">
        <f t="shared" si="4"/>
        <v>-8.9472094255865352E-4</v>
      </c>
      <c r="L32" s="18">
        <f t="shared" si="5"/>
        <v>1535.6772462228455</v>
      </c>
      <c r="M32" s="31"/>
      <c r="N32" s="85">
        <v>3.665357369990989E-3</v>
      </c>
      <c r="O32" s="38"/>
      <c r="P32" s="51">
        <v>4.3038789552882397E-3</v>
      </c>
      <c r="Q32" s="51">
        <v>2.0950313006112699E-2</v>
      </c>
      <c r="R32" s="37"/>
      <c r="S32" s="37"/>
      <c r="T32" s="37">
        <f t="shared" si="10"/>
        <v>8</v>
      </c>
      <c r="U32" s="55">
        <v>41059</v>
      </c>
      <c r="V32" s="40">
        <v>1313.32</v>
      </c>
      <c r="W32" s="59"/>
      <c r="X32" s="41"/>
      <c r="Y32" s="41"/>
      <c r="Z32" s="44"/>
      <c r="AA32" s="44"/>
      <c r="AB32" s="44"/>
      <c r="AC32" s="44"/>
      <c r="AD32" s="44"/>
    </row>
    <row r="33" spans="1:30" x14ac:dyDescent="0.2">
      <c r="A33" s="11">
        <f t="shared" si="0"/>
        <v>30</v>
      </c>
      <c r="B33" s="15">
        <f t="shared" si="1"/>
        <v>0.11904761904761904</v>
      </c>
      <c r="C33" s="51">
        <v>3.8530845108368199E-9</v>
      </c>
      <c r="D33" s="51">
        <v>2.4109806654339001E-2</v>
      </c>
      <c r="E33" s="16">
        <v>0.50042582310500328</v>
      </c>
      <c r="F33" s="16">
        <v>0.686748444254351</v>
      </c>
      <c r="G33" s="29">
        <v>0</v>
      </c>
      <c r="H33" s="16">
        <v>0</v>
      </c>
      <c r="I33" s="16">
        <f t="shared" si="2"/>
        <v>0.18468790465491186</v>
      </c>
      <c r="J33" s="17">
        <f t="shared" si="3"/>
        <v>4.3871779970982523E-2</v>
      </c>
      <c r="K33" s="19">
        <f t="shared" si="4"/>
        <v>2.2268765577097235E-3</v>
      </c>
      <c r="L33" s="18">
        <f t="shared" si="5"/>
        <v>1539.1008204064278</v>
      </c>
      <c r="M33" s="31"/>
      <c r="N33" s="85">
        <v>4.9668746892205214E-3</v>
      </c>
      <c r="O33" s="38"/>
      <c r="P33" s="51">
        <v>4.0870053892759304E-3</v>
      </c>
      <c r="Q33" s="51">
        <v>1.5977558870727299E-2</v>
      </c>
      <c r="R33" s="37"/>
      <c r="S33" s="37"/>
      <c r="T33" s="37">
        <f t="shared" si="10"/>
        <v>9</v>
      </c>
      <c r="U33" s="55">
        <v>41060</v>
      </c>
      <c r="V33" s="40">
        <v>1310.33</v>
      </c>
      <c r="W33" s="59"/>
      <c r="X33" s="41"/>
      <c r="Y33" s="41"/>
      <c r="Z33" s="44"/>
      <c r="AA33" s="44"/>
      <c r="AB33" s="44"/>
      <c r="AC33" s="44"/>
      <c r="AD33" s="44"/>
    </row>
    <row r="34" spans="1:30" x14ac:dyDescent="0.2">
      <c r="A34" s="11">
        <f t="shared" si="0"/>
        <v>31</v>
      </c>
      <c r="B34" s="15">
        <f t="shared" si="1"/>
        <v>0.12301587301587301</v>
      </c>
      <c r="C34" s="51">
        <v>3.8530845108368199E-9</v>
      </c>
      <c r="D34" s="51">
        <v>2.4109806654339001E-2</v>
      </c>
      <c r="E34" s="16">
        <v>1.0055538365062823E-2</v>
      </c>
      <c r="F34" s="16">
        <v>-0.28142639677091391</v>
      </c>
      <c r="G34" s="29">
        <v>0</v>
      </c>
      <c r="H34" s="16">
        <v>0</v>
      </c>
      <c r="I34" s="16">
        <f t="shared" si="2"/>
        <v>-0.21785588354047083</v>
      </c>
      <c r="J34" s="17">
        <f t="shared" si="3"/>
        <v>4.3288408773084971E-2</v>
      </c>
      <c r="K34" s="19">
        <f t="shared" si="4"/>
        <v>-2.9581924267950616E-3</v>
      </c>
      <c r="L34" s="18">
        <f t="shared" si="5"/>
        <v>1534.5545916404803</v>
      </c>
      <c r="M34" s="31"/>
      <c r="N34" s="85">
        <v>4.3038789552882371E-3</v>
      </c>
      <c r="O34" s="38"/>
      <c r="P34" s="51">
        <v>4.0870148115876997E-3</v>
      </c>
      <c r="Q34" s="51">
        <v>2.4613299486996601E-2</v>
      </c>
      <c r="R34" s="37"/>
      <c r="S34" s="37"/>
      <c r="T34" s="37">
        <f t="shared" si="10"/>
        <v>10</v>
      </c>
      <c r="U34" s="55">
        <v>41061</v>
      </c>
      <c r="V34" s="40">
        <v>1278.04</v>
      </c>
      <c r="W34" s="59"/>
      <c r="X34" s="41"/>
      <c r="Y34" s="41"/>
      <c r="Z34" s="44"/>
      <c r="AA34" s="44"/>
      <c r="AB34" s="44"/>
      <c r="AC34" s="44"/>
      <c r="AD34" s="44"/>
    </row>
    <row r="35" spans="1:30" x14ac:dyDescent="0.2">
      <c r="A35" s="11">
        <f t="shared" si="0"/>
        <v>32</v>
      </c>
      <c r="B35" s="15">
        <f t="shared" si="1"/>
        <v>0.12698412698412698</v>
      </c>
      <c r="C35" s="51">
        <v>3.8530845108368199E-9</v>
      </c>
      <c r="D35" s="51">
        <v>2.4109806654339001E-2</v>
      </c>
      <c r="E35" s="16">
        <v>2.0007046970986608</v>
      </c>
      <c r="F35" s="16">
        <v>1.0054237366633527</v>
      </c>
      <c r="G35" s="29">
        <v>0</v>
      </c>
      <c r="H35" s="16">
        <v>0</v>
      </c>
      <c r="I35" s="16">
        <f t="shared" si="2"/>
        <v>-0.56763652612608095</v>
      </c>
      <c r="J35" s="17">
        <f t="shared" si="3"/>
        <v>6.7501075035006144E-2</v>
      </c>
      <c r="K35" s="19">
        <f t="shared" si="4"/>
        <v>-7.5222470532026698E-3</v>
      </c>
      <c r="L35" s="18">
        <f t="shared" si="5"/>
        <v>1523.05460000108</v>
      </c>
      <c r="M35" s="31"/>
      <c r="N35" s="85">
        <v>4.0870053892759261E-3</v>
      </c>
      <c r="O35" s="38"/>
      <c r="P35" s="51">
        <v>4.0870070747002496E-3</v>
      </c>
      <c r="Q35" s="51">
        <v>2.2582847043877401E-2</v>
      </c>
      <c r="R35" s="37"/>
      <c r="S35" s="37"/>
      <c r="T35" s="37">
        <f t="shared" si="10"/>
        <v>11</v>
      </c>
      <c r="U35" s="55">
        <v>41064</v>
      </c>
      <c r="V35" s="40">
        <v>1278.18</v>
      </c>
      <c r="W35" s="59"/>
      <c r="X35" s="41"/>
      <c r="Y35" s="41"/>
      <c r="Z35" s="44"/>
      <c r="AA35" s="44"/>
      <c r="AB35" s="44"/>
      <c r="AC35" s="44"/>
      <c r="AD35" s="44"/>
    </row>
    <row r="36" spans="1:30" x14ac:dyDescent="0.2">
      <c r="A36" s="11">
        <f t="shared" si="0"/>
        <v>33</v>
      </c>
      <c r="B36" s="15">
        <f t="shared" si="1"/>
        <v>0.13095238095238093</v>
      </c>
      <c r="C36" s="51">
        <v>3.8530845108368199E-9</v>
      </c>
      <c r="D36" s="51">
        <v>2.4109806654339001E-2</v>
      </c>
      <c r="E36" s="16">
        <v>-6.9065284612213713E-3</v>
      </c>
      <c r="F36" s="16">
        <v>-2.0672488278616443</v>
      </c>
      <c r="G36" s="29">
        <v>0</v>
      </c>
      <c r="H36" s="16">
        <v>0</v>
      </c>
      <c r="I36" s="16">
        <f t="shared" si="2"/>
        <v>-1.5469056527816309</v>
      </c>
      <c r="J36" s="17">
        <f t="shared" si="3"/>
        <v>6.6624483273297258E-2</v>
      </c>
      <c r="K36" s="19">
        <f t="shared" si="4"/>
        <v>-2.5447968535960146E-2</v>
      </c>
      <c r="L36" s="18">
        <f t="shared" si="5"/>
        <v>1484.7849619933004</v>
      </c>
      <c r="M36" s="31"/>
      <c r="N36" s="85">
        <v>4.0870148115876997E-3</v>
      </c>
      <c r="O36" s="38"/>
      <c r="P36" s="37"/>
      <c r="Q36" s="37"/>
      <c r="R36" s="37"/>
      <c r="S36" s="37"/>
      <c r="T36" s="37">
        <f t="shared" si="10"/>
        <v>12</v>
      </c>
      <c r="U36" s="55">
        <v>41065</v>
      </c>
      <c r="V36" s="40">
        <v>1285.5</v>
      </c>
      <c r="W36" s="59"/>
      <c r="X36" s="41"/>
      <c r="Y36" s="41"/>
      <c r="Z36" s="44"/>
      <c r="AA36" s="44"/>
      <c r="AB36" s="44"/>
      <c r="AC36" s="44"/>
      <c r="AD36" s="44"/>
    </row>
    <row r="37" spans="1:30" x14ac:dyDescent="0.2">
      <c r="A37" s="11">
        <f t="shared" si="0"/>
        <v>34</v>
      </c>
      <c r="B37" s="15">
        <f t="shared" si="1"/>
        <v>0.13492063492063489</v>
      </c>
      <c r="C37" s="51">
        <v>3.8530845108368199E-9</v>
      </c>
      <c r="D37" s="51">
        <v>2.4109806654339001E-2</v>
      </c>
      <c r="E37" s="16">
        <v>0.1609739180455626</v>
      </c>
      <c r="F37" s="16">
        <v>-4.6103359855819044E-2</v>
      </c>
      <c r="G37" s="29">
        <v>0</v>
      </c>
      <c r="H37" s="16">
        <v>0</v>
      </c>
      <c r="I37" s="16">
        <f t="shared" si="2"/>
        <v>-0.14098349494028325</v>
      </c>
      <c r="J37" s="17">
        <f t="shared" si="3"/>
        <v>6.8069274828830614E-2</v>
      </c>
      <c r="K37" s="19">
        <f t="shared" si="4"/>
        <v>-2.4212121875081586E-3</v>
      </c>
      <c r="L37" s="18">
        <f t="shared" si="5"/>
        <v>1481.1943311411867</v>
      </c>
      <c r="M37" s="31"/>
      <c r="N37" s="85">
        <v>4.0870070747002531E-3</v>
      </c>
      <c r="O37" s="38"/>
      <c r="P37" s="37"/>
      <c r="Q37" s="37"/>
      <c r="R37" s="37"/>
      <c r="S37" s="37"/>
      <c r="T37" s="37">
        <f t="shared" si="10"/>
        <v>13</v>
      </c>
      <c r="U37" s="55">
        <v>41066</v>
      </c>
      <c r="V37" s="40">
        <v>1315.13</v>
      </c>
      <c r="W37" s="59"/>
      <c r="X37" s="41"/>
      <c r="Y37" s="41"/>
      <c r="Z37" s="44"/>
      <c r="AA37" s="44"/>
      <c r="AB37" s="44"/>
      <c r="AC37" s="44"/>
      <c r="AD37" s="44"/>
    </row>
    <row r="38" spans="1:30" x14ac:dyDescent="0.2">
      <c r="A38" s="11">
        <f t="shared" si="0"/>
        <v>35</v>
      </c>
      <c r="B38" s="15">
        <f t="shared" si="1"/>
        <v>0.13888888888888884</v>
      </c>
      <c r="C38" s="51">
        <v>3.8530845108368199E-9</v>
      </c>
      <c r="D38" s="51">
        <v>2.4109806654339001E-2</v>
      </c>
      <c r="E38" s="16">
        <v>1.4933459588151268</v>
      </c>
      <c r="F38" s="16">
        <v>-1.9252705236293479</v>
      </c>
      <c r="G38" s="29">
        <v>0</v>
      </c>
      <c r="H38" s="16">
        <v>0</v>
      </c>
      <c r="I38" s="16">
        <f t="shared" si="2"/>
        <v>-2.4318237118253863</v>
      </c>
      <c r="J38" s="17">
        <f t="shared" si="3"/>
        <v>8.9529627828992972E-2</v>
      </c>
      <c r="K38" s="19">
        <f t="shared" si="4"/>
        <v>-4.0099244224843733E-2</v>
      </c>
      <c r="L38" s="18">
        <f t="shared" si="5"/>
        <v>1422.97464166949</v>
      </c>
      <c r="M38" s="31"/>
      <c r="N38" s="36"/>
      <c r="O38" s="38"/>
      <c r="P38" s="37"/>
      <c r="Q38" s="37"/>
      <c r="R38" s="37"/>
      <c r="S38" s="37"/>
      <c r="T38" s="37">
        <f t="shared" si="10"/>
        <v>14</v>
      </c>
      <c r="U38" s="55">
        <v>41067</v>
      </c>
      <c r="V38" s="40">
        <v>1314.99</v>
      </c>
      <c r="W38" s="59"/>
      <c r="X38" s="40"/>
      <c r="Y38" s="40"/>
      <c r="Z38" s="44"/>
      <c r="AA38" s="44"/>
      <c r="AB38" s="44"/>
      <c r="AC38" s="44"/>
      <c r="AD38" s="44"/>
    </row>
    <row r="39" spans="1:30" x14ac:dyDescent="0.2">
      <c r="A39" s="11">
        <f t="shared" si="0"/>
        <v>36</v>
      </c>
      <c r="B39" s="15">
        <f t="shared" si="1"/>
        <v>0.14285714285714279</v>
      </c>
      <c r="C39" s="51">
        <v>3.8530845108368199E-9</v>
      </c>
      <c r="D39" s="51">
        <v>2.4109806654339001E-2</v>
      </c>
      <c r="E39" s="16">
        <v>-2.7648654603419036</v>
      </c>
      <c r="F39" s="16">
        <v>4.2504804212769712E-2</v>
      </c>
      <c r="G39" s="29">
        <v>0</v>
      </c>
      <c r="H39" s="16">
        <v>0</v>
      </c>
      <c r="I39" s="16">
        <f t="shared" si="2"/>
        <v>1.859118138949247</v>
      </c>
      <c r="J39" s="17">
        <f t="shared" si="3"/>
        <v>5.0150673119305843E-2</v>
      </c>
      <c r="K39" s="19">
        <f t="shared" si="4"/>
        <v>3.4867810826651205E-2</v>
      </c>
      <c r="L39" s="18">
        <f t="shared" si="5"/>
        <v>1473.4657949353937</v>
      </c>
      <c r="M39" s="31"/>
      <c r="N39" s="36"/>
      <c r="O39" s="38"/>
      <c r="P39" s="37"/>
      <c r="Q39" s="37"/>
      <c r="R39" s="37"/>
      <c r="S39" s="37"/>
      <c r="T39" s="37">
        <f t="shared" si="10"/>
        <v>15</v>
      </c>
      <c r="U39" s="55">
        <v>41068</v>
      </c>
      <c r="V39" s="40">
        <v>1325.66</v>
      </c>
      <c r="W39" s="59"/>
      <c r="X39" s="40"/>
      <c r="Y39" s="40"/>
      <c r="Z39" s="44"/>
      <c r="AA39" s="44"/>
      <c r="AB39" s="44"/>
      <c r="AC39" s="44"/>
      <c r="AD39" s="44"/>
    </row>
    <row r="40" spans="1:30" x14ac:dyDescent="0.2">
      <c r="A40" s="11">
        <f t="shared" si="0"/>
        <v>37</v>
      </c>
      <c r="B40" s="15">
        <f t="shared" si="1"/>
        <v>0.14682539682539675</v>
      </c>
      <c r="C40" s="51">
        <v>3.8530845108368199E-9</v>
      </c>
      <c r="D40" s="51">
        <v>2.4109806654339001E-2</v>
      </c>
      <c r="E40" s="16">
        <v>-9.5171208146442948E-2</v>
      </c>
      <c r="F40" s="16">
        <v>1.6841412001244902</v>
      </c>
      <c r="G40" s="29">
        <v>0</v>
      </c>
      <c r="H40" s="16">
        <v>0</v>
      </c>
      <c r="I40" s="16">
        <f t="shared" si="2"/>
        <v>1.3268436031654758</v>
      </c>
      <c r="J40" s="17">
        <f t="shared" si="3"/>
        <v>4.8308014223663466E-2</v>
      </c>
      <c r="K40" s="19">
        <f t="shared" si="4"/>
        <v>1.8621776318239594E-2</v>
      </c>
      <c r="L40" s="18">
        <f t="shared" si="5"/>
        <v>1501.161415879508</v>
      </c>
      <c r="M40" s="31"/>
      <c r="N40" s="36"/>
      <c r="O40" s="38"/>
      <c r="P40" s="37"/>
      <c r="Q40" s="37"/>
      <c r="R40" s="37"/>
      <c r="S40" s="37"/>
      <c r="T40" s="37">
        <f t="shared" si="10"/>
        <v>16</v>
      </c>
      <c r="U40" s="55">
        <v>41071</v>
      </c>
      <c r="V40" s="40">
        <v>1308.93</v>
      </c>
      <c r="W40" s="59"/>
      <c r="X40" s="40"/>
      <c r="Y40" s="40"/>
      <c r="Z40" s="44"/>
      <c r="AA40" s="44"/>
      <c r="AB40" s="44"/>
      <c r="AC40" s="44"/>
      <c r="AD40" s="44"/>
    </row>
    <row r="41" spans="1:30" x14ac:dyDescent="0.2">
      <c r="A41" s="11">
        <f t="shared" si="0"/>
        <v>38</v>
      </c>
      <c r="B41" s="15">
        <f t="shared" si="1"/>
        <v>0.1507936507936507</v>
      </c>
      <c r="C41" s="51">
        <v>3.8530845108368199E-9</v>
      </c>
      <c r="D41" s="51">
        <v>2.4109806654339001E-2</v>
      </c>
      <c r="E41" s="16">
        <v>-0.94083279445943413</v>
      </c>
      <c r="F41" s="16">
        <v>0.87968035850192539</v>
      </c>
      <c r="G41" s="29">
        <v>0</v>
      </c>
      <c r="H41" s="16">
        <v>0</v>
      </c>
      <c r="I41" s="16">
        <f t="shared" si="2"/>
        <v>1.2819687248448033</v>
      </c>
      <c r="J41" s="17">
        <f t="shared" si="3"/>
        <v>3.7247054041251303E-2</v>
      </c>
      <c r="K41" s="19">
        <f t="shared" si="4"/>
        <v>1.7657026841095585E-2</v>
      </c>
      <c r="L41" s="18">
        <f t="shared" si="5"/>
        <v>1527.9028556901517</v>
      </c>
      <c r="M41" s="31"/>
      <c r="N41" s="36"/>
      <c r="O41" s="38"/>
      <c r="P41" s="37"/>
      <c r="Q41" s="37"/>
      <c r="R41" s="37"/>
      <c r="S41" s="37"/>
      <c r="T41" s="37">
        <f t="shared" si="10"/>
        <v>17</v>
      </c>
      <c r="U41" s="55">
        <v>41072</v>
      </c>
      <c r="V41" s="40">
        <v>1324.18</v>
      </c>
      <c r="W41" s="59"/>
      <c r="X41" s="40"/>
      <c r="Y41" s="40"/>
      <c r="Z41" s="44"/>
      <c r="AA41" s="44"/>
      <c r="AB41" s="44"/>
      <c r="AC41" s="44"/>
      <c r="AD41" s="44"/>
    </row>
    <row r="42" spans="1:30" x14ac:dyDescent="0.2">
      <c r="A42" s="11">
        <f t="shared" si="0"/>
        <v>39</v>
      </c>
      <c r="B42" s="15">
        <f t="shared" si="1"/>
        <v>0.15476190476190466</v>
      </c>
      <c r="C42" s="51">
        <v>3.8530845108368199E-9</v>
      </c>
      <c r="D42" s="51">
        <v>2.4109806654339001E-2</v>
      </c>
      <c r="E42" s="16">
        <v>-0.47472925483161899</v>
      </c>
      <c r="F42" s="16">
        <v>0.27140287004945346</v>
      </c>
      <c r="G42" s="29">
        <v>0</v>
      </c>
      <c r="H42" s="16">
        <v>0</v>
      </c>
      <c r="I42" s="16">
        <f t="shared" si="2"/>
        <v>0.5174224247229342</v>
      </c>
      <c r="J42" s="17">
        <f t="shared" si="3"/>
        <v>3.1873033868002706E-2</v>
      </c>
      <c r="K42" s="19">
        <f t="shared" si="4"/>
        <v>6.2200311220741876E-3</v>
      </c>
      <c r="L42" s="18">
        <f t="shared" si="5"/>
        <v>1537.4360767341338</v>
      </c>
      <c r="M42" s="50"/>
      <c r="N42" s="36"/>
      <c r="O42" s="38"/>
      <c r="P42" s="37"/>
      <c r="Q42" s="37"/>
      <c r="R42" s="37"/>
      <c r="S42" s="37"/>
      <c r="T42" s="37">
        <f t="shared" si="10"/>
        <v>18</v>
      </c>
      <c r="U42" s="55">
        <v>41073</v>
      </c>
      <c r="V42" s="40">
        <v>1314.88</v>
      </c>
      <c r="W42" s="59"/>
      <c r="X42" s="40"/>
      <c r="Y42" s="40"/>
      <c r="Z42" s="44"/>
      <c r="AA42" s="44"/>
      <c r="AB42" s="44"/>
      <c r="AC42" s="44"/>
      <c r="AD42" s="44"/>
    </row>
    <row r="43" spans="1:30" x14ac:dyDescent="0.2">
      <c r="A43" s="11">
        <f t="shared" si="0"/>
        <v>40</v>
      </c>
      <c r="B43" s="15">
        <f t="shared" si="1"/>
        <v>0.15873015873015861</v>
      </c>
      <c r="C43" s="51">
        <v>3.8530845108368199E-9</v>
      </c>
      <c r="D43" s="51">
        <v>2.4109806654339001E-2</v>
      </c>
      <c r="E43" s="16">
        <v>0.7827275719894401</v>
      </c>
      <c r="F43" s="16">
        <v>0.64226990471901879</v>
      </c>
      <c r="G43" s="29">
        <v>0</v>
      </c>
      <c r="H43" s="16">
        <v>0</v>
      </c>
      <c r="I43" s="16">
        <f t="shared" si="2"/>
        <v>-3.5258158915345283E-2</v>
      </c>
      <c r="J43" s="17">
        <f t="shared" si="3"/>
        <v>3.9067881466849405E-2</v>
      </c>
      <c r="K43" s="19">
        <f t="shared" si="4"/>
        <v>-4.5641522299241083E-4</v>
      </c>
      <c r="L43" s="18">
        <f t="shared" si="5"/>
        <v>1536.7345276153619</v>
      </c>
      <c r="M43" s="31"/>
      <c r="N43" s="36"/>
      <c r="O43" s="38"/>
      <c r="P43" s="37"/>
      <c r="Q43" s="37"/>
      <c r="R43" s="37"/>
      <c r="S43" s="37"/>
      <c r="T43" s="37">
        <f t="shared" si="10"/>
        <v>19</v>
      </c>
      <c r="U43" s="55">
        <v>41074</v>
      </c>
      <c r="V43" s="40">
        <v>1329.1</v>
      </c>
      <c r="W43" s="59"/>
      <c r="X43" s="40"/>
      <c r="Y43" s="40"/>
      <c r="Z43" s="44"/>
      <c r="AA43" s="44"/>
      <c r="AB43" s="44"/>
      <c r="AC43" s="44"/>
      <c r="AD43" s="44"/>
    </row>
    <row r="44" spans="1:30" x14ac:dyDescent="0.2">
      <c r="A44" s="11">
        <f t="shared" si="0"/>
        <v>41</v>
      </c>
      <c r="B44" s="15">
        <f t="shared" si="1"/>
        <v>0.16269841269841256</v>
      </c>
      <c r="C44" s="51">
        <v>3.8530845108368199E-9</v>
      </c>
      <c r="D44" s="51">
        <v>2.4109806654339001E-2</v>
      </c>
      <c r="E44" s="16">
        <v>0.86912417553135513</v>
      </c>
      <c r="F44" s="16">
        <v>0.14833664350965034</v>
      </c>
      <c r="G44" s="29">
        <v>0</v>
      </c>
      <c r="H44" s="16">
        <v>0</v>
      </c>
      <c r="I44" s="16">
        <f t="shared" si="2"/>
        <v>-0.46305198172739787</v>
      </c>
      <c r="J44" s="17">
        <f t="shared" si="3"/>
        <v>4.8037443243885758E-2</v>
      </c>
      <c r="K44" s="19">
        <f t="shared" si="4"/>
        <v>-5.8396975412341639E-3</v>
      </c>
      <c r="L44" s="18">
        <f t="shared" si="5"/>
        <v>1527.7866147537979</v>
      </c>
      <c r="M44" s="31"/>
      <c r="N44" s="36"/>
      <c r="O44" s="38"/>
      <c r="P44" s="37"/>
      <c r="Q44" s="37"/>
      <c r="R44" s="37"/>
      <c r="S44" s="37"/>
      <c r="T44" s="37">
        <f t="shared" si="10"/>
        <v>20</v>
      </c>
      <c r="U44" s="55">
        <v>41075</v>
      </c>
      <c r="V44" s="40">
        <v>1342.84</v>
      </c>
      <c r="W44" s="59"/>
      <c r="X44" s="40"/>
      <c r="Y44" s="40"/>
      <c r="Z44" s="44"/>
      <c r="AA44" s="44"/>
      <c r="AB44" s="44"/>
      <c r="AC44" s="44"/>
      <c r="AD44" s="44"/>
    </row>
    <row r="45" spans="1:30" x14ac:dyDescent="0.2">
      <c r="A45" s="11">
        <f t="shared" si="0"/>
        <v>42</v>
      </c>
      <c r="B45" s="15">
        <f t="shared" si="1"/>
        <v>0.16666666666666652</v>
      </c>
      <c r="C45" s="51">
        <v>3.8530845108368199E-9</v>
      </c>
      <c r="D45" s="51">
        <v>2.4109806654339001E-2</v>
      </c>
      <c r="E45" s="16">
        <v>1.115236033461964</v>
      </c>
      <c r="F45" s="16">
        <v>0.51728124335351222</v>
      </c>
      <c r="G45" s="29">
        <v>0</v>
      </c>
      <c r="H45" s="16">
        <v>0</v>
      </c>
      <c r="I45" s="16">
        <f t="shared" si="2"/>
        <v>-0.34880719851712816</v>
      </c>
      <c r="J45" s="17">
        <f t="shared" si="3"/>
        <v>6.1172726180957072E-2</v>
      </c>
      <c r="K45" s="19">
        <f t="shared" si="4"/>
        <v>-4.907835963821371E-3</v>
      </c>
      <c r="L45" s="18">
        <f t="shared" si="5"/>
        <v>1520.3068583831664</v>
      </c>
      <c r="M45" s="31"/>
      <c r="N45" s="36"/>
      <c r="O45" s="38"/>
      <c r="P45" s="37"/>
      <c r="Q45" s="37"/>
      <c r="R45" s="37"/>
      <c r="S45" s="37"/>
      <c r="T45" s="37">
        <f t="shared" si="10"/>
        <v>21</v>
      </c>
      <c r="U45" s="55">
        <v>41078</v>
      </c>
      <c r="V45" s="40">
        <v>1344.78</v>
      </c>
      <c r="W45" s="59"/>
      <c r="X45" s="40"/>
      <c r="Y45" s="40"/>
      <c r="Z45" s="44"/>
      <c r="AA45" s="44"/>
      <c r="AB45" s="44"/>
      <c r="AC45" s="44"/>
      <c r="AD45" s="44"/>
    </row>
    <row r="46" spans="1:30" x14ac:dyDescent="0.2">
      <c r="A46" s="11">
        <f t="shared" si="0"/>
        <v>43</v>
      </c>
      <c r="B46" s="15">
        <f t="shared" si="1"/>
        <v>0.17063492063492047</v>
      </c>
      <c r="C46" s="51">
        <v>3.8530845108368199E-9</v>
      </c>
      <c r="D46" s="51">
        <v>2.4109806654339001E-2</v>
      </c>
      <c r="E46" s="16">
        <v>0.91406130554235754</v>
      </c>
      <c r="F46" s="16">
        <v>0.38075604168688626</v>
      </c>
      <c r="G46" s="29">
        <v>0</v>
      </c>
      <c r="H46" s="16">
        <v>0</v>
      </c>
      <c r="I46" s="16">
        <f t="shared" si="2"/>
        <v>-0.31831888181983004</v>
      </c>
      <c r="J46" s="17">
        <f t="shared" si="3"/>
        <v>7.2998733198106444E-2</v>
      </c>
      <c r="K46" s="19">
        <f t="shared" si="4"/>
        <v>-5.077560096320796E-3</v>
      </c>
      <c r="L46" s="18">
        <f t="shared" si="5"/>
        <v>1512.6069738011761</v>
      </c>
      <c r="M46" s="31"/>
      <c r="N46" s="36"/>
      <c r="O46" s="38"/>
      <c r="P46" s="37"/>
      <c r="Q46" s="37"/>
      <c r="R46" s="37"/>
      <c r="S46" s="37"/>
      <c r="T46" s="37">
        <f t="shared" si="10"/>
        <v>22</v>
      </c>
      <c r="U46" s="55">
        <v>41079</v>
      </c>
      <c r="V46" s="40">
        <v>1357.98</v>
      </c>
      <c r="W46" s="59"/>
      <c r="X46" s="40"/>
      <c r="Y46" s="40"/>
      <c r="Z46" s="44"/>
      <c r="AA46" s="44"/>
      <c r="AB46" s="44"/>
      <c r="AC46" s="44"/>
      <c r="AD46" s="44"/>
    </row>
    <row r="47" spans="1:30" x14ac:dyDescent="0.2">
      <c r="A47" s="80">
        <f t="shared" si="0"/>
        <v>44</v>
      </c>
      <c r="B47" s="81">
        <f t="shared" si="1"/>
        <v>0.17460317460317443</v>
      </c>
      <c r="C47" s="51">
        <v>3.8530845108368199E-9</v>
      </c>
      <c r="D47" s="51">
        <v>2.4109806654339001E-2</v>
      </c>
      <c r="E47" s="16">
        <v>-0.55127806704474636</v>
      </c>
      <c r="F47" s="16">
        <v>0.2347080196503851</v>
      </c>
      <c r="G47" s="29">
        <v>0</v>
      </c>
      <c r="H47" s="16">
        <v>0</v>
      </c>
      <c r="I47" s="16">
        <f t="shared" si="2"/>
        <v>0.54047180357777658</v>
      </c>
      <c r="J47" s="17">
        <f t="shared" si="3"/>
        <v>6.4507716777989818E-2</v>
      </c>
      <c r="K47" s="19">
        <f t="shared" si="4"/>
        <v>9.0572958669054137E-3</v>
      </c>
      <c r="L47" s="18">
        <f t="shared" si="5"/>
        <v>1526.3693334926602</v>
      </c>
      <c r="M47" s="31"/>
      <c r="N47" s="36"/>
      <c r="O47" s="38"/>
      <c r="P47" s="37"/>
      <c r="Q47" s="37"/>
      <c r="R47" s="37"/>
      <c r="S47" s="37"/>
      <c r="T47" s="37">
        <f t="shared" si="10"/>
        <v>23</v>
      </c>
      <c r="U47" s="55">
        <v>41080</v>
      </c>
      <c r="V47" s="40">
        <v>1355.69</v>
      </c>
      <c r="W47" s="59"/>
      <c r="X47" s="40"/>
      <c r="Y47" s="40"/>
      <c r="Z47" s="44"/>
      <c r="AA47" s="44"/>
      <c r="AB47" s="44"/>
      <c r="AC47" s="44"/>
      <c r="AD47" s="44"/>
    </row>
    <row r="48" spans="1:30" x14ac:dyDescent="0.2">
      <c r="A48" s="11">
        <f t="shared" si="0"/>
        <v>45</v>
      </c>
      <c r="B48" s="15">
        <f t="shared" si="1"/>
        <v>0.17857142857142838</v>
      </c>
      <c r="C48" s="51">
        <v>1.21535444614248E-2</v>
      </c>
      <c r="D48" s="51">
        <v>2.47477979498547E-2</v>
      </c>
      <c r="E48" s="16">
        <v>-0.47059809173485828</v>
      </c>
      <c r="F48" s="16">
        <v>-5.2657162913291339E-2</v>
      </c>
      <c r="G48" s="29">
        <v>0</v>
      </c>
      <c r="H48" s="16">
        <v>0</v>
      </c>
      <c r="I48" s="16">
        <f t="shared" si="2"/>
        <v>0.27148524823188602</v>
      </c>
      <c r="J48" s="17">
        <f t="shared" si="3"/>
        <v>5.7550834757428261E-2</v>
      </c>
      <c r="K48" s="19">
        <f t="shared" si="4"/>
        <v>4.264675261550218E-3</v>
      </c>
      <c r="L48" s="18">
        <f t="shared" si="5"/>
        <v>1532.8927031688804</v>
      </c>
      <c r="M48" s="31"/>
      <c r="N48" s="36"/>
      <c r="O48" s="38"/>
      <c r="P48" s="37"/>
      <c r="Q48" s="37"/>
      <c r="R48" s="37"/>
      <c r="S48" s="37"/>
      <c r="T48" s="37">
        <f t="shared" si="10"/>
        <v>24</v>
      </c>
      <c r="U48" s="55">
        <v>41081</v>
      </c>
      <c r="V48" s="40">
        <v>1325.51</v>
      </c>
      <c r="W48" s="59"/>
      <c r="X48" s="40"/>
      <c r="Y48" s="40"/>
      <c r="Z48" s="44"/>
      <c r="AA48" s="44"/>
      <c r="AB48" s="44"/>
      <c r="AC48" s="44"/>
      <c r="AD48" s="44"/>
    </row>
    <row r="49" spans="1:30" x14ac:dyDescent="0.2">
      <c r="A49" s="11">
        <f t="shared" si="0"/>
        <v>46</v>
      </c>
      <c r="B49" s="15">
        <f t="shared" si="1"/>
        <v>0.18253968253968234</v>
      </c>
      <c r="C49" s="51">
        <v>1.21535444614248E-2</v>
      </c>
      <c r="D49" s="51">
        <v>2.47477979498547E-2</v>
      </c>
      <c r="E49" s="16">
        <v>-0.69257064953109426</v>
      </c>
      <c r="F49" s="16">
        <v>-0.38598428238899968</v>
      </c>
      <c r="G49" s="29">
        <v>0</v>
      </c>
      <c r="H49" s="16">
        <v>0</v>
      </c>
      <c r="I49" s="16">
        <f t="shared" si="2"/>
        <v>0.16801842566526259</v>
      </c>
      <c r="J49" s="17">
        <f t="shared" si="3"/>
        <v>4.8327200320686797E-2</v>
      </c>
      <c r="K49" s="19">
        <f t="shared" si="4"/>
        <v>2.4739743163837273E-3</v>
      </c>
      <c r="L49" s="18">
        <f t="shared" si="5"/>
        <v>1536.6897352896049</v>
      </c>
      <c r="M49" s="31"/>
      <c r="N49" s="36"/>
      <c r="O49" s="38"/>
      <c r="P49" s="37"/>
      <c r="Q49" s="37"/>
      <c r="R49" s="37"/>
      <c r="S49" s="37"/>
      <c r="T49" s="37">
        <f t="shared" si="10"/>
        <v>25</v>
      </c>
      <c r="U49" s="55">
        <v>41082</v>
      </c>
      <c r="V49" s="40">
        <v>1335.02</v>
      </c>
      <c r="W49" s="59"/>
      <c r="X49" s="40"/>
      <c r="Y49" s="40"/>
      <c r="Z49" s="44"/>
      <c r="AA49" s="44"/>
      <c r="AB49" s="44"/>
      <c r="AC49" s="44"/>
      <c r="AD49" s="44"/>
    </row>
    <row r="50" spans="1:30" x14ac:dyDescent="0.2">
      <c r="A50" s="11">
        <f t="shared" si="0"/>
        <v>47</v>
      </c>
      <c r="B50" s="15">
        <f t="shared" si="1"/>
        <v>0.18650793650793629</v>
      </c>
      <c r="C50" s="51">
        <v>1.21535444614248E-2</v>
      </c>
      <c r="D50" s="51">
        <v>2.47477979498547E-2</v>
      </c>
      <c r="E50" s="16">
        <v>1.0320943065564765</v>
      </c>
      <c r="F50" s="16">
        <v>1.409622320352957</v>
      </c>
      <c r="G50" s="29">
        <v>0</v>
      </c>
      <c r="H50" s="16">
        <v>0</v>
      </c>
      <c r="I50" s="16">
        <f t="shared" si="2"/>
        <v>0.37584058556163491</v>
      </c>
      <c r="J50" s="17">
        <f t="shared" si="3"/>
        <v>6.0404963400089461E-2</v>
      </c>
      <c r="K50" s="19">
        <f t="shared" si="4"/>
        <v>5.1579019024186176E-3</v>
      </c>
      <c r="L50" s="18">
        <f t="shared" si="5"/>
        <v>1544.6363063982933</v>
      </c>
      <c r="M50" s="31"/>
      <c r="N50" s="36"/>
      <c r="O50" s="38"/>
      <c r="P50" s="37"/>
      <c r="Q50" s="37"/>
      <c r="R50" s="37"/>
      <c r="S50" s="37"/>
      <c r="T50" s="37">
        <f t="shared" si="10"/>
        <v>26</v>
      </c>
      <c r="U50" s="55">
        <v>41085</v>
      </c>
      <c r="V50" s="40">
        <v>1313.72</v>
      </c>
      <c r="W50" s="59"/>
      <c r="X50" s="40"/>
      <c r="Y50" s="40"/>
      <c r="Z50" s="44"/>
      <c r="AA50" s="44"/>
      <c r="AB50" s="44"/>
      <c r="AC50" s="44"/>
      <c r="AD50" s="44"/>
    </row>
    <row r="51" spans="1:30" x14ac:dyDescent="0.2">
      <c r="A51" s="11">
        <f t="shared" si="0"/>
        <v>48</v>
      </c>
      <c r="B51" s="15">
        <f t="shared" si="1"/>
        <v>0.19047619047619024</v>
      </c>
      <c r="C51" s="51">
        <v>1.21535444614248E-2</v>
      </c>
      <c r="D51" s="51">
        <v>2.47477979498547E-2</v>
      </c>
      <c r="E51" s="16">
        <v>0.66930280831561506</v>
      </c>
      <c r="F51" s="16">
        <v>-0.23172194770393109</v>
      </c>
      <c r="G51" s="29">
        <v>0</v>
      </c>
      <c r="H51" s="16">
        <v>0</v>
      </c>
      <c r="I51" s="16">
        <f t="shared" si="2"/>
        <v>-0.61622983826425715</v>
      </c>
      <c r="J51" s="17">
        <f t="shared" si="3"/>
        <v>6.869345131462827E-2</v>
      </c>
      <c r="K51" s="19">
        <f t="shared" si="4"/>
        <v>-9.6114717356244397E-3</v>
      </c>
      <c r="L51" s="18">
        <f t="shared" si="5"/>
        <v>1529.8611972137053</v>
      </c>
      <c r="M51" s="31"/>
      <c r="N51" s="36"/>
      <c r="O51" s="38"/>
      <c r="P51" s="37"/>
      <c r="Q51" s="37"/>
      <c r="R51" s="37"/>
      <c r="S51" s="37"/>
      <c r="T51" s="37">
        <f t="shared" si="10"/>
        <v>27</v>
      </c>
      <c r="U51" s="55">
        <v>41086</v>
      </c>
      <c r="V51" s="40">
        <v>1319.99</v>
      </c>
      <c r="W51" s="59"/>
      <c r="X51" s="40"/>
      <c r="Y51" s="40"/>
      <c r="Z51" s="44"/>
      <c r="AA51" s="44"/>
      <c r="AB51" s="44"/>
      <c r="AC51" s="44"/>
      <c r="AD51" s="44"/>
    </row>
    <row r="52" spans="1:30" x14ac:dyDescent="0.2">
      <c r="A52" s="11">
        <f t="shared" si="0"/>
        <v>49</v>
      </c>
      <c r="B52" s="15">
        <f t="shared" si="1"/>
        <v>0.1944444444444442</v>
      </c>
      <c r="C52" s="51">
        <v>1.21535444614248E-2</v>
      </c>
      <c r="D52" s="51">
        <v>2.47477979498547E-2</v>
      </c>
      <c r="E52" s="16">
        <v>-1.8619347000993947</v>
      </c>
      <c r="F52" s="16">
        <v>0.27561292943784699</v>
      </c>
      <c r="G52" s="29">
        <v>0</v>
      </c>
      <c r="H52" s="16">
        <v>0</v>
      </c>
      <c r="I52" s="16">
        <f t="shared" si="2"/>
        <v>1.4373453652993422</v>
      </c>
      <c r="J52" s="17">
        <f t="shared" si="3"/>
        <v>4.4453268227205051E-2</v>
      </c>
      <c r="K52" s="19">
        <f t="shared" si="4"/>
        <v>2.3643886614562931E-2</v>
      </c>
      <c r="L52" s="18">
        <f t="shared" si="5"/>
        <v>1566.4640738593175</v>
      </c>
      <c r="M52" s="31"/>
      <c r="N52" s="36"/>
      <c r="O52" s="38"/>
      <c r="P52" s="37"/>
      <c r="Q52" s="37"/>
      <c r="R52" s="37"/>
      <c r="S52" s="37"/>
      <c r="T52" s="37">
        <f t="shared" si="10"/>
        <v>28</v>
      </c>
      <c r="U52" s="55">
        <v>41087</v>
      </c>
      <c r="V52" s="40">
        <v>1331.85</v>
      </c>
      <c r="W52" s="59"/>
      <c r="X52" s="40"/>
      <c r="Y52" s="40"/>
      <c r="Z52" s="44"/>
      <c r="AA52" s="44"/>
      <c r="AB52" s="44"/>
      <c r="AC52" s="44"/>
      <c r="AD52" s="44"/>
    </row>
    <row r="53" spans="1:30" x14ac:dyDescent="0.2">
      <c r="A53" s="11">
        <f t="shared" si="0"/>
        <v>50</v>
      </c>
      <c r="B53" s="15">
        <f t="shared" si="1"/>
        <v>0.19841269841269815</v>
      </c>
      <c r="C53" s="51">
        <v>1.21535444614248E-2</v>
      </c>
      <c r="D53" s="51">
        <v>2.47477979498547E-2</v>
      </c>
      <c r="E53" s="16">
        <v>-1.0319660495428187</v>
      </c>
      <c r="F53" s="16">
        <v>-0.7580275799586047</v>
      </c>
      <c r="G53" s="29">
        <v>0</v>
      </c>
      <c r="H53" s="16">
        <v>0</v>
      </c>
      <c r="I53" s="16">
        <f t="shared" si="2"/>
        <v>0.11309642041591272</v>
      </c>
      <c r="J53" s="17">
        <f t="shared" si="3"/>
        <v>3.2960235747950595E-2</v>
      </c>
      <c r="K53" s="19">
        <f t="shared" si="4"/>
        <v>1.4629515676265459E-3</v>
      </c>
      <c r="L53" s="18">
        <f t="shared" si="5"/>
        <v>1568.757412044125</v>
      </c>
      <c r="M53" s="31"/>
      <c r="N53" s="36"/>
      <c r="O53" s="38"/>
      <c r="P53" s="37"/>
      <c r="Q53" s="37"/>
      <c r="R53" s="37"/>
      <c r="S53" s="37"/>
      <c r="T53" s="37">
        <f t="shared" si="10"/>
        <v>29</v>
      </c>
      <c r="U53" s="55">
        <v>41088</v>
      </c>
      <c r="V53" s="40">
        <v>1329.04</v>
      </c>
      <c r="W53" s="59"/>
      <c r="X53" s="40"/>
      <c r="Y53" s="40"/>
      <c r="Z53" s="44"/>
      <c r="AA53" s="44"/>
      <c r="AB53" s="44"/>
      <c r="AC53" s="44"/>
      <c r="AD53" s="44"/>
    </row>
    <row r="54" spans="1:30" x14ac:dyDescent="0.2">
      <c r="A54" s="11">
        <f t="shared" si="0"/>
        <v>51</v>
      </c>
      <c r="B54" s="15">
        <f t="shared" si="1"/>
        <v>0.20238095238095211</v>
      </c>
      <c r="C54" s="51">
        <v>1.21535444614248E-2</v>
      </c>
      <c r="D54" s="51">
        <v>2.47477979498547E-2</v>
      </c>
      <c r="E54" s="16">
        <v>-1.5091418338933775</v>
      </c>
      <c r="F54" s="16">
        <v>-0.14187284030998887</v>
      </c>
      <c r="G54" s="29">
        <v>0</v>
      </c>
      <c r="H54" s="16">
        <v>0</v>
      </c>
      <c r="I54" s="16">
        <f t="shared" si="2"/>
        <v>0.89087191751436834</v>
      </c>
      <c r="J54" s="17">
        <f t="shared" si="3"/>
        <v>1.9369671315875272E-2</v>
      </c>
      <c r="K54" s="19">
        <f t="shared" si="4"/>
        <v>1.0172147439396194E-2</v>
      </c>
      <c r="L54" s="18">
        <f t="shared" si="5"/>
        <v>1584.7964813247506</v>
      </c>
      <c r="M54" s="31"/>
      <c r="N54" s="36"/>
      <c r="O54" s="38"/>
      <c r="P54" s="37"/>
      <c r="Q54" s="37"/>
      <c r="R54" s="37"/>
      <c r="S54" s="37"/>
      <c r="T54" s="37">
        <f t="shared" si="10"/>
        <v>30</v>
      </c>
      <c r="U54" s="55">
        <v>41089</v>
      </c>
      <c r="V54" s="40">
        <v>1362.16</v>
      </c>
      <c r="W54" s="59"/>
      <c r="X54" s="40"/>
      <c r="Y54" s="40"/>
      <c r="Z54" s="44"/>
      <c r="AA54" s="44"/>
      <c r="AB54" s="44"/>
      <c r="AC54" s="44"/>
      <c r="AD54" s="44"/>
    </row>
    <row r="55" spans="1:30" x14ac:dyDescent="0.2">
      <c r="A55" s="11">
        <f t="shared" si="0"/>
        <v>52</v>
      </c>
      <c r="B55" s="15">
        <f t="shared" si="1"/>
        <v>0.20634920634920606</v>
      </c>
      <c r="C55" s="51">
        <v>1.21535444614248E-2</v>
      </c>
      <c r="D55" s="51">
        <v>2.47477979498547E-2</v>
      </c>
      <c r="E55" s="16">
        <v>0.32826563012633247</v>
      </c>
      <c r="F55" s="16">
        <v>0.73380529597050026</v>
      </c>
      <c r="G55" s="29">
        <v>0</v>
      </c>
      <c r="H55" s="16">
        <v>0</v>
      </c>
      <c r="I55" s="16">
        <f t="shared" si="2"/>
        <v>0.3337796753109572</v>
      </c>
      <c r="J55" s="17">
        <f t="shared" si="3"/>
        <v>2.1263956269836799E-2</v>
      </c>
      <c r="K55" s="19">
        <f t="shared" si="4"/>
        <v>2.936927880473123E-3</v>
      </c>
      <c r="L55" s="18">
        <f t="shared" si="5"/>
        <v>1589.457755858695</v>
      </c>
      <c r="M55" s="31"/>
      <c r="N55" s="36"/>
      <c r="O55" s="38"/>
      <c r="P55" s="37"/>
      <c r="Q55" s="37"/>
      <c r="R55" s="37"/>
      <c r="S55" s="37"/>
      <c r="T55" s="37">
        <f t="shared" si="10"/>
        <v>31</v>
      </c>
      <c r="U55" s="55">
        <v>41092</v>
      </c>
      <c r="V55" s="40">
        <v>1365.51</v>
      </c>
      <c r="W55" s="59"/>
      <c r="X55" s="40"/>
      <c r="Y55" s="40"/>
      <c r="Z55" s="44"/>
      <c r="AA55" s="44"/>
      <c r="AB55" s="44"/>
      <c r="AC55" s="44"/>
      <c r="AD55" s="44"/>
    </row>
    <row r="56" spans="1:30" x14ac:dyDescent="0.2">
      <c r="A56" s="11">
        <f t="shared" si="0"/>
        <v>53</v>
      </c>
      <c r="B56" s="15">
        <f t="shared" si="1"/>
        <v>0.21031746031746001</v>
      </c>
      <c r="C56" s="51">
        <v>1.21535444614248E-2</v>
      </c>
      <c r="D56" s="51">
        <v>2.47477979498547E-2</v>
      </c>
      <c r="E56" s="16">
        <v>-0.73952731642445202</v>
      </c>
      <c r="F56" s="16">
        <v>-1.3272256307181014</v>
      </c>
      <c r="G56" s="29">
        <v>0</v>
      </c>
      <c r="H56" s="16">
        <v>0</v>
      </c>
      <c r="I56" s="16">
        <f t="shared" si="2"/>
        <v>-0.50735080238558217</v>
      </c>
      <c r="J56" s="17">
        <f t="shared" si="3"/>
        <v>1.5313968122423178E-2</v>
      </c>
      <c r="K56" s="19">
        <f t="shared" si="4"/>
        <v>-4.6536176843142056E-3</v>
      </c>
      <c r="L56" s="18">
        <f t="shared" si="5"/>
        <v>1582.0782112449292</v>
      </c>
      <c r="M56" s="31"/>
      <c r="N56" s="36"/>
      <c r="O56" s="38"/>
      <c r="P56" s="37"/>
      <c r="Q56" s="37"/>
      <c r="R56" s="37"/>
      <c r="S56" s="37"/>
      <c r="T56" s="37">
        <f t="shared" si="10"/>
        <v>32</v>
      </c>
      <c r="U56" s="54">
        <v>41093</v>
      </c>
      <c r="V56">
        <v>1374.02</v>
      </c>
      <c r="W56" s="59"/>
      <c r="X56" s="40"/>
      <c r="Y56" s="40"/>
      <c r="Z56" s="44"/>
      <c r="AA56" s="44"/>
      <c r="AB56" s="44"/>
      <c r="AC56" s="44"/>
      <c r="AD56" s="44"/>
    </row>
    <row r="57" spans="1:30" x14ac:dyDescent="0.2">
      <c r="A57" s="11">
        <f t="shared" si="0"/>
        <v>54</v>
      </c>
      <c r="B57" s="15">
        <f t="shared" si="1"/>
        <v>0.21428571428571397</v>
      </c>
      <c r="C57" s="51">
        <v>1.21535444614248E-2</v>
      </c>
      <c r="D57" s="51">
        <v>2.47477979498547E-2</v>
      </c>
      <c r="E57" s="16">
        <v>0.48326184729137583</v>
      </c>
      <c r="F57" s="16">
        <v>-1.91196142039607</v>
      </c>
      <c r="G57" s="29">
        <v>0</v>
      </c>
      <c r="H57" s="16">
        <v>0</v>
      </c>
      <c r="I57" s="16">
        <f t="shared" si="2"/>
        <v>-1.7543003412212164</v>
      </c>
      <c r="J57" s="17">
        <f t="shared" si="3"/>
        <v>1.8060682989880901E-2</v>
      </c>
      <c r="K57" s="19">
        <f t="shared" si="4"/>
        <v>-1.3656974304801853E-2</v>
      </c>
      <c r="L57" s="18">
        <f t="shared" si="5"/>
        <v>1560.6186794419898</v>
      </c>
      <c r="M57" s="31"/>
      <c r="N57" s="36"/>
      <c r="O57" s="38"/>
      <c r="P57" s="37"/>
      <c r="Q57" s="37"/>
      <c r="R57" s="37"/>
      <c r="S57" s="37"/>
      <c r="T57" s="37">
        <f t="shared" si="10"/>
        <v>33</v>
      </c>
      <c r="U57" s="54">
        <v>41095</v>
      </c>
      <c r="V57">
        <v>1367.58</v>
      </c>
      <c r="W57" s="59"/>
      <c r="X57" s="40"/>
      <c r="Y57" s="40"/>
      <c r="Z57" s="44"/>
      <c r="AA57" s="44"/>
      <c r="AB57" s="44"/>
      <c r="AC57" s="44"/>
      <c r="AD57" s="44"/>
    </row>
    <row r="58" spans="1:30" x14ac:dyDescent="0.2">
      <c r="A58" s="11">
        <f t="shared" si="0"/>
        <v>55</v>
      </c>
      <c r="B58" s="15">
        <f t="shared" si="1"/>
        <v>0.21825396825396792</v>
      </c>
      <c r="C58" s="51">
        <v>1.21535444614248E-2</v>
      </c>
      <c r="D58" s="51">
        <v>2.47477979498547E-2</v>
      </c>
      <c r="E58" s="16">
        <v>-0.30613834767660952</v>
      </c>
      <c r="F58" s="16">
        <v>-3.3628668934626398E-2</v>
      </c>
      <c r="G58" s="29">
        <v>0</v>
      </c>
      <c r="H58" s="16">
        <v>0</v>
      </c>
      <c r="I58" s="16">
        <f t="shared" si="2"/>
        <v>0.17707952113808173</v>
      </c>
      <c r="J58" s="17">
        <f t="shared" si="3"/>
        <v>1.5342515324662602E-2</v>
      </c>
      <c r="K58" s="19">
        <f t="shared" si="4"/>
        <v>1.5123280086762111E-3</v>
      </c>
      <c r="L58" s="18">
        <f t="shared" si="5"/>
        <v>1562.9806323553707</v>
      </c>
      <c r="M58" s="31"/>
      <c r="N58" s="36"/>
      <c r="O58" s="38"/>
      <c r="P58" s="37"/>
      <c r="Q58" s="37"/>
      <c r="R58" s="37"/>
      <c r="S58" s="37"/>
      <c r="T58" s="37">
        <f t="shared" si="10"/>
        <v>34</v>
      </c>
      <c r="U58" s="54">
        <v>41096</v>
      </c>
      <c r="V58">
        <v>1354.68</v>
      </c>
      <c r="W58" s="59"/>
      <c r="X58" s="40"/>
      <c r="Y58" s="40"/>
      <c r="Z58" s="44"/>
      <c r="AA58" s="44"/>
      <c r="AB58" s="44"/>
      <c r="AC58" s="44"/>
      <c r="AD58" s="44"/>
    </row>
    <row r="59" spans="1:30" x14ac:dyDescent="0.2">
      <c r="A59" s="11">
        <f t="shared" si="0"/>
        <v>56</v>
      </c>
      <c r="B59" s="15">
        <f t="shared" si="1"/>
        <v>0.22222222222222188</v>
      </c>
      <c r="C59" s="51">
        <v>1.21535444614248E-2</v>
      </c>
      <c r="D59" s="51">
        <v>2.47477979498547E-2</v>
      </c>
      <c r="E59" s="16">
        <v>0.39686107761811956</v>
      </c>
      <c r="F59" s="16">
        <v>1.2737712802143216E-2</v>
      </c>
      <c r="G59" s="29">
        <v>0</v>
      </c>
      <c r="H59" s="16">
        <v>0</v>
      </c>
      <c r="I59" s="16">
        <f t="shared" si="2"/>
        <v>-0.25271416572652561</v>
      </c>
      <c r="J59" s="17">
        <f t="shared" si="3"/>
        <v>1.7470675924640074E-2</v>
      </c>
      <c r="K59" s="19">
        <f t="shared" si="4"/>
        <v>-1.9532614146857458E-3</v>
      </c>
      <c r="L59" s="18">
        <f t="shared" si="5"/>
        <v>1559.930702219398</v>
      </c>
      <c r="M59" s="31"/>
      <c r="N59" s="36"/>
      <c r="O59" s="38"/>
      <c r="P59" s="37"/>
      <c r="Q59" s="37"/>
      <c r="R59" s="37"/>
      <c r="S59" s="37"/>
      <c r="T59" s="37">
        <f t="shared" si="10"/>
        <v>35</v>
      </c>
      <c r="U59" s="54">
        <v>41099</v>
      </c>
      <c r="V59">
        <v>1352.46</v>
      </c>
      <c r="W59" s="59"/>
      <c r="X59" s="40"/>
      <c r="Y59" s="40"/>
      <c r="Z59" s="44"/>
      <c r="AA59" s="44"/>
      <c r="AB59" s="44"/>
      <c r="AC59" s="44"/>
      <c r="AD59" s="44"/>
    </row>
    <row r="60" spans="1:30" x14ac:dyDescent="0.2">
      <c r="A60" s="11">
        <f t="shared" si="0"/>
        <v>57</v>
      </c>
      <c r="B60" s="15">
        <f t="shared" si="1"/>
        <v>0.22619047619047583</v>
      </c>
      <c r="C60" s="51">
        <v>1.21535444614248E-2</v>
      </c>
      <c r="D60" s="51">
        <v>2.47477979498547E-2</v>
      </c>
      <c r="E60" s="16">
        <v>-0.12671754180404676</v>
      </c>
      <c r="F60" s="16">
        <v>-0.45528269631074192</v>
      </c>
      <c r="G60" s="29">
        <v>0</v>
      </c>
      <c r="H60" s="16">
        <v>0</v>
      </c>
      <c r="I60" s="16">
        <f t="shared" si="2"/>
        <v>-0.2579457063372641</v>
      </c>
      <c r="J60" s="17">
        <f t="shared" si="3"/>
        <v>1.5994343289441396E-2</v>
      </c>
      <c r="K60" s="19">
        <f t="shared" si="4"/>
        <v>-2.1333628861552388E-3</v>
      </c>
      <c r="L60" s="18">
        <f t="shared" si="5"/>
        <v>1556.6063512386361</v>
      </c>
      <c r="M60" s="31"/>
      <c r="N60" s="36"/>
      <c r="O60" s="38"/>
      <c r="P60" s="37"/>
      <c r="Q60" s="37"/>
      <c r="R60" s="37"/>
      <c r="S60" s="37"/>
      <c r="T60" s="37">
        <f t="shared" si="10"/>
        <v>36</v>
      </c>
      <c r="U60" s="54">
        <v>41100</v>
      </c>
      <c r="V60">
        <v>1341.47</v>
      </c>
      <c r="W60" s="59"/>
      <c r="X60" s="40"/>
      <c r="Y60" s="40"/>
      <c r="Z60" s="44"/>
      <c r="AA60" s="44"/>
      <c r="AB60" s="44"/>
      <c r="AC60" s="44"/>
      <c r="AD60" s="44"/>
    </row>
    <row r="61" spans="1:30" x14ac:dyDescent="0.2">
      <c r="A61" s="11">
        <f t="shared" si="0"/>
        <v>58</v>
      </c>
      <c r="B61" s="15">
        <f t="shared" si="1"/>
        <v>0.23015873015872979</v>
      </c>
      <c r="C61" s="51">
        <v>1.21535444614248E-2</v>
      </c>
      <c r="D61" s="51">
        <v>2.47477979498547E-2</v>
      </c>
      <c r="E61" s="16">
        <v>-0.85798999279384469</v>
      </c>
      <c r="F61" s="16">
        <v>0.57677837599066839</v>
      </c>
      <c r="G61" s="29">
        <v>0</v>
      </c>
      <c r="H61" s="16">
        <v>0</v>
      </c>
      <c r="I61" s="16">
        <f t="shared" si="2"/>
        <v>0.99989245482841604</v>
      </c>
      <c r="J61" s="17">
        <f t="shared" si="3"/>
        <v>1.0161251111271873E-2</v>
      </c>
      <c r="K61" s="19">
        <f t="shared" si="4"/>
        <v>7.9832374467994818E-3</v>
      </c>
      <c r="L61" s="18">
        <f t="shared" si="5"/>
        <v>1569.0828444931788</v>
      </c>
      <c r="M61" s="31"/>
      <c r="N61" s="36"/>
      <c r="O61" s="38"/>
      <c r="P61" s="37"/>
      <c r="Q61" s="37"/>
      <c r="R61" s="37"/>
      <c r="S61" s="37"/>
      <c r="T61" s="37">
        <f t="shared" si="10"/>
        <v>37</v>
      </c>
      <c r="U61" s="54">
        <v>41101</v>
      </c>
      <c r="V61">
        <v>1341.45</v>
      </c>
      <c r="W61" s="59"/>
      <c r="X61" s="40"/>
      <c r="Y61" s="40"/>
      <c r="Z61" s="44"/>
      <c r="AA61" s="44"/>
      <c r="AB61" s="44"/>
      <c r="AC61" s="44"/>
      <c r="AD61" s="44"/>
    </row>
    <row r="62" spans="1:30" x14ac:dyDescent="0.2">
      <c r="A62" s="11">
        <f t="shared" si="0"/>
        <v>59</v>
      </c>
      <c r="B62" s="15">
        <f t="shared" si="1"/>
        <v>0.23412698412698374</v>
      </c>
      <c r="C62" s="51">
        <v>1.21535444614248E-2</v>
      </c>
      <c r="D62" s="51">
        <v>2.47477979498547E-2</v>
      </c>
      <c r="E62" s="16">
        <v>1.6595494298818834</v>
      </c>
      <c r="F62" s="16">
        <v>0.17432469395795253</v>
      </c>
      <c r="G62" s="29">
        <v>0</v>
      </c>
      <c r="H62" s="16">
        <v>0</v>
      </c>
      <c r="I62" s="16">
        <f t="shared" si="2"/>
        <v>-0.96591676344375399</v>
      </c>
      <c r="J62" s="17">
        <f t="shared" si="3"/>
        <v>2.0404424717090964E-2</v>
      </c>
      <c r="K62" s="19">
        <f t="shared" si="4"/>
        <v>-6.1046799654333427E-3</v>
      </c>
      <c r="L62" s="18">
        <f t="shared" si="5"/>
        <v>1559.5332740809449</v>
      </c>
      <c r="M62" s="31"/>
      <c r="N62" s="36"/>
      <c r="O62" s="38"/>
      <c r="P62" s="37"/>
      <c r="Q62" s="37"/>
      <c r="R62" s="37"/>
      <c r="S62" s="37"/>
      <c r="T62" s="37">
        <f t="shared" si="10"/>
        <v>38</v>
      </c>
      <c r="U62" s="54">
        <v>41102</v>
      </c>
      <c r="V62">
        <v>1334.76</v>
      </c>
      <c r="W62" s="59"/>
      <c r="X62" s="40"/>
      <c r="Y62" s="40"/>
      <c r="Z62" s="44"/>
      <c r="AA62" s="44"/>
      <c r="AB62" s="44"/>
      <c r="AC62" s="44"/>
      <c r="AD62" s="44"/>
    </row>
    <row r="63" spans="1:30" x14ac:dyDescent="0.2">
      <c r="A63" s="11">
        <f t="shared" si="0"/>
        <v>60</v>
      </c>
      <c r="B63" s="15">
        <f t="shared" si="1"/>
        <v>0.23809523809523769</v>
      </c>
      <c r="C63" s="51">
        <v>1.21535444614248E-2</v>
      </c>
      <c r="D63" s="51">
        <v>2.47477979498547E-2</v>
      </c>
      <c r="E63" s="16">
        <v>0.83402468687487497</v>
      </c>
      <c r="F63" s="16">
        <v>0.52513056348028941</v>
      </c>
      <c r="G63" s="29">
        <v>0</v>
      </c>
      <c r="H63" s="16">
        <v>0</v>
      </c>
      <c r="I63" s="16">
        <f t="shared" si="2"/>
        <v>-0.15707197413013424</v>
      </c>
      <c r="J63" s="17">
        <f t="shared" si="3"/>
        <v>2.6606132726491375E-2</v>
      </c>
      <c r="K63" s="19">
        <f t="shared" si="4"/>
        <v>-1.4048234025445326E-3</v>
      </c>
      <c r="L63" s="18">
        <f t="shared" si="5"/>
        <v>1557.343943412008</v>
      </c>
      <c r="M63" s="31"/>
      <c r="N63" s="36"/>
      <c r="O63" s="38"/>
      <c r="P63" s="37"/>
      <c r="Q63" s="37"/>
      <c r="R63" s="37"/>
      <c r="S63" s="37"/>
      <c r="T63" s="37">
        <f t="shared" si="10"/>
        <v>39</v>
      </c>
      <c r="U63" s="54">
        <v>41103</v>
      </c>
      <c r="V63">
        <v>1356.78</v>
      </c>
      <c r="W63" s="59"/>
      <c r="X63" s="40"/>
      <c r="Y63" s="40"/>
      <c r="Z63" s="44"/>
      <c r="AA63" s="44"/>
      <c r="AB63" s="44"/>
      <c r="AC63" s="44"/>
      <c r="AD63" s="44"/>
    </row>
    <row r="64" spans="1:30" x14ac:dyDescent="0.2">
      <c r="A64" s="11">
        <f t="shared" si="0"/>
        <v>61</v>
      </c>
      <c r="B64" s="15">
        <f t="shared" si="1"/>
        <v>0.24206349206349165</v>
      </c>
      <c r="C64" s="51">
        <v>1.21535444614248E-2</v>
      </c>
      <c r="D64" s="51">
        <v>2.47477979498547E-2</v>
      </c>
      <c r="E64" s="16">
        <v>-6.0627209746726175E-2</v>
      </c>
      <c r="F64" s="16">
        <v>1.6430749506222306</v>
      </c>
      <c r="G64" s="29">
        <v>0</v>
      </c>
      <c r="H64" s="16">
        <v>0</v>
      </c>
      <c r="I64" s="16">
        <f t="shared" si="2"/>
        <v>1.2731942754315981</v>
      </c>
      <c r="J64" s="17">
        <f t="shared" si="3"/>
        <v>2.5451763715376132E-2</v>
      </c>
      <c r="K64" s="19">
        <f t="shared" si="4"/>
        <v>1.3078592577422809E-2</v>
      </c>
      <c r="L64" s="18">
        <f t="shared" si="5"/>
        <v>1577.8455844235259</v>
      </c>
      <c r="M64" s="31"/>
      <c r="N64" s="36"/>
      <c r="O64" s="38"/>
      <c r="P64" s="37"/>
      <c r="Q64" s="37"/>
      <c r="R64" s="37"/>
      <c r="S64" s="37"/>
      <c r="T64" s="37">
        <f t="shared" si="10"/>
        <v>40</v>
      </c>
      <c r="U64" s="54">
        <v>41106</v>
      </c>
      <c r="V64">
        <v>1353.64</v>
      </c>
      <c r="W64" s="59"/>
      <c r="X64" s="40"/>
      <c r="Y64" s="40"/>
      <c r="Z64" s="44"/>
      <c r="AA64" s="44"/>
      <c r="AB64" s="44"/>
      <c r="AC64" s="44"/>
      <c r="AD64" s="44"/>
    </row>
    <row r="65" spans="1:30" x14ac:dyDescent="0.2">
      <c r="A65" s="11">
        <f t="shared" si="0"/>
        <v>62</v>
      </c>
      <c r="B65" s="15">
        <f t="shared" si="1"/>
        <v>0.2460317460317456</v>
      </c>
      <c r="C65" s="51">
        <v>1.21535444614248E-2</v>
      </c>
      <c r="D65" s="51">
        <v>2.47477979498547E-2</v>
      </c>
      <c r="E65" s="16">
        <v>-0.587565507165693</v>
      </c>
      <c r="F65" s="16">
        <v>3.2410849548617088E-3</v>
      </c>
      <c r="G65" s="29">
        <v>0</v>
      </c>
      <c r="H65" s="16">
        <v>0</v>
      </c>
      <c r="I65" s="16">
        <f t="shared" si="2"/>
        <v>0.39073720166202391</v>
      </c>
      <c r="J65" s="17">
        <f t="shared" si="3"/>
        <v>2.0092788651660701E-2</v>
      </c>
      <c r="K65" s="19">
        <f t="shared" si="4"/>
        <v>3.925389512568463E-3</v>
      </c>
      <c r="L65" s="18">
        <f t="shared" si="5"/>
        <v>1584.051415115795</v>
      </c>
      <c r="M65" s="31"/>
      <c r="N65" s="36"/>
      <c r="O65" s="38"/>
      <c r="P65" s="37"/>
      <c r="Q65" s="37"/>
      <c r="R65" s="37"/>
      <c r="S65" s="37"/>
      <c r="T65" s="37">
        <f t="shared" si="10"/>
        <v>41</v>
      </c>
      <c r="U65" s="54">
        <v>41107</v>
      </c>
      <c r="V65">
        <v>1363.67</v>
      </c>
      <c r="W65" s="59"/>
      <c r="X65" s="40"/>
      <c r="Y65" s="40"/>
      <c r="Z65" s="44"/>
      <c r="AA65" s="44"/>
      <c r="AB65" s="44"/>
      <c r="AC65" s="44"/>
      <c r="AD65" s="44"/>
    </row>
    <row r="66" spans="1:30" x14ac:dyDescent="0.2">
      <c r="A66" s="80">
        <f t="shared" si="0"/>
        <v>63</v>
      </c>
      <c r="B66" s="81">
        <f t="shared" si="1"/>
        <v>0.24999999999999956</v>
      </c>
      <c r="C66" s="51">
        <v>1.21535444614248E-2</v>
      </c>
      <c r="D66" s="51">
        <v>2.47477979498547E-2</v>
      </c>
      <c r="E66" s="16">
        <v>-0.87410381536819792</v>
      </c>
      <c r="F66" s="16">
        <v>-9.8050384107611951E-2</v>
      </c>
      <c r="G66" s="29">
        <v>0</v>
      </c>
      <c r="H66" s="16">
        <v>0</v>
      </c>
      <c r="I66" s="16">
        <f t="shared" si="2"/>
        <v>0.50408271037264618</v>
      </c>
      <c r="J66" s="17">
        <f t="shared" si="3"/>
        <v>1.3447518804411899E-2</v>
      </c>
      <c r="K66" s="19">
        <f t="shared" si="4"/>
        <v>4.510311211709782E-3</v>
      </c>
      <c r="L66" s="18">
        <f t="shared" si="5"/>
        <v>1591.2121163296813</v>
      </c>
      <c r="M66" s="31"/>
      <c r="N66" s="36"/>
      <c r="O66" s="38"/>
      <c r="P66" s="37"/>
      <c r="Q66" s="37"/>
      <c r="R66" s="37"/>
      <c r="S66" s="37"/>
      <c r="T66" s="37">
        <f t="shared" si="10"/>
        <v>42</v>
      </c>
      <c r="U66" s="54">
        <v>41108</v>
      </c>
      <c r="V66">
        <v>1372.78</v>
      </c>
      <c r="W66" s="59"/>
      <c r="X66" s="40"/>
      <c r="Y66" s="40"/>
      <c r="Z66" s="44"/>
      <c r="AA66" s="44"/>
      <c r="AB66" s="44"/>
      <c r="AC66" s="44"/>
      <c r="AD66" s="44"/>
    </row>
    <row r="67" spans="1:30" x14ac:dyDescent="0.2">
      <c r="A67" s="82">
        <f t="shared" si="0"/>
        <v>64</v>
      </c>
      <c r="B67" s="83">
        <f t="shared" si="1"/>
        <v>0.25396825396825351</v>
      </c>
      <c r="C67" s="51">
        <v>3.6653573699909898E-3</v>
      </c>
      <c r="D67" s="51">
        <v>2.44412477530618E-2</v>
      </c>
      <c r="E67" s="16">
        <v>-0.5765992936585248</v>
      </c>
      <c r="F67" s="16">
        <v>0.48458458133136056</v>
      </c>
      <c r="G67" s="29">
        <v>0</v>
      </c>
      <c r="H67" s="16">
        <v>0</v>
      </c>
      <c r="I67" s="16">
        <f t="shared" si="2"/>
        <v>0.7447381845333696</v>
      </c>
      <c r="J67" s="17">
        <f t="shared" si="3"/>
        <v>9.5493324402828785E-3</v>
      </c>
      <c r="K67" s="19">
        <f t="shared" si="4"/>
        <v>5.4302184182423059E-3</v>
      </c>
      <c r="L67" s="18">
        <f t="shared" si="5"/>
        <v>1599.8762484458782</v>
      </c>
      <c r="M67" s="31"/>
      <c r="N67" s="36"/>
      <c r="O67" s="38"/>
      <c r="P67" s="37"/>
      <c r="Q67" s="37"/>
      <c r="R67" s="37"/>
      <c r="S67" s="37"/>
      <c r="T67" s="37">
        <f t="shared" si="10"/>
        <v>43</v>
      </c>
      <c r="U67" s="54">
        <v>41109</v>
      </c>
      <c r="V67">
        <v>1376.51</v>
      </c>
      <c r="W67" s="59"/>
      <c r="X67" s="40"/>
      <c r="Y67" s="40"/>
      <c r="Z67" s="44"/>
      <c r="AA67" s="44"/>
      <c r="AB67" s="44"/>
      <c r="AC67" s="44"/>
      <c r="AD67" s="44"/>
    </row>
    <row r="68" spans="1:30" x14ac:dyDescent="0.2">
      <c r="A68" s="11">
        <f t="shared" ref="A68:A131" si="11">A67+1</f>
        <v>65</v>
      </c>
      <c r="B68" s="15">
        <f t="shared" ref="B68:B131" si="12">B67+dt</f>
        <v>0.25793650793650746</v>
      </c>
      <c r="C68" s="51">
        <v>3.6653573699909898E-3</v>
      </c>
      <c r="D68" s="51">
        <v>2.44412477530618E-2</v>
      </c>
      <c r="E68" s="16">
        <v>-0.40241887138362603</v>
      </c>
      <c r="F68" s="16">
        <v>1.0931604825338435</v>
      </c>
      <c r="G68" s="29">
        <v>0</v>
      </c>
      <c r="H68" s="16">
        <v>0</v>
      </c>
      <c r="I68" s="16">
        <f t="shared" ref="I68:I131" si="13">Rho*E68+F68*(1-Rho^2)^0.5</f>
        <v>1.0863635988721594</v>
      </c>
      <c r="J68" s="17">
        <f t="shared" ref="J68:J131" si="14">MAX((SQRT(J67)+Eta*SQRT(dt)*E68/2)^2+Kappa*(Theta-J67)*dt-Eta*Eta*dt/4,0)</f>
        <v>7.0066690001375975E-3</v>
      </c>
      <c r="K68" s="19">
        <f t="shared" ref="K68:K131" si="15">(C68-D68-Lambda*(EXP(Alpha+Delta^2/2)-1)-MAX((SQRT($J67)-0),0)^2/2)*dt+SQRT(MAX((SQRT($J67)-0),0)^2*dt)*I68</f>
        <v>6.6850968456228293E-3</v>
      </c>
      <c r="L68" s="18">
        <f t="shared" ref="L68:L131" si="16">EXP(K68)*EXP(H68)*L67</f>
        <v>1610.6074055549677</v>
      </c>
      <c r="M68" s="31"/>
      <c r="N68" s="36"/>
      <c r="O68" s="38"/>
      <c r="P68" s="37"/>
      <c r="Q68" s="37"/>
      <c r="R68" s="37"/>
      <c r="S68" s="37"/>
      <c r="T68" s="37">
        <f t="shared" si="10"/>
        <v>44</v>
      </c>
      <c r="U68" s="54">
        <v>41110</v>
      </c>
      <c r="V68">
        <v>1362.66</v>
      </c>
      <c r="W68" s="59"/>
      <c r="X68" s="40"/>
      <c r="Y68" s="40"/>
      <c r="Z68" s="44"/>
      <c r="AA68" s="44"/>
      <c r="AB68" s="44"/>
      <c r="AC68" s="44"/>
      <c r="AD68" s="44"/>
    </row>
    <row r="69" spans="1:30" x14ac:dyDescent="0.2">
      <c r="A69" s="11">
        <f t="shared" si="11"/>
        <v>66</v>
      </c>
      <c r="B69" s="15">
        <f t="shared" si="12"/>
        <v>0.26190476190476142</v>
      </c>
      <c r="C69" s="51">
        <v>3.6653573699909898E-3</v>
      </c>
      <c r="D69" s="51">
        <v>2.44412477530618E-2</v>
      </c>
      <c r="E69" s="16">
        <v>0.77927219951995208</v>
      </c>
      <c r="F69" s="16">
        <v>0.97405184263710476</v>
      </c>
      <c r="G69" s="29">
        <v>0</v>
      </c>
      <c r="H69" s="16">
        <v>0</v>
      </c>
      <c r="I69" s="16">
        <f t="shared" si="13"/>
        <v>0.21602769607696659</v>
      </c>
      <c r="J69" s="17">
        <f t="shared" si="14"/>
        <v>1.0334687937183668E-2</v>
      </c>
      <c r="K69" s="19">
        <f t="shared" si="15"/>
        <v>1.1417862237263995E-3</v>
      </c>
      <c r="L69" s="18">
        <f t="shared" si="16"/>
        <v>1612.4474251570794</v>
      </c>
      <c r="M69" s="31"/>
      <c r="N69" s="36"/>
      <c r="O69" s="38"/>
      <c r="P69" s="37"/>
      <c r="Q69" s="37"/>
      <c r="R69" s="37"/>
      <c r="S69" s="37"/>
      <c r="T69" s="37">
        <f t="shared" si="10"/>
        <v>45</v>
      </c>
      <c r="U69" s="54">
        <v>41113</v>
      </c>
      <c r="V69">
        <v>1350.52</v>
      </c>
      <c r="W69" s="59"/>
      <c r="X69" s="40"/>
      <c r="Y69" s="40"/>
      <c r="Z69" s="44"/>
      <c r="AA69" s="44"/>
      <c r="AB69" s="44"/>
      <c r="AC69" s="44"/>
      <c r="AD69" s="44"/>
    </row>
    <row r="70" spans="1:30" x14ac:dyDescent="0.2">
      <c r="A70" s="11">
        <f t="shared" si="11"/>
        <v>67</v>
      </c>
      <c r="B70" s="15">
        <f t="shared" si="12"/>
        <v>0.26587301587301537</v>
      </c>
      <c r="C70" s="51">
        <v>3.6653573699909898E-3</v>
      </c>
      <c r="D70" s="51">
        <v>2.44412477530618E-2</v>
      </c>
      <c r="E70" s="16">
        <v>0.70150543773907348</v>
      </c>
      <c r="F70" s="16">
        <v>-0.9101498328766906</v>
      </c>
      <c r="G70" s="29">
        <v>0</v>
      </c>
      <c r="H70" s="16">
        <v>0</v>
      </c>
      <c r="I70" s="16">
        <f t="shared" si="13"/>
        <v>-1.1466716481206487</v>
      </c>
      <c r="J70" s="17">
        <f t="shared" si="14"/>
        <v>1.3892401464830303E-2</v>
      </c>
      <c r="K70" s="19">
        <f t="shared" si="15"/>
        <v>-7.3471611836554065E-3</v>
      </c>
      <c r="L70" s="18">
        <f t="shared" si="16"/>
        <v>1600.6439282183308</v>
      </c>
      <c r="M70" s="31"/>
      <c r="N70" s="36"/>
      <c r="O70" s="38"/>
      <c r="P70" s="37"/>
      <c r="Q70" s="37"/>
      <c r="R70" s="37"/>
      <c r="S70" s="37"/>
      <c r="T70" s="37">
        <f t="shared" si="10"/>
        <v>46</v>
      </c>
      <c r="U70" s="54">
        <v>41114</v>
      </c>
      <c r="V70">
        <v>1338.31</v>
      </c>
      <c r="W70" s="59"/>
      <c r="X70" s="40"/>
      <c r="Y70" s="40"/>
      <c r="Z70" s="44"/>
      <c r="AA70" s="44"/>
      <c r="AB70" s="44"/>
      <c r="AC70" s="44"/>
      <c r="AD70" s="44"/>
    </row>
    <row r="71" spans="1:30" x14ac:dyDescent="0.2">
      <c r="A71" s="11">
        <f t="shared" si="11"/>
        <v>68</v>
      </c>
      <c r="B71" s="15">
        <f t="shared" si="12"/>
        <v>0.26984126984126933</v>
      </c>
      <c r="C71" s="51">
        <v>3.6653573699909898E-3</v>
      </c>
      <c r="D71" s="51">
        <v>2.44412477530618E-2</v>
      </c>
      <c r="E71" s="16">
        <v>0.20096535980080066</v>
      </c>
      <c r="F71" s="16">
        <v>-1.701817514166744</v>
      </c>
      <c r="G71" s="29">
        <v>0</v>
      </c>
      <c r="H71" s="16">
        <v>0</v>
      </c>
      <c r="I71" s="16">
        <f t="shared" si="13"/>
        <v>-1.4100259187600175</v>
      </c>
      <c r="J71" s="17">
        <f t="shared" si="14"/>
        <v>1.4591899259611046E-2</v>
      </c>
      <c r="K71" s="19">
        <f t="shared" si="15"/>
        <v>-1.0480232115339006E-2</v>
      </c>
      <c r="L71" s="18">
        <f t="shared" si="16"/>
        <v>1583.9564056113629</v>
      </c>
      <c r="M71" s="31"/>
      <c r="N71" s="36"/>
      <c r="O71" s="38"/>
      <c r="P71" s="37"/>
      <c r="Q71" s="37"/>
      <c r="R71" s="37"/>
      <c r="S71" s="37"/>
      <c r="T71" s="37">
        <f t="shared" si="10"/>
        <v>47</v>
      </c>
      <c r="U71" s="54">
        <v>41115</v>
      </c>
      <c r="V71">
        <v>1337.89</v>
      </c>
      <c r="W71" s="59"/>
      <c r="X71" s="40"/>
      <c r="Y71" s="40"/>
      <c r="Z71" s="44"/>
      <c r="AA71" s="44"/>
      <c r="AB71" s="44"/>
      <c r="AC71" s="44"/>
      <c r="AD71" s="44"/>
    </row>
    <row r="72" spans="1:30" x14ac:dyDescent="0.2">
      <c r="A72" s="11">
        <f t="shared" si="11"/>
        <v>69</v>
      </c>
      <c r="B72" s="15">
        <f t="shared" si="12"/>
        <v>0.27380952380952328</v>
      </c>
      <c r="C72" s="51">
        <v>3.6653573699909898E-3</v>
      </c>
      <c r="D72" s="51">
        <v>2.44412477530618E-2</v>
      </c>
      <c r="E72" s="16">
        <v>-0.41705865729105801</v>
      </c>
      <c r="F72" s="16">
        <v>-0.81320484644733693</v>
      </c>
      <c r="G72" s="29">
        <v>0</v>
      </c>
      <c r="H72" s="16">
        <v>0</v>
      </c>
      <c r="I72" s="16">
        <f t="shared" si="13"/>
        <v>-0.33468832661577036</v>
      </c>
      <c r="J72" s="17">
        <f t="shared" si="14"/>
        <v>1.1452687918200949E-2</v>
      </c>
      <c r="K72" s="19">
        <f t="shared" si="15"/>
        <v>-2.5591800041028915E-3</v>
      </c>
      <c r="L72" s="18">
        <f t="shared" si="16"/>
        <v>1579.9079586126304</v>
      </c>
      <c r="M72" s="31"/>
      <c r="N72" s="36"/>
      <c r="O72" s="38"/>
      <c r="P72" s="37"/>
      <c r="Q72" s="37"/>
      <c r="R72" s="37"/>
      <c r="S72" s="37"/>
      <c r="T72" s="37">
        <f t="shared" si="10"/>
        <v>48</v>
      </c>
      <c r="U72" s="54">
        <v>41116</v>
      </c>
      <c r="V72">
        <v>1360.02</v>
      </c>
      <c r="W72" s="59"/>
      <c r="X72" s="40"/>
      <c r="Y72" s="40"/>
      <c r="Z72" s="44"/>
      <c r="AA72" s="44"/>
      <c r="AB72" s="44"/>
      <c r="AC72" s="44"/>
      <c r="AD72" s="44"/>
    </row>
    <row r="73" spans="1:30" x14ac:dyDescent="0.2">
      <c r="A73" s="11">
        <f t="shared" si="11"/>
        <v>70</v>
      </c>
      <c r="B73" s="15">
        <f t="shared" si="12"/>
        <v>0.27777777777777724</v>
      </c>
      <c r="C73" s="51">
        <v>3.6653573699909898E-3</v>
      </c>
      <c r="D73" s="51">
        <v>2.44412477530618E-2</v>
      </c>
      <c r="E73" s="16">
        <v>0.85650306232753637</v>
      </c>
      <c r="F73" s="16">
        <v>-0.18641044397118681</v>
      </c>
      <c r="G73" s="29">
        <v>0</v>
      </c>
      <c r="H73" s="16">
        <v>0</v>
      </c>
      <c r="I73" s="16">
        <f t="shared" si="13"/>
        <v>-0.70593870438430051</v>
      </c>
      <c r="J73" s="17">
        <f t="shared" si="14"/>
        <v>1.6255911501137806E-2</v>
      </c>
      <c r="K73" s="19">
        <f t="shared" si="15"/>
        <v>-4.7651952552902081E-3</v>
      </c>
      <c r="L73" s="18">
        <f t="shared" si="16"/>
        <v>1572.3972977991866</v>
      </c>
      <c r="M73" s="31"/>
      <c r="N73" s="36"/>
      <c r="O73" s="38"/>
      <c r="P73" s="37"/>
      <c r="Q73" s="37"/>
      <c r="R73" s="37"/>
      <c r="S73" s="37"/>
      <c r="T73" s="37">
        <f t="shared" si="10"/>
        <v>49</v>
      </c>
      <c r="U73" s="54">
        <v>41117</v>
      </c>
      <c r="V73">
        <v>1385.97</v>
      </c>
      <c r="W73" s="59"/>
      <c r="X73" s="40"/>
      <c r="Y73" s="40"/>
      <c r="Z73" s="44"/>
      <c r="AA73" s="44"/>
      <c r="AB73" s="44"/>
      <c r="AC73" s="44"/>
      <c r="AD73" s="44"/>
    </row>
    <row r="74" spans="1:30" x14ac:dyDescent="0.2">
      <c r="A74" s="11">
        <f t="shared" si="11"/>
        <v>71</v>
      </c>
      <c r="B74" s="15">
        <f t="shared" si="12"/>
        <v>0.28174603174603119</v>
      </c>
      <c r="C74" s="51">
        <v>3.6653573699909898E-3</v>
      </c>
      <c r="D74" s="51">
        <v>2.44412477530618E-2</v>
      </c>
      <c r="E74" s="16">
        <v>0.16132083349157075</v>
      </c>
      <c r="F74" s="16">
        <v>-4.5320553022591268</v>
      </c>
      <c r="G74" s="29">
        <v>0</v>
      </c>
      <c r="H74" s="16">
        <v>0</v>
      </c>
      <c r="I74" s="16">
        <f t="shared" si="13"/>
        <v>-3.507919105995299</v>
      </c>
      <c r="J74" s="17">
        <f t="shared" si="14"/>
        <v>1.6771184416789361E-2</v>
      </c>
      <c r="K74" s="19">
        <f t="shared" si="15"/>
        <v>-2.8190092193882577E-2</v>
      </c>
      <c r="L74" s="18">
        <f t="shared" si="16"/>
        <v>1528.6902206704378</v>
      </c>
      <c r="M74" s="31"/>
      <c r="N74" s="36"/>
      <c r="O74" s="38"/>
      <c r="P74" s="37"/>
      <c r="Q74" s="37"/>
      <c r="R74" s="37"/>
      <c r="S74" s="37"/>
      <c r="T74" s="37">
        <f t="shared" si="10"/>
        <v>50</v>
      </c>
      <c r="U74" s="54">
        <v>41120</v>
      </c>
      <c r="V74">
        <v>1385.3</v>
      </c>
      <c r="W74" s="59"/>
      <c r="X74" s="40"/>
      <c r="Y74" s="40"/>
      <c r="Z74" s="44"/>
      <c r="AA74" s="44"/>
      <c r="AB74" s="44"/>
      <c r="AC74" s="44"/>
      <c r="AD74" s="44"/>
    </row>
    <row r="75" spans="1:30" x14ac:dyDescent="0.2">
      <c r="A75" s="11">
        <f t="shared" si="11"/>
        <v>72</v>
      </c>
      <c r="B75" s="15">
        <f t="shared" si="12"/>
        <v>0.28571428571428514</v>
      </c>
      <c r="C75" s="51">
        <v>3.6653573699909898E-3</v>
      </c>
      <c r="D75" s="51">
        <v>2.44412477530618E-2</v>
      </c>
      <c r="E75" s="16">
        <v>-0.21952909640656923</v>
      </c>
      <c r="F75" s="16">
        <v>0.2726165032416934</v>
      </c>
      <c r="G75" s="29">
        <v>0</v>
      </c>
      <c r="H75" s="16">
        <v>0</v>
      </c>
      <c r="I75" s="16">
        <f t="shared" si="13"/>
        <v>0.34967897507803469</v>
      </c>
      <c r="J75" s="17">
        <f t="shared" si="14"/>
        <v>1.4700214365486765E-2</v>
      </c>
      <c r="K75" s="19">
        <f t="shared" si="15"/>
        <v>2.8359712791726781E-3</v>
      </c>
      <c r="L75" s="18">
        <f t="shared" si="16"/>
        <v>1533.0316954701552</v>
      </c>
      <c r="M75" s="31"/>
      <c r="N75" s="36"/>
      <c r="O75" s="38"/>
      <c r="P75" s="37"/>
      <c r="Q75" s="37"/>
      <c r="R75" s="37"/>
      <c r="S75" s="37"/>
      <c r="T75" s="37">
        <f t="shared" si="10"/>
        <v>51</v>
      </c>
      <c r="U75" s="54">
        <v>41121</v>
      </c>
      <c r="V75">
        <v>1379.32</v>
      </c>
      <c r="W75" s="59"/>
      <c r="X75" s="40"/>
      <c r="Y75" s="40"/>
      <c r="Z75" s="44"/>
      <c r="AA75" s="44"/>
      <c r="AB75" s="44"/>
      <c r="AC75" s="44"/>
      <c r="AD75" s="44"/>
    </row>
    <row r="76" spans="1:30" x14ac:dyDescent="0.2">
      <c r="A76" s="11">
        <f t="shared" si="11"/>
        <v>73</v>
      </c>
      <c r="B76" s="15">
        <f t="shared" si="12"/>
        <v>0.2896825396825391</v>
      </c>
      <c r="C76" s="51">
        <v>3.6653573699909898E-3</v>
      </c>
      <c r="D76" s="51">
        <v>2.44412477530618E-2</v>
      </c>
      <c r="E76" s="16">
        <v>2.5672036770809559</v>
      </c>
      <c r="F76" s="16">
        <v>-0.30552416334550891</v>
      </c>
      <c r="G76" s="29">
        <v>0</v>
      </c>
      <c r="H76" s="16">
        <v>0</v>
      </c>
      <c r="I76" s="16">
        <f t="shared" si="13"/>
        <v>-1.9258852726874942</v>
      </c>
      <c r="J76" s="17">
        <f t="shared" si="14"/>
        <v>3.5266867322389754E-2</v>
      </c>
      <c r="K76" s="19">
        <f t="shared" si="15"/>
        <v>-1.4721885896803328E-2</v>
      </c>
      <c r="L76" s="18">
        <f t="shared" si="16"/>
        <v>1510.6278955038026</v>
      </c>
      <c r="M76" s="31"/>
      <c r="N76" s="36"/>
      <c r="O76" s="38"/>
      <c r="P76" s="37"/>
      <c r="Q76" s="37"/>
      <c r="R76" s="37"/>
      <c r="S76" s="37"/>
      <c r="T76" s="37">
        <f t="shared" si="10"/>
        <v>52</v>
      </c>
      <c r="U76" s="54">
        <v>41122</v>
      </c>
      <c r="V76">
        <v>1375.32</v>
      </c>
      <c r="W76" s="59"/>
      <c r="X76" s="40"/>
      <c r="Y76" s="40"/>
      <c r="Z76" s="44"/>
      <c r="AA76" s="44"/>
      <c r="AB76" s="44"/>
      <c r="AC76" s="44"/>
      <c r="AD76" s="44"/>
    </row>
    <row r="77" spans="1:30" x14ac:dyDescent="0.2">
      <c r="A77" s="11">
        <f t="shared" si="11"/>
        <v>74</v>
      </c>
      <c r="B77" s="15">
        <f t="shared" si="12"/>
        <v>0.29365079365079305</v>
      </c>
      <c r="C77" s="51">
        <v>3.6653573699909898E-3</v>
      </c>
      <c r="D77" s="51">
        <v>2.44412477530618E-2</v>
      </c>
      <c r="E77" s="16">
        <v>0.5021470189883811</v>
      </c>
      <c r="F77" s="16">
        <v>-0.73373606672630354</v>
      </c>
      <c r="G77" s="29">
        <v>0</v>
      </c>
      <c r="H77" s="16">
        <v>0</v>
      </c>
      <c r="I77" s="16">
        <f t="shared" si="13"/>
        <v>-0.88252302241683545</v>
      </c>
      <c r="J77" s="17">
        <f t="shared" si="14"/>
        <v>3.9784397264792166E-2</v>
      </c>
      <c r="K77" s="19">
        <f t="shared" si="15"/>
        <v>-1.0493603302216577E-2</v>
      </c>
      <c r="L77" s="18">
        <f t="shared" si="16"/>
        <v>1494.8588474001456</v>
      </c>
      <c r="M77" s="31"/>
      <c r="N77" s="36"/>
      <c r="O77" s="38"/>
      <c r="P77" s="37"/>
      <c r="Q77" s="37"/>
      <c r="R77" s="37"/>
      <c r="S77" s="37"/>
      <c r="T77" s="37">
        <f t="shared" si="10"/>
        <v>53</v>
      </c>
      <c r="U77" s="54">
        <v>41123</v>
      </c>
      <c r="V77">
        <v>1365</v>
      </c>
      <c r="W77" s="59"/>
      <c r="X77" s="40"/>
      <c r="Y77" s="40"/>
      <c r="Z77" s="44"/>
      <c r="AA77" s="44"/>
      <c r="AB77" s="44"/>
      <c r="AC77" s="44"/>
      <c r="AD77" s="44"/>
    </row>
    <row r="78" spans="1:30" x14ac:dyDescent="0.2">
      <c r="A78" s="11">
        <f t="shared" si="11"/>
        <v>75</v>
      </c>
      <c r="B78" s="15">
        <f t="shared" si="12"/>
        <v>0.29761904761904701</v>
      </c>
      <c r="C78" s="51">
        <v>3.6653573699909898E-3</v>
      </c>
      <c r="D78" s="51">
        <v>2.44412477530618E-2</v>
      </c>
      <c r="E78" s="16">
        <v>0.73197307903299591</v>
      </c>
      <c r="F78" s="16">
        <v>-0.16017678210901404</v>
      </c>
      <c r="G78" s="29">
        <v>0</v>
      </c>
      <c r="H78" s="16">
        <v>0</v>
      </c>
      <c r="I78" s="16">
        <f t="shared" si="13"/>
        <v>-0.60395214012055753</v>
      </c>
      <c r="J78" s="17">
        <f t="shared" si="14"/>
        <v>4.7228387407238503E-2</v>
      </c>
      <c r="K78" s="19">
        <f t="shared" si="15"/>
        <v>-7.6509044171996386E-3</v>
      </c>
      <c r="L78" s="18">
        <f t="shared" si="16"/>
        <v>1483.4654656560215</v>
      </c>
      <c r="M78" s="31"/>
      <c r="N78" s="36"/>
      <c r="O78" s="38"/>
      <c r="P78" s="37"/>
      <c r="Q78" s="37"/>
      <c r="R78" s="37"/>
      <c r="S78" s="37"/>
      <c r="T78" s="37">
        <f t="shared" si="10"/>
        <v>54</v>
      </c>
      <c r="U78" s="54">
        <v>41124</v>
      </c>
      <c r="V78">
        <v>1390.99</v>
      </c>
      <c r="W78" s="59"/>
      <c r="X78" s="40"/>
      <c r="Y78" s="40"/>
      <c r="Z78" s="44"/>
      <c r="AA78" s="44"/>
      <c r="AB78" s="44"/>
      <c r="AC78" s="44"/>
      <c r="AD78" s="44"/>
    </row>
    <row r="79" spans="1:30" x14ac:dyDescent="0.2">
      <c r="A79" s="11">
        <f t="shared" si="11"/>
        <v>76</v>
      </c>
      <c r="B79" s="15">
        <f t="shared" si="12"/>
        <v>0.30158730158730096</v>
      </c>
      <c r="C79" s="51">
        <v>3.6653573699909898E-3</v>
      </c>
      <c r="D79" s="51">
        <v>2.44412477530618E-2</v>
      </c>
      <c r="E79" s="16">
        <v>0.69096650310240437</v>
      </c>
      <c r="F79" s="16">
        <v>-0.10764332728871417</v>
      </c>
      <c r="G79" s="29">
        <v>0</v>
      </c>
      <c r="H79" s="16">
        <v>0</v>
      </c>
      <c r="I79" s="16">
        <f t="shared" si="13"/>
        <v>-0.53742574882377436</v>
      </c>
      <c r="J79" s="17">
        <f t="shared" si="14"/>
        <v>5.4824989962252359E-2</v>
      </c>
      <c r="K79" s="19">
        <f t="shared" si="15"/>
        <v>-7.4344488457360348E-3</v>
      </c>
      <c r="L79" s="18">
        <f t="shared" si="16"/>
        <v>1472.4776124625482</v>
      </c>
      <c r="M79" s="31"/>
      <c r="N79" s="36"/>
      <c r="O79" s="38"/>
      <c r="P79" s="37"/>
      <c r="Q79" s="37"/>
      <c r="R79" s="37"/>
      <c r="S79" s="37"/>
      <c r="T79" s="37">
        <f t="shared" si="10"/>
        <v>55</v>
      </c>
      <c r="U79" s="54">
        <v>41127</v>
      </c>
      <c r="V79">
        <v>1394.23</v>
      </c>
      <c r="W79" s="59"/>
      <c r="X79" s="40"/>
      <c r="Y79" s="40"/>
      <c r="Z79" s="44"/>
      <c r="AA79" s="44"/>
      <c r="AB79" s="44"/>
      <c r="AC79" s="44"/>
      <c r="AD79" s="44"/>
    </row>
    <row r="80" spans="1:30" x14ac:dyDescent="0.2">
      <c r="A80" s="11">
        <f t="shared" si="11"/>
        <v>77</v>
      </c>
      <c r="B80" s="15">
        <f t="shared" si="12"/>
        <v>0.30555555555555491</v>
      </c>
      <c r="C80" s="51">
        <v>3.6653573699909898E-3</v>
      </c>
      <c r="D80" s="51">
        <v>2.44412477530618E-2</v>
      </c>
      <c r="E80" s="16">
        <v>-1.2900737279141421</v>
      </c>
      <c r="F80" s="16">
        <v>-1.9922995544231759</v>
      </c>
      <c r="G80" s="29">
        <v>0</v>
      </c>
      <c r="H80" s="16">
        <v>0</v>
      </c>
      <c r="I80" s="16">
        <f t="shared" si="13"/>
        <v>-0.64264875901295004</v>
      </c>
      <c r="J80" s="17">
        <f t="shared" si="14"/>
        <v>3.9232822561666367E-2</v>
      </c>
      <c r="K80" s="19">
        <f t="shared" si="15"/>
        <v>-9.5712030529893251E-3</v>
      </c>
      <c r="L80" s="18">
        <f t="shared" si="16"/>
        <v>1458.4514608904558</v>
      </c>
      <c r="M80" s="31"/>
      <c r="N80" s="36"/>
      <c r="O80" s="38"/>
      <c r="P80" s="37"/>
      <c r="Q80" s="37"/>
      <c r="R80" s="37"/>
      <c r="S80" s="37"/>
      <c r="T80" s="37">
        <f t="shared" si="10"/>
        <v>56</v>
      </c>
      <c r="U80" s="54">
        <v>41128</v>
      </c>
      <c r="V80">
        <v>1401.35</v>
      </c>
      <c r="W80" s="59"/>
      <c r="X80" s="40"/>
      <c r="Y80" s="40"/>
      <c r="Z80" s="44"/>
      <c r="AA80" s="44"/>
      <c r="AB80" s="44"/>
      <c r="AC80" s="44"/>
      <c r="AD80" s="44"/>
    </row>
    <row r="81" spans="1:30" x14ac:dyDescent="0.2">
      <c r="A81" s="11">
        <f t="shared" si="11"/>
        <v>78</v>
      </c>
      <c r="B81" s="15">
        <f t="shared" si="12"/>
        <v>0.30952380952380887</v>
      </c>
      <c r="C81" s="51">
        <v>3.6653573699909898E-3</v>
      </c>
      <c r="D81" s="51">
        <v>2.44412477530618E-2</v>
      </c>
      <c r="E81" s="16">
        <v>-1.7062608275495799</v>
      </c>
      <c r="F81" s="16">
        <v>-0.10422369576660097</v>
      </c>
      <c r="G81" s="29">
        <v>0</v>
      </c>
      <c r="H81" s="16">
        <v>0</v>
      </c>
      <c r="I81" s="16">
        <f t="shared" si="13"/>
        <v>1.0493977426884709</v>
      </c>
      <c r="J81" s="17">
        <f t="shared" si="14"/>
        <v>2.2670582651619219E-2</v>
      </c>
      <c r="K81" s="19">
        <f t="shared" si="15"/>
        <v>1.3032504997335569E-2</v>
      </c>
      <c r="L81" s="18">
        <f t="shared" si="16"/>
        <v>1477.5831328621439</v>
      </c>
      <c r="M81" s="31"/>
      <c r="N81" s="36"/>
      <c r="O81" s="38"/>
      <c r="P81" s="37"/>
      <c r="Q81" s="37"/>
      <c r="R81" s="37"/>
      <c r="S81" s="37"/>
      <c r="T81" s="37">
        <f t="shared" si="10"/>
        <v>57</v>
      </c>
      <c r="U81" s="54">
        <v>41129</v>
      </c>
      <c r="V81">
        <v>1402.22</v>
      </c>
      <c r="W81" s="59"/>
      <c r="X81" s="40"/>
      <c r="Y81" s="40"/>
      <c r="Z81" s="44"/>
      <c r="AA81" s="44"/>
      <c r="AB81" s="44"/>
      <c r="AC81" s="44"/>
      <c r="AD81" s="44"/>
    </row>
    <row r="82" spans="1:30" x14ac:dyDescent="0.2">
      <c r="A82" s="11">
        <f t="shared" si="11"/>
        <v>79</v>
      </c>
      <c r="B82" s="15">
        <f t="shared" si="12"/>
        <v>0.31349206349206282</v>
      </c>
      <c r="C82" s="51">
        <v>3.6653573699909898E-3</v>
      </c>
      <c r="D82" s="51">
        <v>2.44412477530618E-2</v>
      </c>
      <c r="E82" s="16">
        <v>0.77268640481114592</v>
      </c>
      <c r="F82" s="16">
        <v>-0.64332393527757126</v>
      </c>
      <c r="G82" s="29">
        <v>0</v>
      </c>
      <c r="H82" s="16">
        <v>0</v>
      </c>
      <c r="I82" s="16">
        <f t="shared" si="13"/>
        <v>-0.99346025518723735</v>
      </c>
      <c r="J82" s="17">
        <f t="shared" si="14"/>
        <v>2.8646393875055427E-2</v>
      </c>
      <c r="K82" s="19">
        <f t="shared" si="15"/>
        <v>-9.4512357303473769E-3</v>
      </c>
      <c r="L82" s="18">
        <f t="shared" si="16"/>
        <v>1463.6839321365528</v>
      </c>
      <c r="M82" s="31"/>
      <c r="N82" s="36"/>
      <c r="O82" s="38"/>
      <c r="P82" s="37"/>
      <c r="Q82" s="37"/>
      <c r="R82" s="37"/>
      <c r="S82" s="37"/>
      <c r="T82" s="37">
        <f t="shared" si="10"/>
        <v>58</v>
      </c>
      <c r="U82" s="54">
        <v>41130</v>
      </c>
      <c r="V82">
        <v>1402.8</v>
      </c>
      <c r="W82" s="59"/>
      <c r="X82" s="40"/>
      <c r="Y82" s="40"/>
      <c r="Z82" s="44"/>
      <c r="AA82" s="44"/>
      <c r="AB82" s="44"/>
      <c r="AC82" s="44"/>
      <c r="AD82" s="44"/>
    </row>
    <row r="83" spans="1:30" x14ac:dyDescent="0.2">
      <c r="A83" s="11">
        <f t="shared" si="11"/>
        <v>80</v>
      </c>
      <c r="B83" s="15">
        <f t="shared" si="12"/>
        <v>0.31746031746031678</v>
      </c>
      <c r="C83" s="51">
        <v>3.6653573699909898E-3</v>
      </c>
      <c r="D83" s="51">
        <v>2.44412477530618E-2</v>
      </c>
      <c r="E83" s="16">
        <v>0.94847698031059402</v>
      </c>
      <c r="F83" s="16">
        <v>1.4435415924383534</v>
      </c>
      <c r="G83" s="29">
        <v>0</v>
      </c>
      <c r="H83" s="16">
        <v>0</v>
      </c>
      <c r="I83" s="16">
        <f t="shared" si="13"/>
        <v>0.45655722717896818</v>
      </c>
      <c r="J83" s="17">
        <f t="shared" si="14"/>
        <v>3.7158254771160984E-2</v>
      </c>
      <c r="K83" s="19">
        <f t="shared" si="15"/>
        <v>4.8275107666086708E-3</v>
      </c>
      <c r="L83" s="18">
        <f t="shared" si="16"/>
        <v>1470.7669650308808</v>
      </c>
      <c r="M83" s="31"/>
      <c r="N83" s="36"/>
      <c r="O83" s="38"/>
      <c r="P83" s="37"/>
      <c r="Q83" s="37"/>
      <c r="R83" s="37"/>
      <c r="S83" s="37"/>
      <c r="T83" s="37">
        <f t="shared" si="10"/>
        <v>59</v>
      </c>
      <c r="U83" s="54">
        <v>41131</v>
      </c>
      <c r="V83">
        <v>1405.87</v>
      </c>
      <c r="W83" s="59"/>
      <c r="X83" s="40"/>
      <c r="Y83" s="40"/>
      <c r="Z83" s="44"/>
      <c r="AA83" s="44"/>
      <c r="AB83" s="44"/>
      <c r="AC83" s="44"/>
      <c r="AD83" s="44"/>
    </row>
    <row r="84" spans="1:30" x14ac:dyDescent="0.2">
      <c r="A84" s="11">
        <f t="shared" si="11"/>
        <v>81</v>
      </c>
      <c r="B84" s="15">
        <f t="shared" si="12"/>
        <v>0.32142857142857073</v>
      </c>
      <c r="C84" s="51">
        <v>3.6653573699909898E-3</v>
      </c>
      <c r="D84" s="51">
        <v>2.44412477530618E-2</v>
      </c>
      <c r="E84" s="16">
        <v>0.48001025326745245</v>
      </c>
      <c r="F84" s="16">
        <v>-1.8502549355327313</v>
      </c>
      <c r="G84" s="29">
        <v>0</v>
      </c>
      <c r="H84" s="16">
        <v>0</v>
      </c>
      <c r="I84" s="16">
        <f t="shared" si="13"/>
        <v>-1.7058407495330181</v>
      </c>
      <c r="J84" s="17">
        <f t="shared" si="14"/>
        <v>4.1559578841901645E-2</v>
      </c>
      <c r="K84" s="19">
        <f t="shared" si="15"/>
        <v>-2.077123696883373E-2</v>
      </c>
      <c r="L84" s="18">
        <f t="shared" si="16"/>
        <v>1440.5324074900618</v>
      </c>
      <c r="M84" s="31"/>
      <c r="N84" s="36"/>
      <c r="O84" s="38"/>
      <c r="P84" s="37"/>
      <c r="Q84" s="37"/>
      <c r="R84" s="37"/>
      <c r="S84" s="37"/>
      <c r="T84" s="37">
        <f t="shared" si="10"/>
        <v>60</v>
      </c>
      <c r="U84" s="54">
        <v>41134</v>
      </c>
      <c r="V84">
        <v>1404.11</v>
      </c>
      <c r="W84" s="59"/>
      <c r="X84" s="40"/>
      <c r="Y84" s="40"/>
      <c r="Z84" s="44"/>
      <c r="AA84" s="44"/>
      <c r="AB84" s="44"/>
      <c r="AC84" s="44"/>
      <c r="AD84" s="44"/>
    </row>
    <row r="85" spans="1:30" x14ac:dyDescent="0.2">
      <c r="A85" s="11">
        <f t="shared" si="11"/>
        <v>82</v>
      </c>
      <c r="B85" s="15">
        <f t="shared" si="12"/>
        <v>0.32539682539682468</v>
      </c>
      <c r="C85" s="51">
        <v>3.6653573699909898E-3</v>
      </c>
      <c r="D85" s="51">
        <v>2.44412477530618E-2</v>
      </c>
      <c r="E85" s="16">
        <v>0.54487982604919116</v>
      </c>
      <c r="F85" s="16">
        <v>0.16090535459057376</v>
      </c>
      <c r="G85" s="29">
        <v>0</v>
      </c>
      <c r="H85" s="16">
        <v>0</v>
      </c>
      <c r="I85" s="16">
        <f t="shared" si="13"/>
        <v>-0.23933560870963691</v>
      </c>
      <c r="J85" s="17">
        <f t="shared" si="14"/>
        <v>4.69760136154505E-2</v>
      </c>
      <c r="K85" s="19">
        <f t="shared" si="15"/>
        <v>-3.1394458215306953E-3</v>
      </c>
      <c r="L85" s="18">
        <f t="shared" si="16"/>
        <v>1436.0170256495917</v>
      </c>
      <c r="M85" s="31"/>
      <c r="N85" s="36"/>
      <c r="O85" s="38"/>
      <c r="P85" s="37"/>
      <c r="Q85" s="37"/>
      <c r="R85" s="37"/>
      <c r="S85" s="37"/>
      <c r="T85" s="37">
        <f t="shared" si="10"/>
        <v>61</v>
      </c>
      <c r="U85" s="54">
        <v>41135</v>
      </c>
      <c r="V85">
        <v>1403.93</v>
      </c>
      <c r="W85" s="59"/>
      <c r="X85" s="40"/>
      <c r="Y85" s="40"/>
      <c r="Z85" s="44"/>
      <c r="AA85" s="44"/>
      <c r="AB85" s="44"/>
      <c r="AC85" s="44"/>
      <c r="AD85" s="44"/>
    </row>
    <row r="86" spans="1:30" x14ac:dyDescent="0.2">
      <c r="A86" s="80">
        <f t="shared" si="11"/>
        <v>83</v>
      </c>
      <c r="B86" s="81">
        <f t="shared" si="12"/>
        <v>0.32936507936507864</v>
      </c>
      <c r="C86" s="51">
        <v>3.6653573699909898E-3</v>
      </c>
      <c r="D86" s="51">
        <v>2.44412477530618E-2</v>
      </c>
      <c r="E86" s="16">
        <v>-0.64041505221070805</v>
      </c>
      <c r="F86" s="16">
        <v>-2.395980405593871E-2</v>
      </c>
      <c r="G86" s="29">
        <v>0</v>
      </c>
      <c r="H86" s="16">
        <v>0</v>
      </c>
      <c r="I86" s="16">
        <f t="shared" si="13"/>
        <v>0.40524964843926303</v>
      </c>
      <c r="J86" s="17">
        <f t="shared" si="14"/>
        <v>3.9192903384350865E-2</v>
      </c>
      <c r="K86" s="19">
        <f t="shared" si="15"/>
        <v>5.4563710790085183E-3</v>
      </c>
      <c r="L86" s="18">
        <f t="shared" si="16"/>
        <v>1443.8738828887722</v>
      </c>
      <c r="M86" s="31"/>
      <c r="N86" s="36"/>
      <c r="O86" s="38"/>
      <c r="P86" s="37"/>
      <c r="Q86" s="37"/>
      <c r="R86" s="37"/>
      <c r="S86" s="37"/>
      <c r="T86" s="37">
        <f t="shared" si="10"/>
        <v>62</v>
      </c>
      <c r="U86" s="54">
        <v>41136</v>
      </c>
      <c r="V86">
        <v>1405.53</v>
      </c>
      <c r="W86" s="59"/>
      <c r="X86" s="40"/>
      <c r="Y86" s="40"/>
      <c r="Z86" s="44"/>
      <c r="AA86" s="44"/>
      <c r="AB86" s="44"/>
      <c r="AC86" s="44"/>
      <c r="AD86" s="44"/>
    </row>
    <row r="87" spans="1:30" x14ac:dyDescent="0.2">
      <c r="A87" s="11">
        <f t="shared" si="11"/>
        <v>84</v>
      </c>
      <c r="B87" s="15">
        <f t="shared" si="12"/>
        <v>0.33333333333333259</v>
      </c>
      <c r="C87" s="17">
        <v>4.9668746892205214E-3</v>
      </c>
      <c r="D87" s="17">
        <v>1.8803258169889116E-2</v>
      </c>
      <c r="E87" s="16">
        <v>-1.249040850029477</v>
      </c>
      <c r="F87" s="16">
        <v>0.23974841683716594</v>
      </c>
      <c r="G87" s="29">
        <v>0</v>
      </c>
      <c r="H87" s="16">
        <v>0</v>
      </c>
      <c r="I87" s="16">
        <f t="shared" si="13"/>
        <v>1.0053855283544113</v>
      </c>
      <c r="J87" s="17">
        <f t="shared" si="14"/>
        <v>2.6491856668419422E-2</v>
      </c>
      <c r="K87" s="19">
        <f t="shared" si="15"/>
        <v>1.2504579748805308E-2</v>
      </c>
      <c r="L87" s="18">
        <f t="shared" si="16"/>
        <v>1462.0422763265121</v>
      </c>
      <c r="M87" s="31"/>
      <c r="N87" s="36"/>
      <c r="O87" s="38"/>
      <c r="P87" s="37"/>
      <c r="Q87" s="37"/>
      <c r="R87" s="37"/>
      <c r="S87" s="37"/>
      <c r="T87" s="37">
        <f t="shared" si="10"/>
        <v>63</v>
      </c>
      <c r="U87" s="54">
        <v>41137</v>
      </c>
      <c r="V87">
        <v>1415.51</v>
      </c>
      <c r="W87" s="59"/>
      <c r="X87" s="40"/>
      <c r="Y87" s="40"/>
      <c r="Z87" s="44"/>
      <c r="AA87" s="44"/>
      <c r="AB87" s="44"/>
      <c r="AC87" s="44"/>
      <c r="AD87" s="44"/>
    </row>
    <row r="88" spans="1:30" x14ac:dyDescent="0.2">
      <c r="A88" s="11">
        <f t="shared" si="11"/>
        <v>85</v>
      </c>
      <c r="B88" s="15">
        <f t="shared" si="12"/>
        <v>0.33730158730158655</v>
      </c>
      <c r="C88" s="17">
        <v>4.9668746892205214E-3</v>
      </c>
      <c r="D88" s="17">
        <v>1.8803258169889116E-2</v>
      </c>
      <c r="E88" s="16">
        <v>-1.7784817067372733</v>
      </c>
      <c r="F88" s="16">
        <v>0.12925650221320006</v>
      </c>
      <c r="G88" s="29">
        <v>0</v>
      </c>
      <c r="H88" s="16">
        <v>0</v>
      </c>
      <c r="I88" s="16">
        <f t="shared" si="13"/>
        <v>1.2723532562573039</v>
      </c>
      <c r="J88" s="17">
        <f t="shared" si="14"/>
        <v>1.2726396795616383E-2</v>
      </c>
      <c r="K88" s="19">
        <f t="shared" si="15"/>
        <v>1.3037141943631869E-2</v>
      </c>
      <c r="L88" s="18">
        <f t="shared" si="16"/>
        <v>1481.2279202489158</v>
      </c>
      <c r="M88" s="31"/>
      <c r="N88" s="36"/>
      <c r="O88" s="38"/>
      <c r="P88" s="37"/>
      <c r="Q88" s="37"/>
      <c r="R88" s="37"/>
      <c r="S88" s="37"/>
      <c r="T88" s="37">
        <f t="shared" si="10"/>
        <v>64</v>
      </c>
      <c r="U88" s="54">
        <v>41138</v>
      </c>
      <c r="V88">
        <v>1418.16</v>
      </c>
      <c r="W88" s="59"/>
      <c r="X88" s="40"/>
      <c r="Y88" s="40"/>
      <c r="Z88" s="44"/>
      <c r="AA88" s="44"/>
      <c r="AB88" s="44"/>
      <c r="AC88" s="44"/>
      <c r="AD88" s="44"/>
    </row>
    <row r="89" spans="1:30" x14ac:dyDescent="0.2">
      <c r="A89" s="11">
        <f t="shared" si="11"/>
        <v>86</v>
      </c>
      <c r="B89" s="15">
        <f t="shared" si="12"/>
        <v>0.3412698412698405</v>
      </c>
      <c r="C89" s="17">
        <v>4.9668746892205214E-3</v>
      </c>
      <c r="D89" s="17">
        <v>1.8803258169889116E-2</v>
      </c>
      <c r="E89" s="16">
        <v>0.76942894984240295</v>
      </c>
      <c r="F89" s="16">
        <v>-0.65931612766127823</v>
      </c>
      <c r="G89" s="29">
        <v>0</v>
      </c>
      <c r="H89" s="16">
        <v>0</v>
      </c>
      <c r="I89" s="16">
        <f t="shared" si="13"/>
        <v>-1.003309637263516</v>
      </c>
      <c r="J89" s="17">
        <f t="shared" si="14"/>
        <v>1.7167415978987566E-2</v>
      </c>
      <c r="K89" s="19">
        <f t="shared" si="15"/>
        <v>-7.1110986272758586E-3</v>
      </c>
      <c r="L89" s="18">
        <f t="shared" si="16"/>
        <v>1470.7321249652703</v>
      </c>
      <c r="M89" s="31"/>
      <c r="N89" s="36"/>
      <c r="O89" s="38"/>
      <c r="P89" s="37"/>
      <c r="Q89" s="37"/>
      <c r="R89" s="37"/>
      <c r="S89" s="37"/>
      <c r="T89" s="37">
        <f t="shared" si="10"/>
        <v>65</v>
      </c>
      <c r="U89" s="54">
        <v>41141</v>
      </c>
      <c r="V89">
        <v>1418.13</v>
      </c>
      <c r="W89" s="59"/>
      <c r="X89" s="40"/>
      <c r="Y89" s="40"/>
      <c r="Z89" s="44"/>
      <c r="AA89" s="44"/>
      <c r="AB89" s="44"/>
      <c r="AC89" s="44"/>
      <c r="AD89" s="44"/>
    </row>
    <row r="90" spans="1:30" x14ac:dyDescent="0.2">
      <c r="A90" s="11">
        <f t="shared" si="11"/>
        <v>87</v>
      </c>
      <c r="B90" s="15">
        <f t="shared" si="12"/>
        <v>0.34523809523809446</v>
      </c>
      <c r="C90" s="17">
        <v>4.9668746892205214E-3</v>
      </c>
      <c r="D90" s="17">
        <v>1.8803258169889116E-2</v>
      </c>
      <c r="E90" s="16">
        <v>-1.1725909440068845</v>
      </c>
      <c r="F90" s="16">
        <v>-0.26057982862038437</v>
      </c>
      <c r="G90" s="29">
        <v>0</v>
      </c>
      <c r="H90" s="16">
        <v>0</v>
      </c>
      <c r="I90" s="16">
        <f t="shared" si="13"/>
        <v>0.57936575063561246</v>
      </c>
      <c r="J90" s="17">
        <f t="shared" si="14"/>
        <v>9.3850407516114735E-3</v>
      </c>
      <c r="K90" s="19">
        <f t="shared" si="15"/>
        <v>4.7920053780406381E-3</v>
      </c>
      <c r="L90" s="18">
        <f t="shared" si="16"/>
        <v>1477.7967946663468</v>
      </c>
      <c r="M90" s="31"/>
      <c r="N90" s="36"/>
      <c r="O90" s="38"/>
      <c r="P90" s="37"/>
      <c r="Q90" s="37"/>
      <c r="R90" s="37"/>
      <c r="S90" s="37"/>
      <c r="T90" s="37">
        <f t="shared" si="10"/>
        <v>66</v>
      </c>
      <c r="U90" s="54">
        <v>41142</v>
      </c>
      <c r="V90">
        <v>1413.17</v>
      </c>
      <c r="W90" s="59"/>
      <c r="X90" s="40"/>
      <c r="Y90" s="40"/>
      <c r="Z90" s="44"/>
      <c r="AA90" s="44"/>
      <c r="AB90" s="44"/>
      <c r="AC90" s="44"/>
      <c r="AD90" s="44"/>
    </row>
    <row r="91" spans="1:30" x14ac:dyDescent="0.2">
      <c r="A91" s="11">
        <f t="shared" si="11"/>
        <v>88</v>
      </c>
      <c r="B91" s="15">
        <f t="shared" si="12"/>
        <v>0.34920634920634841</v>
      </c>
      <c r="C91" s="17">
        <v>4.9668746892205214E-3</v>
      </c>
      <c r="D91" s="17">
        <v>1.8803258169889116E-2</v>
      </c>
      <c r="E91" s="16">
        <v>-0.49679110759346828</v>
      </c>
      <c r="F91" s="16">
        <v>-0.533960119252889</v>
      </c>
      <c r="G91" s="29">
        <v>0</v>
      </c>
      <c r="H91" s="16">
        <v>0</v>
      </c>
      <c r="I91" s="16">
        <f t="shared" si="13"/>
        <v>-7.2422363378102705E-2</v>
      </c>
      <c r="J91" s="17">
        <f t="shared" si="14"/>
        <v>6.4356160220131603E-3</v>
      </c>
      <c r="K91" s="19">
        <f t="shared" si="15"/>
        <v>-4.1647087812816009E-4</v>
      </c>
      <c r="L91" s="18">
        <f t="shared" si="16"/>
        <v>1477.1814634802308</v>
      </c>
      <c r="M91" s="31"/>
      <c r="N91" s="36"/>
      <c r="O91" s="38"/>
      <c r="P91" s="37"/>
      <c r="Q91" s="37"/>
      <c r="R91" s="37"/>
      <c r="S91" s="37"/>
      <c r="T91" s="37">
        <f t="shared" ref="T91:T154" si="17">T90+1</f>
        <v>67</v>
      </c>
      <c r="U91" s="54">
        <v>41143</v>
      </c>
      <c r="V91">
        <v>1413.19</v>
      </c>
      <c r="W91" s="59"/>
      <c r="X91" s="40"/>
      <c r="Y91" s="40"/>
      <c r="Z91" s="44"/>
      <c r="AA91" s="44"/>
      <c r="AB91" s="44"/>
      <c r="AC91" s="44"/>
      <c r="AD91" s="44"/>
    </row>
    <row r="92" spans="1:30" x14ac:dyDescent="0.2">
      <c r="A92" s="11">
        <f t="shared" si="11"/>
        <v>89</v>
      </c>
      <c r="B92" s="15">
        <f t="shared" si="12"/>
        <v>0.35317460317460236</v>
      </c>
      <c r="C92" s="17">
        <v>4.9668746892205214E-3</v>
      </c>
      <c r="D92" s="17">
        <v>1.8803258169889116E-2</v>
      </c>
      <c r="E92" s="16">
        <v>0.50575619845336572</v>
      </c>
      <c r="F92" s="16">
        <v>1.969516503506008</v>
      </c>
      <c r="G92" s="29">
        <v>0</v>
      </c>
      <c r="H92" s="16">
        <v>0</v>
      </c>
      <c r="I92" s="16">
        <f t="shared" si="13"/>
        <v>1.1438824766597269</v>
      </c>
      <c r="J92" s="17">
        <f t="shared" si="14"/>
        <v>8.2099569300409635E-3</v>
      </c>
      <c r="K92" s="19">
        <f t="shared" si="15"/>
        <v>5.811992487842102E-3</v>
      </c>
      <c r="L92" s="18">
        <f t="shared" si="16"/>
        <v>1485.7918284999332</v>
      </c>
      <c r="M92" s="31"/>
      <c r="N92" s="36"/>
      <c r="O92" s="38"/>
      <c r="P92" s="37"/>
      <c r="Q92" s="37"/>
      <c r="R92" s="37"/>
      <c r="S92" s="37"/>
      <c r="T92" s="37">
        <f t="shared" si="17"/>
        <v>68</v>
      </c>
      <c r="U92" s="54">
        <v>41144</v>
      </c>
      <c r="V92">
        <v>1402.08</v>
      </c>
      <c r="W92" s="59"/>
      <c r="X92" s="40"/>
      <c r="Y92" s="40"/>
      <c r="Z92" s="44"/>
      <c r="AA92" s="44"/>
      <c r="AB92" s="44"/>
      <c r="AC92" s="44"/>
      <c r="AD92" s="44"/>
    </row>
    <row r="93" spans="1:30" x14ac:dyDescent="0.2">
      <c r="A93" s="11">
        <f t="shared" si="11"/>
        <v>90</v>
      </c>
      <c r="B93" s="15">
        <f t="shared" si="12"/>
        <v>0.35714285714285632</v>
      </c>
      <c r="C93" s="17">
        <v>4.9668746892205214E-3</v>
      </c>
      <c r="D93" s="17">
        <v>1.8803258169889116E-2</v>
      </c>
      <c r="E93" s="16">
        <v>0.27393369071151147</v>
      </c>
      <c r="F93" s="16">
        <v>-2.9285954268304732E-2</v>
      </c>
      <c r="G93" s="29">
        <v>0</v>
      </c>
      <c r="H93" s="16">
        <v>0</v>
      </c>
      <c r="I93" s="16">
        <f t="shared" si="13"/>
        <v>-0.20301382671333421</v>
      </c>
      <c r="J93" s="17">
        <f t="shared" si="14"/>
        <v>9.0147420860004039E-3</v>
      </c>
      <c r="K93" s="19">
        <f t="shared" si="15"/>
        <v>-1.1309378041208652E-3</v>
      </c>
      <c r="L93" s="18">
        <f t="shared" si="16"/>
        <v>1484.1124401728998</v>
      </c>
      <c r="M93" s="31"/>
      <c r="N93" s="36"/>
      <c r="O93" s="38"/>
      <c r="P93" s="37"/>
      <c r="Q93" s="37"/>
      <c r="R93" s="37"/>
      <c r="S93" s="37"/>
      <c r="T93" s="37">
        <f t="shared" si="17"/>
        <v>69</v>
      </c>
      <c r="U93" s="54">
        <v>41145</v>
      </c>
      <c r="V93">
        <v>1411.13</v>
      </c>
      <c r="W93" s="59"/>
      <c r="X93" s="40"/>
      <c r="Y93" s="40"/>
      <c r="Z93" s="44"/>
      <c r="AA93" s="44"/>
      <c r="AB93" s="44"/>
      <c r="AC93" s="44"/>
      <c r="AD93" s="44"/>
    </row>
    <row r="94" spans="1:30" x14ac:dyDescent="0.2">
      <c r="A94" s="11">
        <f t="shared" si="11"/>
        <v>91</v>
      </c>
      <c r="B94" s="15">
        <f t="shared" si="12"/>
        <v>0.36111111111111027</v>
      </c>
      <c r="C94" s="17">
        <v>4.9668746892205214E-3</v>
      </c>
      <c r="D94" s="17">
        <v>1.8803258169889116E-2</v>
      </c>
      <c r="E94" s="16">
        <v>4.7362589153692555E-2</v>
      </c>
      <c r="F94" s="16">
        <v>-4.1101780996714643E-4</v>
      </c>
      <c r="G94" s="29">
        <v>0</v>
      </c>
      <c r="H94" s="16">
        <v>0</v>
      </c>
      <c r="I94" s="16">
        <f t="shared" si="13"/>
        <v>-3.1609011408658107E-2</v>
      </c>
      <c r="J94" s="17">
        <f t="shared" si="14"/>
        <v>8.6869060820394754E-3</v>
      </c>
      <c r="K94" s="19">
        <f t="shared" si="15"/>
        <v>-1.6282310659600894E-4</v>
      </c>
      <c r="L94" s="18">
        <f t="shared" si="16"/>
        <v>1483.8708120467079</v>
      </c>
      <c r="M94" s="31"/>
      <c r="N94" s="36"/>
      <c r="O94" s="38"/>
      <c r="P94" s="37"/>
      <c r="Q94" s="37"/>
      <c r="R94" s="37"/>
      <c r="S94" s="37"/>
      <c r="T94" s="37">
        <f t="shared" si="17"/>
        <v>70</v>
      </c>
      <c r="U94" s="54">
        <v>41148</v>
      </c>
      <c r="V94">
        <v>1410.44</v>
      </c>
      <c r="W94" s="59"/>
      <c r="X94" s="40"/>
      <c r="Y94" s="40"/>
      <c r="Z94" s="44"/>
      <c r="AA94" s="44"/>
      <c r="AB94" s="44"/>
      <c r="AC94" s="44"/>
      <c r="AD94" s="44"/>
    </row>
    <row r="95" spans="1:30" x14ac:dyDescent="0.2">
      <c r="A95" s="11">
        <f t="shared" si="11"/>
        <v>92</v>
      </c>
      <c r="B95" s="15">
        <f t="shared" si="12"/>
        <v>0.36507936507936423</v>
      </c>
      <c r="C95" s="17">
        <v>4.9668746892205214E-3</v>
      </c>
      <c r="D95" s="17">
        <v>1.8803258169889116E-2</v>
      </c>
      <c r="E95" s="16">
        <v>-0.22049647902735262</v>
      </c>
      <c r="F95" s="16">
        <v>-1.2084406582857576</v>
      </c>
      <c r="G95" s="29">
        <v>0</v>
      </c>
      <c r="H95" s="16">
        <v>0</v>
      </c>
      <c r="I95" s="16">
        <f t="shared" si="13"/>
        <v>-0.76121491580768397</v>
      </c>
      <c r="J95" s="17">
        <f t="shared" si="14"/>
        <v>7.0637979095147414E-3</v>
      </c>
      <c r="K95" s="19">
        <f t="shared" si="15"/>
        <v>-4.4424187877267051E-3</v>
      </c>
      <c r="L95" s="18">
        <f t="shared" si="16"/>
        <v>1477.293456972641</v>
      </c>
      <c r="M95" s="31"/>
      <c r="N95" s="36"/>
      <c r="O95" s="38"/>
      <c r="P95" s="37"/>
      <c r="Q95" s="37"/>
      <c r="R95" s="37"/>
      <c r="S95" s="37"/>
      <c r="T95" s="37">
        <f t="shared" si="17"/>
        <v>71</v>
      </c>
      <c r="U95" s="54">
        <v>41149</v>
      </c>
      <c r="V95">
        <v>1409.3</v>
      </c>
      <c r="W95" s="59"/>
      <c r="X95" s="40"/>
      <c r="Y95" s="40"/>
      <c r="Z95" s="44"/>
      <c r="AA95" s="44"/>
      <c r="AB95" s="44"/>
      <c r="AC95" s="44"/>
      <c r="AD95" s="44"/>
    </row>
    <row r="96" spans="1:30" x14ac:dyDescent="0.2">
      <c r="A96" s="11">
        <f t="shared" si="11"/>
        <v>93</v>
      </c>
      <c r="B96" s="15">
        <f t="shared" si="12"/>
        <v>0.36904761904761818</v>
      </c>
      <c r="C96" s="17">
        <v>4.9668746892205214E-3</v>
      </c>
      <c r="D96" s="17">
        <v>1.8803258169889116E-2</v>
      </c>
      <c r="E96" s="16">
        <v>-0.15853576174414485</v>
      </c>
      <c r="F96" s="16">
        <v>1.635816264499615</v>
      </c>
      <c r="G96" s="29">
        <v>0</v>
      </c>
      <c r="H96" s="16">
        <v>0</v>
      </c>
      <c r="I96" s="16">
        <f t="shared" si="13"/>
        <v>1.3324515157130041</v>
      </c>
      <c r="J96" s="17">
        <f t="shared" si="14"/>
        <v>5.8135483135512448E-3</v>
      </c>
      <c r="K96" s="19">
        <f t="shared" si="15"/>
        <v>7.0846680581691471E-3</v>
      </c>
      <c r="L96" s="18">
        <f t="shared" si="16"/>
        <v>1487.7967529904931</v>
      </c>
      <c r="M96" s="31"/>
      <c r="N96" s="36"/>
      <c r="O96" s="38"/>
      <c r="P96" s="37"/>
      <c r="Q96" s="37"/>
      <c r="R96" s="37"/>
      <c r="S96" s="37"/>
      <c r="T96" s="37">
        <f t="shared" si="17"/>
        <v>72</v>
      </c>
      <c r="U96" s="54">
        <v>41150</v>
      </c>
      <c r="V96">
        <v>1410.49</v>
      </c>
      <c r="W96" s="59"/>
      <c r="X96" s="40"/>
      <c r="Y96" s="40"/>
      <c r="Z96" s="44"/>
      <c r="AA96" s="44"/>
      <c r="AB96" s="44"/>
      <c r="AC96" s="44"/>
      <c r="AD96" s="44"/>
    </row>
    <row r="97" spans="1:30" x14ac:dyDescent="0.2">
      <c r="A97" s="11">
        <f t="shared" si="11"/>
        <v>94</v>
      </c>
      <c r="B97" s="15">
        <f t="shared" si="12"/>
        <v>0.37301587301587213</v>
      </c>
      <c r="C97" s="17">
        <v>4.9668746892205214E-3</v>
      </c>
      <c r="D97" s="17">
        <v>1.8803258169889116E-2</v>
      </c>
      <c r="E97" s="16">
        <v>0.80987105713913998</v>
      </c>
      <c r="F97" s="16">
        <v>-7.1844350209376517E-2</v>
      </c>
      <c r="G97" s="29">
        <v>0</v>
      </c>
      <c r="H97" s="16">
        <v>0</v>
      </c>
      <c r="I97" s="16">
        <f t="shared" si="13"/>
        <v>-0.58913914489686514</v>
      </c>
      <c r="J97" s="17">
        <f t="shared" si="14"/>
        <v>8.9955060904402372E-3</v>
      </c>
      <c r="K97" s="19">
        <f t="shared" si="15"/>
        <v>-2.7971029540097762E-3</v>
      </c>
      <c r="L97" s="18">
        <f t="shared" si="16"/>
        <v>1483.6410469759674</v>
      </c>
      <c r="M97" s="31"/>
      <c r="N97" s="36"/>
      <c r="O97" s="38"/>
      <c r="P97" s="37"/>
      <c r="Q97" s="37"/>
      <c r="R97" s="37"/>
      <c r="S97" s="37"/>
      <c r="T97" s="37">
        <f t="shared" si="17"/>
        <v>73</v>
      </c>
      <c r="U97" s="54">
        <v>41151</v>
      </c>
      <c r="V97">
        <v>1399.48</v>
      </c>
      <c r="W97" s="59"/>
      <c r="X97" s="40"/>
      <c r="Y97" s="40"/>
      <c r="Z97" s="44"/>
      <c r="AA97" s="44"/>
      <c r="AB97" s="44"/>
      <c r="AC97" s="44"/>
      <c r="AD97" s="44"/>
    </row>
    <row r="98" spans="1:30" x14ac:dyDescent="0.2">
      <c r="A98" s="11">
        <f t="shared" si="11"/>
        <v>95</v>
      </c>
      <c r="B98" s="15">
        <f t="shared" si="12"/>
        <v>0.37698412698412609</v>
      </c>
      <c r="C98" s="17">
        <v>4.9668746892205214E-3</v>
      </c>
      <c r="D98" s="17">
        <v>1.8803258169889116E-2</v>
      </c>
      <c r="E98" s="16">
        <v>1.1092158332331321</v>
      </c>
      <c r="F98" s="16">
        <v>0.17092046650712842</v>
      </c>
      <c r="G98" s="29">
        <v>0</v>
      </c>
      <c r="H98" s="16">
        <v>0</v>
      </c>
      <c r="I98" s="16">
        <f t="shared" si="13"/>
        <v>-0.60477234282300596</v>
      </c>
      <c r="J98" s="17">
        <f t="shared" si="14"/>
        <v>1.4875978838644565E-2</v>
      </c>
      <c r="K98" s="19">
        <f t="shared" si="15"/>
        <v>-3.5870339096189703E-3</v>
      </c>
      <c r="L98" s="18">
        <f t="shared" si="16"/>
        <v>1478.3287096938166</v>
      </c>
      <c r="M98" s="31"/>
      <c r="N98" s="36"/>
      <c r="O98" s="38"/>
      <c r="P98" s="37"/>
      <c r="Q98" s="37"/>
      <c r="R98" s="37"/>
      <c r="S98" s="37"/>
      <c r="T98" s="37">
        <f t="shared" si="17"/>
        <v>74</v>
      </c>
      <c r="U98" s="54">
        <v>41152</v>
      </c>
      <c r="V98">
        <v>1406.57</v>
      </c>
      <c r="W98" s="59"/>
      <c r="X98" s="40"/>
      <c r="Y98" s="40"/>
      <c r="Z98" s="44"/>
      <c r="AA98" s="44"/>
      <c r="AB98" s="44"/>
      <c r="AC98" s="44"/>
      <c r="AD98" s="44"/>
    </row>
    <row r="99" spans="1:30" x14ac:dyDescent="0.2">
      <c r="A99" s="11">
        <f t="shared" si="11"/>
        <v>96</v>
      </c>
      <c r="B99" s="15">
        <f t="shared" si="12"/>
        <v>0.38095238095238004</v>
      </c>
      <c r="C99" s="17">
        <v>4.9668746892205214E-3</v>
      </c>
      <c r="D99" s="17">
        <v>1.8803258169889116E-2</v>
      </c>
      <c r="E99" s="16">
        <v>0.35232715669857523</v>
      </c>
      <c r="F99" s="16">
        <v>-0.31328618023217858</v>
      </c>
      <c r="G99" s="29">
        <v>0</v>
      </c>
      <c r="H99" s="16">
        <v>0</v>
      </c>
      <c r="I99" s="16">
        <f t="shared" si="13"/>
        <v>-0.46796389578958109</v>
      </c>
      <c r="J99" s="17">
        <f t="shared" si="14"/>
        <v>1.6654171902751702E-2</v>
      </c>
      <c r="K99" s="19">
        <f t="shared" si="15"/>
        <v>-3.5808611681376543E-3</v>
      </c>
      <c r="L99" s="18">
        <f t="shared" si="16"/>
        <v>1473.0444865047825</v>
      </c>
      <c r="M99" s="31"/>
      <c r="N99" s="36"/>
      <c r="O99" s="38"/>
      <c r="P99" s="37"/>
      <c r="Q99" s="37"/>
      <c r="R99" s="37"/>
      <c r="S99" s="37"/>
      <c r="T99" s="37">
        <f t="shared" si="17"/>
        <v>75</v>
      </c>
      <c r="U99" s="54">
        <v>41156</v>
      </c>
      <c r="V99">
        <v>1404.94</v>
      </c>
      <c r="W99" s="59"/>
      <c r="X99" s="40"/>
      <c r="Y99" s="40"/>
      <c r="Z99" s="44"/>
      <c r="AA99" s="44"/>
      <c r="AB99" s="44"/>
      <c r="AC99" s="44"/>
      <c r="AD99" s="44"/>
    </row>
    <row r="100" spans="1:30" x14ac:dyDescent="0.2">
      <c r="A100" s="11">
        <f t="shared" si="11"/>
        <v>97</v>
      </c>
      <c r="B100" s="15">
        <f t="shared" si="12"/>
        <v>0.384920634920634</v>
      </c>
      <c r="C100" s="17">
        <v>4.9668746892205214E-3</v>
      </c>
      <c r="D100" s="17">
        <v>1.8803258169889116E-2</v>
      </c>
      <c r="E100" s="16">
        <v>-0.51461134394436858</v>
      </c>
      <c r="F100" s="16">
        <v>-0.34119724367775578</v>
      </c>
      <c r="G100" s="29">
        <v>0</v>
      </c>
      <c r="H100" s="16">
        <v>0</v>
      </c>
      <c r="I100" s="16">
        <f t="shared" si="13"/>
        <v>8.4023019723131254E-2</v>
      </c>
      <c r="J100" s="17">
        <f t="shared" si="14"/>
        <v>1.2720726120188881E-2</v>
      </c>
      <c r="K100" s="19">
        <f t="shared" si="15"/>
        <v>6.9413498929993538E-4</v>
      </c>
      <c r="L100" s="18">
        <f t="shared" si="16"/>
        <v>1474.0673331794244</v>
      </c>
      <c r="M100" s="31"/>
      <c r="N100" s="36"/>
      <c r="O100" s="38"/>
      <c r="P100" s="37"/>
      <c r="Q100" s="37"/>
      <c r="R100" s="37"/>
      <c r="S100" s="37"/>
      <c r="T100" s="37">
        <f t="shared" si="17"/>
        <v>76</v>
      </c>
      <c r="U100" s="54">
        <v>41157</v>
      </c>
      <c r="V100">
        <v>1403.44</v>
      </c>
      <c r="W100" s="59"/>
      <c r="X100" s="40"/>
      <c r="Y100" s="40"/>
      <c r="Z100" s="44"/>
      <c r="AA100" s="44"/>
      <c r="AB100" s="44"/>
      <c r="AC100" s="44"/>
      <c r="AD100" s="44"/>
    </row>
    <row r="101" spans="1:30" x14ac:dyDescent="0.2">
      <c r="A101" s="11">
        <f t="shared" si="11"/>
        <v>98</v>
      </c>
      <c r="B101" s="15">
        <f t="shared" si="12"/>
        <v>0.38888888888888795</v>
      </c>
      <c r="C101" s="17">
        <v>4.9668746892205214E-3</v>
      </c>
      <c r="D101" s="17">
        <v>1.8803258169889116E-2</v>
      </c>
      <c r="E101" s="16">
        <v>-0.93064415068611128</v>
      </c>
      <c r="F101" s="16">
        <v>0.41522531862859474</v>
      </c>
      <c r="G101" s="29">
        <v>0</v>
      </c>
      <c r="H101" s="16">
        <v>0</v>
      </c>
      <c r="I101" s="16">
        <f t="shared" si="13"/>
        <v>0.92666190319332986</v>
      </c>
      <c r="J101" s="17">
        <f t="shared" si="14"/>
        <v>7.1791648194208264E-3</v>
      </c>
      <c r="K101" s="19">
        <f t="shared" si="15"/>
        <v>6.6026838267434339E-3</v>
      </c>
      <c r="L101" s="18">
        <f t="shared" si="16"/>
        <v>1483.8323358565933</v>
      </c>
      <c r="M101" s="31"/>
      <c r="N101" s="36"/>
      <c r="O101" s="38"/>
      <c r="P101" s="37"/>
      <c r="Q101" s="37"/>
      <c r="R101" s="37"/>
      <c r="S101" s="37"/>
      <c r="T101" s="37">
        <f t="shared" si="17"/>
        <v>77</v>
      </c>
      <c r="U101" s="54">
        <v>41158</v>
      </c>
      <c r="V101">
        <v>1432.12</v>
      </c>
      <c r="W101" s="59"/>
      <c r="X101" s="40"/>
      <c r="Y101" s="40"/>
      <c r="Z101" s="44"/>
      <c r="AA101" s="44"/>
      <c r="AB101" s="44"/>
      <c r="AC101" s="44"/>
      <c r="AD101" s="44"/>
    </row>
    <row r="102" spans="1:30" x14ac:dyDescent="0.2">
      <c r="A102" s="11">
        <f t="shared" si="11"/>
        <v>99</v>
      </c>
      <c r="B102" s="15">
        <f t="shared" si="12"/>
        <v>0.39285714285714191</v>
      </c>
      <c r="C102" s="17">
        <v>4.9668746892205214E-3</v>
      </c>
      <c r="D102" s="17">
        <v>1.8803258169889116E-2</v>
      </c>
      <c r="E102" s="16">
        <v>0.92673116257403609</v>
      </c>
      <c r="F102" s="16">
        <v>0.30758776735001064</v>
      </c>
      <c r="G102" s="29">
        <v>0</v>
      </c>
      <c r="H102" s="16">
        <v>0</v>
      </c>
      <c r="I102" s="16">
        <f t="shared" si="13"/>
        <v>-0.38160479810765924</v>
      </c>
      <c r="J102" s="17">
        <f t="shared" si="14"/>
        <v>1.1388957679904979E-2</v>
      </c>
      <c r="K102" s="19">
        <f t="shared" si="15"/>
        <v>-2.0069364665146385E-3</v>
      </c>
      <c r="L102" s="18">
        <f t="shared" si="16"/>
        <v>1480.8573649189473</v>
      </c>
      <c r="M102" s="31"/>
      <c r="N102" s="36"/>
      <c r="O102" s="38"/>
      <c r="P102" s="37"/>
      <c r="Q102" s="37"/>
      <c r="R102" s="37"/>
      <c r="S102" s="37"/>
      <c r="T102" s="37">
        <f t="shared" si="17"/>
        <v>78</v>
      </c>
      <c r="U102" s="54">
        <v>41159</v>
      </c>
      <c r="V102">
        <v>1437.92</v>
      </c>
      <c r="W102" s="59"/>
      <c r="X102" s="40"/>
      <c r="Y102" s="40"/>
      <c r="Z102" s="44"/>
      <c r="AA102" s="44"/>
      <c r="AB102" s="44"/>
      <c r="AC102" s="44"/>
      <c r="AD102" s="44"/>
    </row>
    <row r="103" spans="1:30" x14ac:dyDescent="0.2">
      <c r="A103" s="11">
        <f t="shared" si="11"/>
        <v>100</v>
      </c>
      <c r="B103" s="15">
        <f t="shared" si="12"/>
        <v>0.39682539682539586</v>
      </c>
      <c r="C103" s="17">
        <v>4.9668746892205214E-3</v>
      </c>
      <c r="D103" s="17">
        <v>1.8803258169889116E-2</v>
      </c>
      <c r="E103" s="16">
        <v>-0.10746946097792022</v>
      </c>
      <c r="F103" s="16">
        <v>0.43851630459147439</v>
      </c>
      <c r="G103" s="29">
        <v>0</v>
      </c>
      <c r="H103" s="16">
        <v>0</v>
      </c>
      <c r="I103" s="16">
        <f t="shared" si="13"/>
        <v>0.40012983601946644</v>
      </c>
      <c r="J103" s="17">
        <f t="shared" si="14"/>
        <v>1.0211814910306236E-2</v>
      </c>
      <c r="K103" s="19">
        <f t="shared" si="15"/>
        <v>2.7114611543766118E-3</v>
      </c>
      <c r="L103" s="18">
        <f t="shared" si="16"/>
        <v>1484.8781007101747</v>
      </c>
      <c r="M103" s="31"/>
      <c r="N103" s="36"/>
      <c r="O103" s="38"/>
      <c r="P103" s="37"/>
      <c r="Q103" s="37"/>
      <c r="R103" s="37"/>
      <c r="S103" s="37"/>
      <c r="T103" s="37">
        <f t="shared" si="17"/>
        <v>79</v>
      </c>
      <c r="U103" s="54">
        <v>41162</v>
      </c>
      <c r="V103">
        <v>1429.08</v>
      </c>
      <c r="W103" s="59"/>
      <c r="X103" s="40"/>
      <c r="Y103" s="40"/>
      <c r="Z103" s="44"/>
      <c r="AA103" s="44"/>
      <c r="AB103" s="44"/>
      <c r="AC103" s="44"/>
      <c r="AD103" s="44"/>
    </row>
    <row r="104" spans="1:30" x14ac:dyDescent="0.2">
      <c r="A104" s="11">
        <f t="shared" si="11"/>
        <v>101</v>
      </c>
      <c r="B104" s="15">
        <f t="shared" si="12"/>
        <v>0.40079365079364981</v>
      </c>
      <c r="C104" s="17">
        <v>4.9668746892205214E-3</v>
      </c>
      <c r="D104" s="17">
        <v>1.8803258169889116E-2</v>
      </c>
      <c r="E104" s="16">
        <v>0.19633836959857887</v>
      </c>
      <c r="F104" s="16">
        <v>-0.32567782140909041</v>
      </c>
      <c r="G104" s="29">
        <v>0</v>
      </c>
      <c r="H104" s="16">
        <v>0</v>
      </c>
      <c r="I104" s="16">
        <f t="shared" si="13"/>
        <v>-0.374175417924832</v>
      </c>
      <c r="J104" s="17">
        <f t="shared" si="14"/>
        <v>1.0719351272642213E-2</v>
      </c>
      <c r="K104" s="19">
        <f t="shared" si="15"/>
        <v>-2.3580596723716154E-3</v>
      </c>
      <c r="L104" s="18">
        <f t="shared" si="16"/>
        <v>1481.3807945913109</v>
      </c>
      <c r="M104" s="31"/>
      <c r="N104" s="36"/>
      <c r="O104" s="38"/>
      <c r="P104" s="37"/>
      <c r="Q104" s="37"/>
      <c r="R104" s="37"/>
      <c r="S104" s="37"/>
      <c r="T104" s="37">
        <f t="shared" si="17"/>
        <v>80</v>
      </c>
      <c r="U104" s="54">
        <v>41163</v>
      </c>
      <c r="V104">
        <v>1433.56</v>
      </c>
      <c r="W104" s="59"/>
      <c r="X104" s="40"/>
      <c r="Y104" s="40"/>
      <c r="Z104" s="44"/>
      <c r="AA104" s="44"/>
      <c r="AB104" s="44"/>
      <c r="AC104" s="44"/>
      <c r="AD104" s="44"/>
    </row>
    <row r="105" spans="1:30" x14ac:dyDescent="0.2">
      <c r="A105" s="11">
        <f t="shared" si="11"/>
        <v>102</v>
      </c>
      <c r="B105" s="15">
        <f t="shared" si="12"/>
        <v>0.40476190476190377</v>
      </c>
      <c r="C105" s="17">
        <v>4.9668746892205214E-3</v>
      </c>
      <c r="D105" s="17">
        <v>1.8803258169889116E-2</v>
      </c>
      <c r="E105" s="16">
        <v>1.0833181958236597</v>
      </c>
      <c r="F105" s="16">
        <v>0.7201880807268336</v>
      </c>
      <c r="G105" s="29">
        <v>0</v>
      </c>
      <c r="H105" s="16">
        <v>0</v>
      </c>
      <c r="I105" s="16">
        <f t="shared" si="13"/>
        <v>-0.17543208322882353</v>
      </c>
      <c r="J105" s="17">
        <f t="shared" si="14"/>
        <v>1.692274493798936E-2</v>
      </c>
      <c r="K105" s="19">
        <f t="shared" si="15"/>
        <v>-1.1213270894055933E-3</v>
      </c>
      <c r="L105" s="18">
        <f t="shared" si="16"/>
        <v>1479.7206131537757</v>
      </c>
      <c r="M105" s="31"/>
      <c r="N105" s="36"/>
      <c r="O105" s="38"/>
      <c r="P105" s="37"/>
      <c r="Q105" s="37"/>
      <c r="R105" s="37"/>
      <c r="S105" s="37"/>
      <c r="T105" s="37">
        <f t="shared" si="17"/>
        <v>81</v>
      </c>
      <c r="U105" s="54">
        <v>41164</v>
      </c>
      <c r="V105">
        <v>1436.56</v>
      </c>
      <c r="W105" s="59"/>
      <c r="X105" s="40"/>
      <c r="Y105" s="40"/>
      <c r="Z105" s="44"/>
      <c r="AA105" s="44"/>
      <c r="AB105" s="44"/>
      <c r="AC105" s="44"/>
      <c r="AD105" s="44"/>
    </row>
    <row r="106" spans="1:30" x14ac:dyDescent="0.2">
      <c r="A106" s="11">
        <f t="shared" si="11"/>
        <v>103</v>
      </c>
      <c r="B106" s="15">
        <f t="shared" si="12"/>
        <v>0.40873015873015772</v>
      </c>
      <c r="C106" s="17">
        <v>4.9668746892205214E-3</v>
      </c>
      <c r="D106" s="17">
        <v>1.8803258169889116E-2</v>
      </c>
      <c r="E106" s="16">
        <v>-0.52742122706472838</v>
      </c>
      <c r="F106" s="16">
        <v>1.4625351384219041</v>
      </c>
      <c r="G106" s="29">
        <v>0</v>
      </c>
      <c r="H106" s="16">
        <v>0</v>
      </c>
      <c r="I106" s="16">
        <f t="shared" si="13"/>
        <v>1.4461896112010468</v>
      </c>
      <c r="J106" s="17">
        <f t="shared" si="14"/>
        <v>1.2880990514837362E-2</v>
      </c>
      <c r="K106" s="19">
        <f t="shared" si="15"/>
        <v>1.1861687658741963E-2</v>
      </c>
      <c r="L106" s="18">
        <f t="shared" si="16"/>
        <v>1497.3771077800345</v>
      </c>
      <c r="M106" s="31"/>
      <c r="N106" s="36"/>
      <c r="O106" s="38"/>
      <c r="P106" s="37"/>
      <c r="Q106" s="37"/>
      <c r="R106" s="37"/>
      <c r="S106" s="37"/>
      <c r="T106" s="37">
        <f t="shared" si="17"/>
        <v>82</v>
      </c>
      <c r="U106" s="54">
        <v>41165</v>
      </c>
      <c r="V106">
        <v>1459.99</v>
      </c>
      <c r="W106" s="59"/>
      <c r="X106" s="40"/>
      <c r="Y106" s="40"/>
      <c r="Z106" s="44"/>
      <c r="AA106" s="44"/>
      <c r="AB106" s="44"/>
      <c r="AC106" s="44"/>
      <c r="AD106" s="44"/>
    </row>
    <row r="107" spans="1:30" x14ac:dyDescent="0.2">
      <c r="A107" s="11">
        <f t="shared" si="11"/>
        <v>104</v>
      </c>
      <c r="B107" s="15">
        <f t="shared" si="12"/>
        <v>0.41269841269841168</v>
      </c>
      <c r="C107" s="17">
        <v>4.9668746892205214E-3</v>
      </c>
      <c r="D107" s="17">
        <v>1.8803258169889116E-2</v>
      </c>
      <c r="E107" s="16">
        <v>0.23762164806175029</v>
      </c>
      <c r="F107" s="16">
        <v>0.92630865789894223</v>
      </c>
      <c r="G107" s="29">
        <v>0</v>
      </c>
      <c r="H107" s="16">
        <v>0</v>
      </c>
      <c r="I107" s="16">
        <f t="shared" si="13"/>
        <v>0.53815736580096152</v>
      </c>
      <c r="J107" s="17">
        <f t="shared" si="14"/>
        <v>1.3769633653815134E-2</v>
      </c>
      <c r="K107" s="19">
        <f t="shared" si="15"/>
        <v>3.8661048611354858E-3</v>
      </c>
      <c r="L107" s="18">
        <f t="shared" si="16"/>
        <v>1503.177329603725</v>
      </c>
      <c r="M107" s="31"/>
      <c r="N107" s="36"/>
      <c r="O107" s="38"/>
      <c r="P107" s="37"/>
      <c r="Q107" s="37"/>
      <c r="R107" s="37"/>
      <c r="S107" s="37"/>
      <c r="T107" s="37">
        <f t="shared" si="17"/>
        <v>83</v>
      </c>
      <c r="U107" s="54">
        <v>41166</v>
      </c>
      <c r="V107">
        <v>1465.77</v>
      </c>
      <c r="W107" s="59"/>
      <c r="X107" s="40"/>
      <c r="Y107" s="40"/>
      <c r="Z107" s="44"/>
      <c r="AA107" s="44"/>
      <c r="AB107" s="44"/>
      <c r="AC107" s="44"/>
      <c r="AD107" s="44"/>
    </row>
    <row r="108" spans="1:30" x14ac:dyDescent="0.2">
      <c r="A108" s="11">
        <f t="shared" si="11"/>
        <v>105</v>
      </c>
      <c r="B108" s="15">
        <f t="shared" si="12"/>
        <v>0.41666666666666563</v>
      </c>
      <c r="C108" s="17">
        <v>4.9668746892205214E-3</v>
      </c>
      <c r="D108" s="17">
        <v>1.8803258169889116E-2</v>
      </c>
      <c r="E108" s="16">
        <v>0.82536788872850564</v>
      </c>
      <c r="F108" s="16">
        <v>-0.35535515970507481</v>
      </c>
      <c r="G108" s="29">
        <v>0</v>
      </c>
      <c r="H108" s="16">
        <v>0</v>
      </c>
      <c r="I108" s="16">
        <f t="shared" si="13"/>
        <v>-0.81215537061876208</v>
      </c>
      <c r="J108" s="17">
        <f t="shared" si="14"/>
        <v>1.8803016109814809E-2</v>
      </c>
      <c r="K108" s="19">
        <f t="shared" si="15"/>
        <v>-5.9866409777913458E-3</v>
      </c>
      <c r="L108" s="18">
        <f t="shared" si="16"/>
        <v>1494.2052297722448</v>
      </c>
      <c r="M108" s="31"/>
      <c r="N108" s="36"/>
      <c r="O108" s="38"/>
      <c r="P108" s="37"/>
      <c r="Q108" s="37"/>
      <c r="R108" s="37"/>
      <c r="S108" s="37"/>
      <c r="T108" s="37">
        <f t="shared" si="17"/>
        <v>84</v>
      </c>
      <c r="U108" s="54">
        <v>41169</v>
      </c>
      <c r="V108">
        <v>1461.19</v>
      </c>
      <c r="W108" s="59"/>
      <c r="X108" s="40"/>
      <c r="Y108" s="40"/>
      <c r="Z108" s="44"/>
      <c r="AA108" s="44"/>
      <c r="AB108" s="44"/>
      <c r="AC108" s="44"/>
      <c r="AD108" s="44"/>
    </row>
    <row r="109" spans="1:30" x14ac:dyDescent="0.2">
      <c r="A109" s="11">
        <f t="shared" si="11"/>
        <v>106</v>
      </c>
      <c r="B109" s="15">
        <f t="shared" si="12"/>
        <v>0.42063492063491958</v>
      </c>
      <c r="C109" s="17">
        <v>4.9668746892205214E-3</v>
      </c>
      <c r="D109" s="17">
        <v>1.8803258169889116E-2</v>
      </c>
      <c r="E109" s="16">
        <v>-0.86838505644619035</v>
      </c>
      <c r="F109" s="16">
        <v>0.63794661874080438</v>
      </c>
      <c r="G109" s="29">
        <v>0</v>
      </c>
      <c r="H109" s="16">
        <v>0</v>
      </c>
      <c r="I109" s="16">
        <f t="shared" si="13"/>
        <v>1.0526690049232097</v>
      </c>
      <c r="J109" s="17">
        <f t="shared" si="14"/>
        <v>1.2411563803650967E-2</v>
      </c>
      <c r="K109" s="19">
        <f t="shared" si="15"/>
        <v>9.0997712498913867E-3</v>
      </c>
      <c r="L109" s="18">
        <f t="shared" si="16"/>
        <v>1507.8642080992411</v>
      </c>
      <c r="M109" s="31"/>
      <c r="N109" s="36"/>
      <c r="O109" s="38"/>
      <c r="P109" s="37"/>
      <c r="Q109" s="37"/>
      <c r="R109" s="37"/>
      <c r="S109" s="37"/>
      <c r="T109" s="37">
        <f t="shared" si="17"/>
        <v>85</v>
      </c>
      <c r="U109" s="54">
        <v>41170</v>
      </c>
      <c r="V109">
        <v>1459.32</v>
      </c>
      <c r="W109" s="59"/>
      <c r="X109" s="40"/>
      <c r="Y109" s="40"/>
      <c r="Z109" s="44"/>
      <c r="AA109" s="44"/>
      <c r="AB109" s="44"/>
      <c r="AC109" s="44"/>
      <c r="AD109" s="44"/>
    </row>
    <row r="110" spans="1:30" x14ac:dyDescent="0.2">
      <c r="A110" s="80">
        <f t="shared" si="11"/>
        <v>107</v>
      </c>
      <c r="B110" s="81">
        <f t="shared" si="12"/>
        <v>0.42460317460317354</v>
      </c>
      <c r="C110" s="17">
        <v>4.9668746892205214E-3</v>
      </c>
      <c r="D110" s="17">
        <v>1.8803258169889116E-2</v>
      </c>
      <c r="E110" s="16">
        <v>-0.11445497777477401</v>
      </c>
      <c r="F110" s="16">
        <v>-2.3420057959488423</v>
      </c>
      <c r="G110" s="29">
        <v>0</v>
      </c>
      <c r="H110" s="16">
        <v>0</v>
      </c>
      <c r="I110" s="16">
        <f t="shared" si="13"/>
        <v>-1.6820351133560851</v>
      </c>
      <c r="J110" s="17">
        <f t="shared" si="14"/>
        <v>1.1163751400076643E-2</v>
      </c>
      <c r="K110" s="19">
        <f t="shared" si="15"/>
        <v>-1.1785020249374027E-2</v>
      </c>
      <c r="L110" s="18">
        <f t="shared" si="16"/>
        <v>1490.1982988852401</v>
      </c>
      <c r="M110" s="31"/>
      <c r="N110" s="36"/>
      <c r="O110" s="38"/>
      <c r="P110" s="37"/>
      <c r="Q110" s="37"/>
      <c r="R110" s="37"/>
      <c r="S110" s="37"/>
      <c r="T110" s="37">
        <f t="shared" si="17"/>
        <v>86</v>
      </c>
      <c r="U110" s="54">
        <v>41171</v>
      </c>
      <c r="V110">
        <v>1461.05</v>
      </c>
      <c r="W110" s="59"/>
      <c r="X110" s="40"/>
      <c r="Y110" s="40"/>
      <c r="Z110" s="44"/>
      <c r="AA110" s="44"/>
      <c r="AB110" s="44"/>
      <c r="AC110" s="44"/>
      <c r="AD110" s="44"/>
    </row>
    <row r="111" spans="1:30" x14ac:dyDescent="0.2">
      <c r="A111" s="11">
        <f t="shared" si="11"/>
        <v>108</v>
      </c>
      <c r="B111" s="15">
        <f t="shared" si="12"/>
        <v>0.42857142857142749</v>
      </c>
      <c r="C111" s="17">
        <v>4.3038789552882371E-3</v>
      </c>
      <c r="D111" s="17">
        <v>2.0950313006112661E-2</v>
      </c>
      <c r="E111" s="16">
        <v>-2.0440739195290574</v>
      </c>
      <c r="F111" s="16">
        <v>1.3993939360905625</v>
      </c>
      <c r="G111" s="29">
        <v>0</v>
      </c>
      <c r="H111" s="16">
        <v>0</v>
      </c>
      <c r="I111" s="16">
        <f t="shared" si="13"/>
        <v>2.4011133182916811</v>
      </c>
      <c r="J111" s="17">
        <f t="shared" si="14"/>
        <v>2.0688207809650221E-3</v>
      </c>
      <c r="K111" s="19">
        <f t="shared" si="15"/>
        <v>1.5992313872865985E-2</v>
      </c>
      <c r="L111" s="18">
        <f t="shared" si="16"/>
        <v>1514.2215998962045</v>
      </c>
      <c r="M111" s="31"/>
      <c r="N111" s="36"/>
      <c r="O111" s="38"/>
      <c r="P111" s="37"/>
      <c r="Q111" s="37"/>
      <c r="R111" s="37"/>
      <c r="S111" s="37"/>
      <c r="T111" s="37">
        <f t="shared" si="17"/>
        <v>87</v>
      </c>
      <c r="U111" s="54">
        <v>41172</v>
      </c>
      <c r="V111">
        <v>1460.26</v>
      </c>
      <c r="W111" s="59"/>
      <c r="X111" s="40"/>
      <c r="Y111" s="40"/>
      <c r="Z111" s="44"/>
      <c r="AA111" s="44"/>
      <c r="AB111" s="44"/>
      <c r="AC111" s="44"/>
      <c r="AD111" s="44"/>
    </row>
    <row r="112" spans="1:30" x14ac:dyDescent="0.2">
      <c r="A112" s="11">
        <f t="shared" si="11"/>
        <v>109</v>
      </c>
      <c r="B112" s="15">
        <f t="shared" si="12"/>
        <v>0.43253968253968145</v>
      </c>
      <c r="C112" s="17">
        <v>4.3038789552882371E-3</v>
      </c>
      <c r="D112" s="17">
        <v>2.0950313006112661E-2</v>
      </c>
      <c r="E112" s="16">
        <v>0.64748955974772748</v>
      </c>
      <c r="F112" s="16">
        <v>2.0045033394781298</v>
      </c>
      <c r="G112" s="29">
        <v>0</v>
      </c>
      <c r="H112" s="16">
        <v>0</v>
      </c>
      <c r="I112" s="16">
        <f t="shared" si="13"/>
        <v>1.076472681298106</v>
      </c>
      <c r="J112" s="17">
        <f t="shared" si="14"/>
        <v>3.3839697601954289E-3</v>
      </c>
      <c r="K112" s="19">
        <f t="shared" si="15"/>
        <v>3.1132158248730712E-3</v>
      </c>
      <c r="L112" s="18">
        <f t="shared" si="16"/>
        <v>1518.9430441674799</v>
      </c>
      <c r="M112" s="31"/>
      <c r="N112" s="36"/>
      <c r="O112" s="38"/>
      <c r="P112" s="37"/>
      <c r="Q112" s="37"/>
      <c r="R112" s="37"/>
      <c r="S112" s="37"/>
      <c r="T112" s="37">
        <f t="shared" si="17"/>
        <v>88</v>
      </c>
      <c r="U112" s="54">
        <v>41173</v>
      </c>
      <c r="V112">
        <v>1460.15</v>
      </c>
      <c r="W112" s="59"/>
      <c r="X112" s="40"/>
      <c r="Y112" s="40"/>
      <c r="Z112" s="44"/>
      <c r="AA112" s="44"/>
      <c r="AB112" s="44"/>
      <c r="AC112" s="44"/>
      <c r="AD112" s="44"/>
    </row>
    <row r="113" spans="1:30" x14ac:dyDescent="0.2">
      <c r="A113" s="11">
        <f t="shared" si="11"/>
        <v>110</v>
      </c>
      <c r="B113" s="15">
        <f t="shared" si="12"/>
        <v>0.4365079365079354</v>
      </c>
      <c r="C113" s="17">
        <v>4.3038789552882371E-3</v>
      </c>
      <c r="D113" s="17">
        <v>2.0950313006112661E-2</v>
      </c>
      <c r="E113" s="16">
        <v>0.73704089767652159</v>
      </c>
      <c r="F113" s="16">
        <v>0.80605324354245811</v>
      </c>
      <c r="G113" s="29">
        <v>0</v>
      </c>
      <c r="H113" s="16">
        <v>0</v>
      </c>
      <c r="I113" s="16">
        <f t="shared" si="13"/>
        <v>0.11785419515977158</v>
      </c>
      <c r="J113" s="17">
        <f t="shared" si="14"/>
        <v>5.4939351688528997E-3</v>
      </c>
      <c r="K113" s="19">
        <f t="shared" si="15"/>
        <v>4.5812763507765487E-4</v>
      </c>
      <c r="L113" s="18">
        <f t="shared" si="16"/>
        <v>1519.6390733750559</v>
      </c>
      <c r="M113" s="31"/>
      <c r="N113" s="36"/>
      <c r="O113" s="38"/>
      <c r="P113" s="37"/>
      <c r="Q113" s="37"/>
      <c r="R113" s="37"/>
      <c r="S113" s="37"/>
      <c r="T113" s="37">
        <f t="shared" si="17"/>
        <v>89</v>
      </c>
      <c r="U113" s="54">
        <v>41176</v>
      </c>
      <c r="V113">
        <v>1456.89</v>
      </c>
      <c r="W113" s="59"/>
      <c r="X113" s="40"/>
      <c r="Y113" s="40"/>
      <c r="Z113" s="44"/>
      <c r="AA113" s="44"/>
      <c r="AB113" s="44"/>
      <c r="AC113" s="44"/>
      <c r="AD113" s="44"/>
    </row>
    <row r="114" spans="1:30" x14ac:dyDescent="0.2">
      <c r="A114" s="11">
        <f t="shared" si="11"/>
        <v>111</v>
      </c>
      <c r="B114" s="15">
        <f t="shared" si="12"/>
        <v>0.44047619047618936</v>
      </c>
      <c r="C114" s="17">
        <v>4.3038789552882371E-3</v>
      </c>
      <c r="D114" s="17">
        <v>2.0950313006112661E-2</v>
      </c>
      <c r="E114" s="16">
        <v>0.52321370076172635</v>
      </c>
      <c r="F114" s="16">
        <v>0.34378442993381597</v>
      </c>
      <c r="G114" s="29">
        <v>0</v>
      </c>
      <c r="H114" s="16">
        <v>0</v>
      </c>
      <c r="I114" s="16">
        <f t="shared" si="13"/>
        <v>-8.7766381467379362E-2</v>
      </c>
      <c r="J114" s="17">
        <f t="shared" si="14"/>
        <v>7.1892808504077366E-3</v>
      </c>
      <c r="K114" s="19">
        <f t="shared" si="15"/>
        <v>-3.8773161410563813E-4</v>
      </c>
      <c r="L114" s="18">
        <f t="shared" si="16"/>
        <v>1519.0499754775976</v>
      </c>
      <c r="M114" s="31"/>
      <c r="N114" s="36"/>
      <c r="O114" s="38"/>
      <c r="P114" s="37"/>
      <c r="Q114" s="37"/>
      <c r="R114" s="37"/>
      <c r="S114" s="37"/>
      <c r="T114" s="37">
        <f t="shared" si="17"/>
        <v>90</v>
      </c>
      <c r="U114" s="54">
        <v>41177</v>
      </c>
      <c r="V114">
        <v>1441.59</v>
      </c>
      <c r="W114" s="59"/>
      <c r="X114" s="40"/>
      <c r="Y114" s="40"/>
      <c r="Z114" s="44"/>
      <c r="AA114" s="44"/>
      <c r="AB114" s="44"/>
      <c r="AC114" s="44"/>
      <c r="AD114" s="44"/>
    </row>
    <row r="115" spans="1:30" x14ac:dyDescent="0.2">
      <c r="A115" s="11">
        <f t="shared" si="11"/>
        <v>112</v>
      </c>
      <c r="B115" s="15">
        <f t="shared" si="12"/>
        <v>0.44444444444444331</v>
      </c>
      <c r="C115" s="17">
        <v>4.3038789552882371E-3</v>
      </c>
      <c r="D115" s="17">
        <v>2.0950313006112661E-2</v>
      </c>
      <c r="E115" s="16">
        <v>1.7454386840927536</v>
      </c>
      <c r="F115" s="16">
        <v>-0.55218357422941089</v>
      </c>
      <c r="G115" s="29">
        <v>0</v>
      </c>
      <c r="H115" s="16">
        <v>0</v>
      </c>
      <c r="I115" s="16">
        <f t="shared" si="13"/>
        <v>-1.5679228062555204</v>
      </c>
      <c r="J115" s="17">
        <f t="shared" si="14"/>
        <v>1.6625444309780309E-2</v>
      </c>
      <c r="K115" s="19">
        <f t="shared" si="15"/>
        <v>-8.3559565189119025E-3</v>
      </c>
      <c r="L115" s="18">
        <f t="shared" si="16"/>
        <v>1506.4097440914888</v>
      </c>
      <c r="M115" s="31"/>
      <c r="N115" s="36"/>
      <c r="O115" s="38"/>
      <c r="P115" s="37"/>
      <c r="Q115" s="37"/>
      <c r="R115" s="37"/>
      <c r="S115" s="37"/>
      <c r="T115" s="37">
        <f t="shared" si="17"/>
        <v>91</v>
      </c>
      <c r="U115" s="54">
        <v>41178</v>
      </c>
      <c r="V115">
        <v>1433.32</v>
      </c>
      <c r="W115" s="59"/>
      <c r="X115" s="40"/>
      <c r="Y115" s="40"/>
      <c r="Z115" s="44"/>
      <c r="AA115" s="44"/>
      <c r="AB115" s="44"/>
      <c r="AC115" s="44"/>
      <c r="AD115" s="44"/>
    </row>
    <row r="116" spans="1:30" x14ac:dyDescent="0.2">
      <c r="A116" s="11">
        <f t="shared" si="11"/>
        <v>113</v>
      </c>
      <c r="B116" s="15">
        <f t="shared" si="12"/>
        <v>0.44841269841269726</v>
      </c>
      <c r="C116" s="17">
        <v>4.3038789552882371E-3</v>
      </c>
      <c r="D116" s="17">
        <v>2.0950313006112661E-2</v>
      </c>
      <c r="E116" s="16">
        <v>-0.12375406844361135</v>
      </c>
      <c r="F116" s="16">
        <v>-1.1959616965957789</v>
      </c>
      <c r="G116" s="29">
        <v>0</v>
      </c>
      <c r="H116" s="16">
        <v>0</v>
      </c>
      <c r="I116" s="16">
        <f t="shared" si="13"/>
        <v>-0.81578367138706209</v>
      </c>
      <c r="J116" s="17">
        <f t="shared" si="14"/>
        <v>1.5193714111056413E-2</v>
      </c>
      <c r="K116" s="19">
        <f t="shared" si="15"/>
        <v>-6.626171684039733E-3</v>
      </c>
      <c r="L116" s="18">
        <f t="shared" si="16"/>
        <v>1496.4610119052322</v>
      </c>
      <c r="M116" s="31"/>
      <c r="N116" s="36"/>
      <c r="O116" s="38"/>
      <c r="P116" s="37"/>
      <c r="Q116" s="37"/>
      <c r="R116" s="37"/>
      <c r="S116" s="37"/>
      <c r="T116" s="37">
        <f t="shared" si="17"/>
        <v>92</v>
      </c>
      <c r="U116" s="54">
        <v>41179</v>
      </c>
      <c r="V116">
        <v>1447.15</v>
      </c>
      <c r="W116" s="59"/>
      <c r="X116" s="40"/>
      <c r="Y116" s="40"/>
      <c r="Z116" s="44"/>
      <c r="AA116" s="44"/>
      <c r="AB116" s="44"/>
      <c r="AC116" s="44"/>
      <c r="AD116" s="44"/>
    </row>
    <row r="117" spans="1:30" x14ac:dyDescent="0.2">
      <c r="A117" s="11">
        <f t="shared" si="11"/>
        <v>114</v>
      </c>
      <c r="B117" s="15">
        <f t="shared" si="12"/>
        <v>0.45238095238095122</v>
      </c>
      <c r="C117" s="17">
        <v>4.3038789552882371E-3</v>
      </c>
      <c r="D117" s="17">
        <v>2.0950313006112661E-2</v>
      </c>
      <c r="E117" s="16">
        <v>-0.15375599307946419</v>
      </c>
      <c r="F117" s="16">
        <v>-0.31528912914542429</v>
      </c>
      <c r="G117" s="29">
        <v>0</v>
      </c>
      <c r="H117" s="16">
        <v>0</v>
      </c>
      <c r="I117" s="16">
        <f t="shared" si="13"/>
        <v>-0.13501163507592545</v>
      </c>
      <c r="J117" s="17">
        <f t="shared" si="14"/>
        <v>1.3614114346709715E-2</v>
      </c>
      <c r="K117" s="19">
        <f t="shared" si="15"/>
        <v>-1.0455211434906126E-3</v>
      </c>
      <c r="L117" s="18">
        <f t="shared" si="16"/>
        <v>1494.8972478934925</v>
      </c>
      <c r="M117" s="31"/>
      <c r="N117" s="36"/>
      <c r="O117" s="38"/>
      <c r="P117" s="37"/>
      <c r="Q117" s="37"/>
      <c r="R117" s="37"/>
      <c r="S117" s="37"/>
      <c r="T117" s="37">
        <f t="shared" si="17"/>
        <v>93</v>
      </c>
      <c r="U117" s="54">
        <v>41180</v>
      </c>
      <c r="V117">
        <v>1440.67</v>
      </c>
      <c r="W117" s="59"/>
      <c r="X117" s="40"/>
      <c r="Y117" s="40"/>
      <c r="Z117" s="44"/>
      <c r="AA117" s="44"/>
      <c r="AB117" s="44"/>
      <c r="AC117" s="44"/>
      <c r="AD117" s="44"/>
    </row>
    <row r="118" spans="1:30" x14ac:dyDescent="0.2">
      <c r="A118" s="11">
        <f t="shared" si="11"/>
        <v>115</v>
      </c>
      <c r="B118" s="15">
        <f t="shared" si="12"/>
        <v>0.45634920634920517</v>
      </c>
      <c r="C118" s="17">
        <v>4.3038789552882371E-3</v>
      </c>
      <c r="D118" s="17">
        <v>2.0950313006112661E-2</v>
      </c>
      <c r="E118" s="16">
        <v>0.50879711532172545</v>
      </c>
      <c r="F118" s="16">
        <v>0.92474492450273216</v>
      </c>
      <c r="G118" s="29">
        <v>0</v>
      </c>
      <c r="H118" s="16">
        <v>0</v>
      </c>
      <c r="I118" s="16">
        <f t="shared" si="13"/>
        <v>0.35777189099944107</v>
      </c>
      <c r="J118" s="17">
        <f t="shared" si="14"/>
        <v>1.63616606680437E-2</v>
      </c>
      <c r="K118" s="19">
        <f t="shared" si="15"/>
        <v>2.6356210944998041E-3</v>
      </c>
      <c r="L118" s="18">
        <f t="shared" si="16"/>
        <v>1498.8424273294565</v>
      </c>
      <c r="M118" s="31"/>
      <c r="N118" s="36"/>
      <c r="O118" s="38"/>
      <c r="P118" s="37"/>
      <c r="Q118" s="37"/>
      <c r="R118" s="37"/>
      <c r="S118" s="37"/>
      <c r="T118" s="37">
        <f t="shared" si="17"/>
        <v>94</v>
      </c>
      <c r="U118" s="54">
        <v>41183</v>
      </c>
      <c r="V118">
        <v>1444.49</v>
      </c>
      <c r="W118" s="59"/>
      <c r="X118" s="40"/>
      <c r="Y118" s="40"/>
      <c r="Z118" s="44"/>
      <c r="AA118" s="44"/>
      <c r="AB118" s="44"/>
      <c r="AC118" s="44"/>
      <c r="AD118" s="44"/>
    </row>
    <row r="119" spans="1:30" x14ac:dyDescent="0.2">
      <c r="A119" s="11">
        <f t="shared" si="11"/>
        <v>116</v>
      </c>
      <c r="B119" s="15">
        <f t="shared" si="12"/>
        <v>0.46031746031745913</v>
      </c>
      <c r="C119" s="17">
        <v>4.3038789552882371E-3</v>
      </c>
      <c r="D119" s="17">
        <v>2.0950313006112661E-2</v>
      </c>
      <c r="E119" s="16">
        <v>1.1941318275146393</v>
      </c>
      <c r="F119" s="16">
        <v>4.6802440585812392E-2</v>
      </c>
      <c r="G119" s="29">
        <v>0</v>
      </c>
      <c r="H119" s="16">
        <v>0</v>
      </c>
      <c r="I119" s="16">
        <f t="shared" si="13"/>
        <v>-0.75404138889332883</v>
      </c>
      <c r="J119" s="17">
        <f t="shared" si="14"/>
        <v>2.4875617873628547E-2</v>
      </c>
      <c r="K119" s="19">
        <f t="shared" si="15"/>
        <v>-6.0753685455247775E-3</v>
      </c>
      <c r="L119" s="18">
        <f t="shared" si="16"/>
        <v>1489.7640124735422</v>
      </c>
      <c r="M119" s="31"/>
      <c r="N119" s="36"/>
      <c r="O119" s="38"/>
      <c r="P119" s="37"/>
      <c r="Q119" s="37"/>
      <c r="R119" s="37"/>
      <c r="S119" s="37"/>
      <c r="T119" s="37">
        <f t="shared" si="17"/>
        <v>95</v>
      </c>
      <c r="U119" s="54">
        <v>41184</v>
      </c>
      <c r="V119">
        <v>1445.75</v>
      </c>
      <c r="W119" s="59"/>
      <c r="X119" s="40"/>
      <c r="Y119" s="40"/>
      <c r="Z119" s="44"/>
      <c r="AA119" s="44"/>
      <c r="AB119" s="44"/>
      <c r="AC119" s="44"/>
      <c r="AD119" s="44"/>
    </row>
    <row r="120" spans="1:30" x14ac:dyDescent="0.2">
      <c r="A120" s="11">
        <f t="shared" si="11"/>
        <v>117</v>
      </c>
      <c r="B120" s="15">
        <f t="shared" si="12"/>
        <v>0.46428571428571308</v>
      </c>
      <c r="C120" s="17">
        <v>4.3038789552882371E-3</v>
      </c>
      <c r="D120" s="17">
        <v>2.0950313006112661E-2</v>
      </c>
      <c r="E120" s="16">
        <v>-0.8105481749598723</v>
      </c>
      <c r="F120" s="16">
        <v>1.4103683903592967</v>
      </c>
      <c r="G120" s="29">
        <v>0</v>
      </c>
      <c r="H120" s="16">
        <v>0</v>
      </c>
      <c r="I120" s="16">
        <f t="shared" si="13"/>
        <v>1.5941487488588666</v>
      </c>
      <c r="J120" s="17">
        <f t="shared" si="14"/>
        <v>1.7928658441477258E-2</v>
      </c>
      <c r="K120" s="19">
        <f t="shared" si="15"/>
        <v>1.5822163836135522E-2</v>
      </c>
      <c r="L120" s="18">
        <f t="shared" si="16"/>
        <v>1513.5227645431535</v>
      </c>
      <c r="M120" s="31"/>
      <c r="N120" s="36"/>
      <c r="O120" s="38"/>
      <c r="P120" s="37"/>
      <c r="Q120" s="37"/>
      <c r="R120" s="37"/>
      <c r="S120" s="37"/>
      <c r="T120" s="37">
        <f t="shared" si="17"/>
        <v>96</v>
      </c>
      <c r="U120" s="54">
        <v>41185</v>
      </c>
      <c r="V120">
        <v>1450.99</v>
      </c>
      <c r="W120" s="59"/>
      <c r="X120" s="40"/>
      <c r="Y120" s="40"/>
      <c r="Z120" s="44"/>
      <c r="AA120" s="44"/>
      <c r="AB120" s="44"/>
      <c r="AC120" s="44"/>
      <c r="AD120" s="44"/>
    </row>
    <row r="121" spans="1:30" x14ac:dyDescent="0.2">
      <c r="A121" s="11">
        <f t="shared" si="11"/>
        <v>118</v>
      </c>
      <c r="B121" s="15">
        <f t="shared" si="12"/>
        <v>0.46825396825396703</v>
      </c>
      <c r="C121" s="17">
        <v>4.3038789552882371E-3</v>
      </c>
      <c r="D121" s="17">
        <v>2.0950313006112661E-2</v>
      </c>
      <c r="E121" s="16">
        <v>-0.52843866099023329</v>
      </c>
      <c r="F121" s="16">
        <v>-0.82597736205737948</v>
      </c>
      <c r="G121" s="29">
        <v>0</v>
      </c>
      <c r="H121" s="16">
        <v>0</v>
      </c>
      <c r="I121" s="16">
        <f t="shared" si="13"/>
        <v>-0.27066632830584092</v>
      </c>
      <c r="J121" s="17">
        <f t="shared" si="14"/>
        <v>1.3770119512752232E-2</v>
      </c>
      <c r="K121" s="19">
        <f t="shared" si="15"/>
        <v>-2.2856160549142206E-3</v>
      </c>
      <c r="L121" s="18">
        <f t="shared" si="16"/>
        <v>1510.0673829551065</v>
      </c>
      <c r="M121" s="31"/>
      <c r="N121" s="36"/>
      <c r="O121" s="38"/>
      <c r="P121" s="37"/>
      <c r="Q121" s="37"/>
      <c r="R121" s="37"/>
      <c r="S121" s="37"/>
      <c r="T121" s="37">
        <f t="shared" si="17"/>
        <v>97</v>
      </c>
      <c r="U121" s="54">
        <v>41186</v>
      </c>
      <c r="V121">
        <v>1461.4</v>
      </c>
      <c r="W121" s="59"/>
      <c r="X121" s="40"/>
      <c r="Y121" s="40"/>
      <c r="Z121" s="44"/>
      <c r="AA121" s="44"/>
      <c r="AB121" s="44"/>
      <c r="AC121" s="44"/>
      <c r="AD121" s="44"/>
    </row>
    <row r="122" spans="1:30" x14ac:dyDescent="0.2">
      <c r="A122" s="11">
        <f t="shared" si="11"/>
        <v>119</v>
      </c>
      <c r="B122" s="15">
        <f t="shared" si="12"/>
        <v>0.47222222222222099</v>
      </c>
      <c r="C122" s="17">
        <v>4.3038789552882371E-3</v>
      </c>
      <c r="D122" s="17">
        <v>2.0950313006112661E-2</v>
      </c>
      <c r="E122" s="16">
        <v>-0.38669373603095597</v>
      </c>
      <c r="F122" s="16">
        <v>1.0068067150947193</v>
      </c>
      <c r="G122" s="29">
        <v>0</v>
      </c>
      <c r="H122" s="16">
        <v>0</v>
      </c>
      <c r="I122" s="16">
        <f t="shared" si="13"/>
        <v>1.0111628281294907</v>
      </c>
      <c r="J122" s="17">
        <f t="shared" si="14"/>
        <v>1.0882166895276442E-2</v>
      </c>
      <c r="K122" s="19">
        <f t="shared" si="15"/>
        <v>7.4802749145571881E-3</v>
      </c>
      <c r="L122" s="18">
        <f t="shared" si="16"/>
        <v>1521.4054551998358</v>
      </c>
      <c r="M122" s="31"/>
      <c r="N122" s="36"/>
      <c r="O122" s="38"/>
      <c r="P122" s="37"/>
      <c r="Q122" s="37"/>
      <c r="R122" s="37"/>
      <c r="S122" s="37"/>
      <c r="T122" s="37">
        <f t="shared" si="17"/>
        <v>98</v>
      </c>
      <c r="U122" s="54">
        <v>41187</v>
      </c>
      <c r="V122">
        <v>1460.93</v>
      </c>
      <c r="W122" s="59"/>
      <c r="X122" s="40"/>
      <c r="Y122" s="40"/>
      <c r="Z122" s="44"/>
      <c r="AA122" s="44"/>
      <c r="AB122" s="44"/>
      <c r="AC122" s="44"/>
      <c r="AD122" s="44"/>
    </row>
    <row r="123" spans="1:30" x14ac:dyDescent="0.2">
      <c r="A123" s="11">
        <f t="shared" si="11"/>
        <v>120</v>
      </c>
      <c r="B123" s="15">
        <f t="shared" si="12"/>
        <v>0.47619047619047494</v>
      </c>
      <c r="C123" s="17">
        <v>4.3038789552882371E-3</v>
      </c>
      <c r="D123" s="17">
        <v>2.0950313006112661E-2</v>
      </c>
      <c r="E123" s="16">
        <v>3.9746964562060644E-2</v>
      </c>
      <c r="F123" s="16">
        <v>-0.16126104519655152</v>
      </c>
      <c r="G123" s="29">
        <v>0</v>
      </c>
      <c r="H123" s="16">
        <v>0</v>
      </c>
      <c r="I123" s="16">
        <f t="shared" si="13"/>
        <v>-0.14729399350631173</v>
      </c>
      <c r="J123" s="17">
        <f t="shared" si="14"/>
        <v>1.0528448219253103E-2</v>
      </c>
      <c r="K123" s="19">
        <f t="shared" si="15"/>
        <v>-9.565513615520262E-4</v>
      </c>
      <c r="L123" s="18">
        <f t="shared" si="16"/>
        <v>1519.9508485540882</v>
      </c>
      <c r="M123" s="31"/>
      <c r="N123" s="36"/>
      <c r="O123" s="38"/>
      <c r="P123" s="37"/>
      <c r="Q123" s="37"/>
      <c r="R123" s="37"/>
      <c r="S123" s="37"/>
      <c r="T123" s="37">
        <f t="shared" si="17"/>
        <v>99</v>
      </c>
      <c r="U123" s="54">
        <v>41190</v>
      </c>
      <c r="V123">
        <v>1455.88</v>
      </c>
      <c r="W123" s="59"/>
      <c r="X123" s="40"/>
      <c r="Y123" s="40"/>
      <c r="Z123" s="44"/>
      <c r="AA123" s="44"/>
      <c r="AB123" s="44"/>
      <c r="AC123" s="44"/>
      <c r="AD123" s="44"/>
    </row>
    <row r="124" spans="1:30" x14ac:dyDescent="0.2">
      <c r="A124" s="11">
        <f t="shared" si="11"/>
        <v>121</v>
      </c>
      <c r="B124" s="15">
        <f t="shared" si="12"/>
        <v>0.4801587301587289</v>
      </c>
      <c r="C124" s="17">
        <v>4.3038789552882371E-3</v>
      </c>
      <c r="D124" s="17">
        <v>2.0950313006112661E-2</v>
      </c>
      <c r="E124" s="16">
        <v>0.12735796602977589</v>
      </c>
      <c r="F124" s="16">
        <v>0.79539977302482823</v>
      </c>
      <c r="G124" s="29">
        <v>0</v>
      </c>
      <c r="H124" s="16">
        <v>0</v>
      </c>
      <c r="I124" s="16">
        <f t="shared" si="13"/>
        <v>0.51278029029409034</v>
      </c>
      <c r="J124" s="17">
        <f t="shared" si="14"/>
        <v>1.0659733463800615E-2</v>
      </c>
      <c r="K124" s="19">
        <f t="shared" si="15"/>
        <v>3.3265405997915916E-3</v>
      </c>
      <c r="L124" s="18">
        <f t="shared" si="16"/>
        <v>1525.0154458854652</v>
      </c>
      <c r="M124" s="31"/>
      <c r="N124" s="36"/>
      <c r="O124" s="38"/>
      <c r="P124" s="37"/>
      <c r="Q124" s="37"/>
      <c r="R124" s="37"/>
      <c r="S124" s="37"/>
      <c r="T124" s="37">
        <f t="shared" si="17"/>
        <v>100</v>
      </c>
      <c r="U124" s="54">
        <v>41191</v>
      </c>
      <c r="V124">
        <v>1441.48</v>
      </c>
      <c r="W124" s="59"/>
      <c r="X124" s="40"/>
      <c r="Y124" s="40"/>
      <c r="Z124" s="44"/>
      <c r="AA124" s="44"/>
      <c r="AB124" s="44"/>
      <c r="AC124" s="44"/>
      <c r="AD124" s="44"/>
    </row>
    <row r="125" spans="1:30" x14ac:dyDescent="0.2">
      <c r="A125" s="11">
        <f t="shared" si="11"/>
        <v>122</v>
      </c>
      <c r="B125" s="15">
        <f t="shared" si="12"/>
        <v>0.48412698412698285</v>
      </c>
      <c r="C125" s="17">
        <v>4.3038789552882371E-3</v>
      </c>
      <c r="D125" s="17">
        <v>2.0950313006112661E-2</v>
      </c>
      <c r="E125" s="16">
        <v>0.51349279510714763</v>
      </c>
      <c r="F125" s="16">
        <v>-0.7344496486719555</v>
      </c>
      <c r="G125" s="29">
        <v>0</v>
      </c>
      <c r="H125" s="16">
        <v>0</v>
      </c>
      <c r="I125" s="16">
        <f t="shared" si="13"/>
        <v>-0.89055665541695261</v>
      </c>
      <c r="J125" s="17">
        <f t="shared" si="14"/>
        <v>1.3084481512070929E-2</v>
      </c>
      <c r="K125" s="19">
        <f t="shared" si="15"/>
        <v>-5.7802620772154463E-3</v>
      </c>
      <c r="L125" s="18">
        <f t="shared" si="16"/>
        <v>1516.2258843935667</v>
      </c>
      <c r="M125" s="31"/>
      <c r="N125" s="36"/>
      <c r="O125" s="38"/>
      <c r="P125" s="37"/>
      <c r="Q125" s="37"/>
      <c r="R125" s="37"/>
      <c r="S125" s="37"/>
      <c r="T125" s="37">
        <f t="shared" si="17"/>
        <v>101</v>
      </c>
      <c r="U125" s="54">
        <v>41192</v>
      </c>
      <c r="V125">
        <v>1432.56</v>
      </c>
      <c r="W125" s="59"/>
      <c r="X125" s="40"/>
      <c r="Y125" s="40"/>
      <c r="Z125" s="44"/>
      <c r="AA125" s="44"/>
      <c r="AB125" s="44"/>
      <c r="AC125" s="44"/>
      <c r="AD125" s="44"/>
    </row>
    <row r="126" spans="1:30" x14ac:dyDescent="0.2">
      <c r="A126" s="11">
        <f t="shared" si="11"/>
        <v>123</v>
      </c>
      <c r="B126" s="15">
        <f t="shared" si="12"/>
        <v>0.48809523809523681</v>
      </c>
      <c r="C126" s="17">
        <v>4.3038789552882371E-3</v>
      </c>
      <c r="D126" s="17">
        <v>2.0950313006112661E-2</v>
      </c>
      <c r="E126" s="16">
        <v>0.9328820692098897</v>
      </c>
      <c r="F126" s="16">
        <v>-0.78702555973965871</v>
      </c>
      <c r="G126" s="29">
        <v>0</v>
      </c>
      <c r="H126" s="16">
        <v>0</v>
      </c>
      <c r="I126" s="16">
        <f t="shared" si="13"/>
        <v>-1.2071769099704954</v>
      </c>
      <c r="J126" s="17">
        <f t="shared" si="14"/>
        <v>1.8776518095310221E-2</v>
      </c>
      <c r="K126" s="19">
        <f t="shared" si="15"/>
        <v>-8.6915853069902786E-3</v>
      </c>
      <c r="L126" s="18">
        <f t="shared" si="16"/>
        <v>1503.104582833105</v>
      </c>
      <c r="M126" s="31"/>
      <c r="N126" s="36"/>
      <c r="O126" s="38"/>
      <c r="P126" s="37"/>
      <c r="Q126" s="37"/>
      <c r="R126" s="37"/>
      <c r="S126" s="37"/>
      <c r="T126" s="37">
        <f t="shared" si="17"/>
        <v>102</v>
      </c>
      <c r="U126" s="54">
        <v>41193</v>
      </c>
      <c r="V126">
        <v>1432.84</v>
      </c>
      <c r="W126" s="59"/>
      <c r="X126" s="40"/>
      <c r="Y126" s="40"/>
      <c r="Z126" s="44"/>
      <c r="AA126" s="44"/>
      <c r="AB126" s="44"/>
      <c r="AC126" s="44"/>
      <c r="AD126" s="44"/>
    </row>
    <row r="127" spans="1:30" x14ac:dyDescent="0.2">
      <c r="A127" s="11">
        <f t="shared" si="11"/>
        <v>124</v>
      </c>
      <c r="B127" s="15">
        <f t="shared" si="12"/>
        <v>0.49206349206349076</v>
      </c>
      <c r="C127" s="17">
        <v>4.3038789552882371E-3</v>
      </c>
      <c r="D127" s="17">
        <v>2.0950313006112661E-2</v>
      </c>
      <c r="E127" s="16">
        <v>0.94785868754493097</v>
      </c>
      <c r="F127" s="16">
        <v>-1.1538527393528537</v>
      </c>
      <c r="G127" s="29">
        <v>0</v>
      </c>
      <c r="H127" s="16">
        <v>0</v>
      </c>
      <c r="I127" s="16">
        <f t="shared" si="13"/>
        <v>-1.4923782669017376</v>
      </c>
      <c r="J127" s="17">
        <f t="shared" si="14"/>
        <v>2.5697220762900801E-2</v>
      </c>
      <c r="K127" s="19">
        <f t="shared" si="15"/>
        <v>-1.2886373532620149E-2</v>
      </c>
      <c r="L127" s="18">
        <f t="shared" si="16"/>
        <v>1483.8592831006017</v>
      </c>
      <c r="M127" s="31"/>
      <c r="N127" s="36"/>
      <c r="O127" s="38"/>
      <c r="P127" s="37"/>
      <c r="Q127" s="37"/>
      <c r="R127" s="37"/>
      <c r="S127" s="37"/>
      <c r="T127" s="37">
        <f t="shared" si="17"/>
        <v>103</v>
      </c>
      <c r="U127" s="54">
        <v>41194</v>
      </c>
      <c r="V127">
        <v>1428.59</v>
      </c>
      <c r="W127" s="59"/>
      <c r="X127" s="40"/>
      <c r="Y127" s="40"/>
      <c r="Z127" s="44"/>
      <c r="AA127" s="44"/>
      <c r="AB127" s="44"/>
      <c r="AC127" s="44"/>
      <c r="AD127" s="44"/>
    </row>
    <row r="128" spans="1:30" x14ac:dyDescent="0.2">
      <c r="A128" s="11">
        <f t="shared" si="11"/>
        <v>125</v>
      </c>
      <c r="B128" s="15">
        <f t="shared" si="12"/>
        <v>0.49603174603174471</v>
      </c>
      <c r="C128" s="17">
        <v>4.3038789552882371E-3</v>
      </c>
      <c r="D128" s="17">
        <v>2.0950313006112661E-2</v>
      </c>
      <c r="E128" s="16">
        <v>-0.63876521079723714</v>
      </c>
      <c r="F128" s="16">
        <v>-0.36257306650809479</v>
      </c>
      <c r="G128" s="29">
        <v>0</v>
      </c>
      <c r="H128" s="16">
        <v>0</v>
      </c>
      <c r="I128" s="16">
        <f t="shared" si="13"/>
        <v>0.15003010766736607</v>
      </c>
      <c r="J128" s="17">
        <f t="shared" si="14"/>
        <v>1.9922108283167091E-2</v>
      </c>
      <c r="K128" s="19">
        <f t="shared" si="15"/>
        <v>1.4970103482607126E-3</v>
      </c>
      <c r="L128" s="18">
        <f t="shared" si="16"/>
        <v>1486.0822993267579</v>
      </c>
      <c r="M128" s="31"/>
      <c r="N128" s="36"/>
      <c r="O128" s="38"/>
      <c r="P128" s="37"/>
      <c r="Q128" s="37"/>
      <c r="R128" s="37"/>
      <c r="S128" s="37"/>
      <c r="T128" s="37">
        <f t="shared" si="17"/>
        <v>104</v>
      </c>
      <c r="U128" s="54">
        <v>41197</v>
      </c>
      <c r="V128">
        <v>1440.13</v>
      </c>
      <c r="W128" s="59"/>
      <c r="X128" s="40"/>
      <c r="Y128" s="40"/>
      <c r="Z128" s="44"/>
      <c r="AA128" s="44"/>
      <c r="AB128" s="44"/>
      <c r="AC128" s="44"/>
      <c r="AD128" s="44"/>
    </row>
    <row r="129" spans="1:30" x14ac:dyDescent="0.2">
      <c r="A129" s="11">
        <f t="shared" si="11"/>
        <v>126</v>
      </c>
      <c r="B129" s="15">
        <f t="shared" si="12"/>
        <v>0.49999999999999867</v>
      </c>
      <c r="C129" s="17">
        <v>4.3038789552882371E-3</v>
      </c>
      <c r="D129" s="17">
        <v>2.0950313006112661E-2</v>
      </c>
      <c r="E129" s="16">
        <v>-0.74097276277125113</v>
      </c>
      <c r="F129" s="16">
        <v>0.4236488113530662</v>
      </c>
      <c r="G129" s="29">
        <v>0</v>
      </c>
      <c r="H129" s="16">
        <v>0</v>
      </c>
      <c r="I129" s="16">
        <f t="shared" si="13"/>
        <v>0.80763548990709133</v>
      </c>
      <c r="J129" s="17">
        <f t="shared" si="14"/>
        <v>1.4151187190154979E-2</v>
      </c>
      <c r="K129" s="19">
        <f t="shared" si="15"/>
        <v>7.1744033024998309E-3</v>
      </c>
      <c r="L129" s="18">
        <f t="shared" si="16"/>
        <v>1496.7823905715416</v>
      </c>
      <c r="M129" s="31"/>
      <c r="N129" s="36"/>
      <c r="O129" s="38"/>
      <c r="P129" s="37"/>
      <c r="Q129" s="37"/>
      <c r="R129" s="37"/>
      <c r="S129" s="37"/>
      <c r="T129" s="37">
        <f t="shared" si="17"/>
        <v>105</v>
      </c>
      <c r="U129" s="54">
        <v>41198</v>
      </c>
      <c r="V129">
        <v>1454.92</v>
      </c>
      <c r="W129" s="59"/>
      <c r="X129" s="40"/>
      <c r="Y129" s="40"/>
      <c r="Z129" s="44"/>
      <c r="AA129" s="44"/>
      <c r="AB129" s="44"/>
      <c r="AC129" s="44"/>
      <c r="AD129" s="44"/>
    </row>
    <row r="130" spans="1:30" x14ac:dyDescent="0.2">
      <c r="A130" s="11">
        <f t="shared" si="11"/>
        <v>127</v>
      </c>
      <c r="B130" s="15">
        <f t="shared" si="12"/>
        <v>0.50396825396825262</v>
      </c>
      <c r="C130" s="17">
        <v>4.3038789552882371E-3</v>
      </c>
      <c r="D130" s="17">
        <v>2.0950313006112661E-2</v>
      </c>
      <c r="E130" s="16">
        <v>7.5051938385436695E-2</v>
      </c>
      <c r="F130" s="16">
        <v>0.55316213528214653</v>
      </c>
      <c r="G130" s="29">
        <v>0</v>
      </c>
      <c r="H130" s="16">
        <v>0</v>
      </c>
      <c r="I130" s="16">
        <f t="shared" si="13"/>
        <v>0.36554849066177736</v>
      </c>
      <c r="J130" s="17">
        <f t="shared" si="14"/>
        <v>1.4042129084273831E-2</v>
      </c>
      <c r="K130" s="19">
        <f t="shared" si="15"/>
        <v>2.7441990317744963E-3</v>
      </c>
      <c r="L130" s="18">
        <f t="shared" si="16"/>
        <v>1500.8955003733013</v>
      </c>
      <c r="M130" s="31"/>
      <c r="N130" s="36"/>
      <c r="O130" s="38"/>
      <c r="P130" s="37"/>
      <c r="Q130" s="37"/>
      <c r="R130" s="37"/>
      <c r="S130" s="37"/>
      <c r="T130" s="37">
        <f t="shared" si="17"/>
        <v>106</v>
      </c>
      <c r="U130" s="54">
        <v>41199</v>
      </c>
      <c r="V130">
        <v>1460.91</v>
      </c>
      <c r="W130" s="59"/>
      <c r="X130" s="40"/>
      <c r="Y130" s="40"/>
      <c r="Z130" s="44"/>
      <c r="AA130" s="44"/>
      <c r="AB130" s="44"/>
      <c r="AC130" s="44"/>
      <c r="AD130" s="44"/>
    </row>
    <row r="131" spans="1:30" x14ac:dyDescent="0.2">
      <c r="A131" s="11">
        <f t="shared" si="11"/>
        <v>128</v>
      </c>
      <c r="B131" s="15">
        <f t="shared" si="12"/>
        <v>0.50793650793650658</v>
      </c>
      <c r="C131" s="17">
        <v>4.3038789552882371E-3</v>
      </c>
      <c r="D131" s="17">
        <v>2.0950313006112661E-2</v>
      </c>
      <c r="E131" s="16">
        <v>-1.7051498773881015</v>
      </c>
      <c r="F131" s="16">
        <v>1.3767487217565839</v>
      </c>
      <c r="G131" s="29">
        <v>0</v>
      </c>
      <c r="H131" s="16">
        <v>0</v>
      </c>
      <c r="I131" s="16">
        <f t="shared" si="13"/>
        <v>2.160133153643685</v>
      </c>
      <c r="J131" s="17">
        <f t="shared" si="14"/>
        <v>4.7805855191370037E-3</v>
      </c>
      <c r="K131" s="19">
        <f t="shared" si="15"/>
        <v>1.6129994504009468E-2</v>
      </c>
      <c r="L131" s="18">
        <f t="shared" si="16"/>
        <v>1525.3012396172071</v>
      </c>
      <c r="M131" s="31"/>
      <c r="N131" s="36"/>
      <c r="O131" s="38"/>
      <c r="P131" s="37"/>
      <c r="Q131" s="37"/>
      <c r="R131" s="37"/>
      <c r="S131" s="37"/>
      <c r="T131" s="37">
        <f t="shared" si="17"/>
        <v>107</v>
      </c>
      <c r="U131" s="54">
        <v>41200</v>
      </c>
      <c r="V131">
        <v>1457.34</v>
      </c>
      <c r="W131" s="59"/>
      <c r="X131" s="40"/>
      <c r="Y131" s="40"/>
      <c r="Z131" s="44"/>
      <c r="AA131" s="44"/>
      <c r="AB131" s="44"/>
      <c r="AC131" s="44"/>
      <c r="AD131" s="44"/>
    </row>
    <row r="132" spans="1:30" x14ac:dyDescent="0.2">
      <c r="A132" s="11">
        <f t="shared" ref="A132:A195" si="18">A131+1</f>
        <v>129</v>
      </c>
      <c r="B132" s="15">
        <f t="shared" ref="B132:B195" si="19">B131+dt</f>
        <v>0.51190476190476053</v>
      </c>
      <c r="C132" s="17">
        <v>4.3038789552882371E-3</v>
      </c>
      <c r="D132" s="17">
        <v>2.0950313006112661E-2</v>
      </c>
      <c r="E132" s="16">
        <v>-0.31490209749543818</v>
      </c>
      <c r="F132" s="16">
        <v>7.5956181590784655E-2</v>
      </c>
      <c r="G132" s="29">
        <v>0</v>
      </c>
      <c r="H132" s="16">
        <v>0</v>
      </c>
      <c r="I132" s="16">
        <f t="shared" ref="I132:I195" si="20">Rho*E132+F132*(1-Rho^2)^0.5</f>
        <v>0.26511464167468363</v>
      </c>
      <c r="J132" s="17">
        <f t="shared" ref="J132:J195" si="21">MAX((SQRT(J131)+Eta*SQRT(dt)*E132/2)^2+Kappa*(Theta-J131)*dt-Eta*Eta*dt/4,0)</f>
        <v>3.1424742861028668E-3</v>
      </c>
      <c r="K132" s="19">
        <f t="shared" ref="K132:K195" si="22">(C132-D132-Lambda*(EXP(Alpha+Delta^2/2)-1)-MAX((SQRT($J131)-0),0)^2/2)*dt+SQRT(MAX((SQRT($J131)-0),0)^2*dt)*I132</f>
        <v>1.178194447483235E-3</v>
      </c>
      <c r="L132" s="18">
        <f t="shared" ref="L132:L195" si="23">EXP(K132)*EXP(H132)*L131</f>
        <v>1527.0994001518336</v>
      </c>
      <c r="M132" s="31"/>
      <c r="N132" s="36"/>
      <c r="O132" s="38"/>
      <c r="P132" s="37"/>
      <c r="Q132" s="37"/>
      <c r="R132" s="37"/>
      <c r="S132" s="37"/>
      <c r="T132" s="37">
        <f t="shared" si="17"/>
        <v>108</v>
      </c>
      <c r="U132" s="54">
        <v>41201</v>
      </c>
      <c r="V132">
        <v>1433.19</v>
      </c>
      <c r="W132" s="59"/>
      <c r="X132" s="40"/>
      <c r="Y132" s="40"/>
      <c r="Z132" s="44"/>
      <c r="AA132" s="44"/>
      <c r="AB132" s="44"/>
      <c r="AC132" s="44"/>
      <c r="AD132" s="44"/>
    </row>
    <row r="133" spans="1:30" x14ac:dyDescent="0.2">
      <c r="A133" s="11">
        <f t="shared" si="18"/>
        <v>130</v>
      </c>
      <c r="B133" s="15">
        <f t="shared" si="19"/>
        <v>0.51587301587301448</v>
      </c>
      <c r="C133" s="17">
        <v>4.3038789552882371E-3</v>
      </c>
      <c r="D133" s="17">
        <v>2.0950313006112661E-2</v>
      </c>
      <c r="E133" s="16">
        <v>0.66110843525430829</v>
      </c>
      <c r="F133" s="16">
        <v>1.7471539748319371</v>
      </c>
      <c r="G133" s="29">
        <v>0</v>
      </c>
      <c r="H133" s="16">
        <v>0</v>
      </c>
      <c r="I133" s="16">
        <f t="shared" si="20"/>
        <v>0.87433170246562564</v>
      </c>
      <c r="J133" s="17">
        <f t="shared" si="21"/>
        <v>4.8700407011990588E-3</v>
      </c>
      <c r="K133" s="19">
        <f t="shared" si="22"/>
        <v>3.1142663633687666E-3</v>
      </c>
      <c r="L133" s="18">
        <f t="shared" si="23"/>
        <v>1531.8626075458069</v>
      </c>
      <c r="M133" s="31"/>
      <c r="N133" s="36"/>
      <c r="O133" s="38"/>
      <c r="P133" s="37"/>
      <c r="Q133" s="37"/>
      <c r="R133" s="37"/>
      <c r="S133" s="37"/>
      <c r="T133" s="37">
        <f t="shared" si="17"/>
        <v>109</v>
      </c>
      <c r="U133" s="54">
        <v>41204</v>
      </c>
      <c r="V133">
        <v>1433.82</v>
      </c>
      <c r="W133" s="59"/>
      <c r="X133" s="40"/>
      <c r="Y133" s="40"/>
      <c r="Z133" s="44"/>
      <c r="AA133" s="44"/>
      <c r="AB133" s="44"/>
      <c r="AC133" s="44"/>
      <c r="AD133" s="44"/>
    </row>
    <row r="134" spans="1:30" x14ac:dyDescent="0.2">
      <c r="A134" s="11">
        <f t="shared" si="18"/>
        <v>131</v>
      </c>
      <c r="B134" s="15">
        <f t="shared" si="19"/>
        <v>0.51984126984126844</v>
      </c>
      <c r="C134" s="17">
        <v>4.3038789552882371E-3</v>
      </c>
      <c r="D134" s="17">
        <v>2.0950313006112661E-2</v>
      </c>
      <c r="E134" s="16">
        <v>-1.146912283904175</v>
      </c>
      <c r="F134" s="16">
        <v>-0.39780091307714954</v>
      </c>
      <c r="G134" s="29">
        <v>0</v>
      </c>
      <c r="H134" s="16">
        <v>0</v>
      </c>
      <c r="I134" s="16">
        <f t="shared" si="20"/>
        <v>0.45941107328854469</v>
      </c>
      <c r="J134" s="17">
        <f t="shared" si="21"/>
        <v>9.960253322832892E-4</v>
      </c>
      <c r="K134" s="19">
        <f t="shared" si="22"/>
        <v>2.0429140007814568E-3</v>
      </c>
      <c r="L134" s="18">
        <f t="shared" si="23"/>
        <v>1534.9952699044188</v>
      </c>
      <c r="M134" s="31"/>
      <c r="N134" s="36"/>
      <c r="O134" s="38"/>
      <c r="P134" s="37"/>
      <c r="Q134" s="37"/>
      <c r="R134" s="37"/>
      <c r="S134" s="37"/>
      <c r="T134" s="37">
        <f t="shared" si="17"/>
        <v>110</v>
      </c>
      <c r="U134" s="54">
        <v>41205</v>
      </c>
      <c r="V134">
        <v>1413.11</v>
      </c>
      <c r="W134" s="59"/>
      <c r="X134" s="40"/>
      <c r="Y134" s="40"/>
      <c r="Z134" s="44"/>
      <c r="AA134" s="44"/>
      <c r="AB134" s="44"/>
      <c r="AC134" s="44"/>
      <c r="AD134" s="44"/>
    </row>
    <row r="135" spans="1:30" x14ac:dyDescent="0.2">
      <c r="A135" s="11">
        <f t="shared" si="18"/>
        <v>132</v>
      </c>
      <c r="B135" s="15">
        <f t="shared" si="19"/>
        <v>0.52380952380952239</v>
      </c>
      <c r="C135" s="17">
        <v>4.3038789552882371E-3</v>
      </c>
      <c r="D135" s="17">
        <v>2.0950313006112661E-2</v>
      </c>
      <c r="E135" s="16">
        <v>0.34661744740484546</v>
      </c>
      <c r="F135" s="16">
        <v>-0.2734610740241219</v>
      </c>
      <c r="G135" s="29">
        <v>0</v>
      </c>
      <c r="H135" s="16">
        <v>0</v>
      </c>
      <c r="I135" s="16">
        <f t="shared" si="20"/>
        <v>-0.4343017798071232</v>
      </c>
      <c r="J135" s="17">
        <f t="shared" si="21"/>
        <v>1.1222827953566356E-3</v>
      </c>
      <c r="K135" s="19">
        <f t="shared" si="22"/>
        <v>-8.3243812860894274E-4</v>
      </c>
      <c r="L135" s="18">
        <f t="shared" si="23"/>
        <v>1533.7180130069435</v>
      </c>
      <c r="M135" s="31"/>
      <c r="N135" s="36"/>
      <c r="O135" s="38"/>
      <c r="P135" s="37"/>
      <c r="Q135" s="37"/>
      <c r="R135" s="37"/>
      <c r="S135" s="37"/>
      <c r="T135" s="37">
        <f t="shared" si="17"/>
        <v>111</v>
      </c>
      <c r="U135" s="54">
        <v>41206</v>
      </c>
      <c r="V135">
        <v>1408.75</v>
      </c>
      <c r="W135" s="59"/>
      <c r="X135" s="40"/>
      <c r="Y135" s="40"/>
      <c r="Z135" s="44"/>
      <c r="AA135" s="44"/>
      <c r="AB135" s="44"/>
      <c r="AC135" s="44"/>
      <c r="AD135" s="44"/>
    </row>
    <row r="136" spans="1:30" x14ac:dyDescent="0.2">
      <c r="A136" s="11">
        <f t="shared" si="18"/>
        <v>133</v>
      </c>
      <c r="B136" s="15">
        <f t="shared" si="19"/>
        <v>0.52777777777777635</v>
      </c>
      <c r="C136" s="17">
        <v>4.3038789552882371E-3</v>
      </c>
      <c r="D136" s="17">
        <v>2.0950313006112661E-2</v>
      </c>
      <c r="E136" s="16">
        <v>-0.91301180319938502</v>
      </c>
      <c r="F136" s="16">
        <v>-0.13381592896852162</v>
      </c>
      <c r="G136" s="29">
        <v>0</v>
      </c>
      <c r="H136" s="16">
        <v>0</v>
      </c>
      <c r="I136" s="16">
        <f t="shared" si="20"/>
        <v>0.50295381881001167</v>
      </c>
      <c r="J136" s="17">
        <f t="shared" si="21"/>
        <v>0</v>
      </c>
      <c r="K136" s="19">
        <f t="shared" si="22"/>
        <v>1.0921399383440244E-3</v>
      </c>
      <c r="L136" s="18">
        <f t="shared" si="23"/>
        <v>1535.3939627223303</v>
      </c>
      <c r="M136" s="31"/>
      <c r="N136" s="36"/>
      <c r="O136" s="38"/>
      <c r="P136" s="37"/>
      <c r="Q136" s="37"/>
      <c r="R136" s="37"/>
      <c r="S136" s="37"/>
      <c r="T136" s="37">
        <f t="shared" si="17"/>
        <v>112</v>
      </c>
      <c r="U136" s="54">
        <v>41207</v>
      </c>
      <c r="V136">
        <v>1412.97</v>
      </c>
      <c r="W136" s="59"/>
      <c r="X136" s="40"/>
      <c r="Y136" s="40"/>
      <c r="Z136" s="44"/>
      <c r="AA136" s="44"/>
      <c r="AB136" s="44"/>
      <c r="AC136" s="44"/>
      <c r="AD136" s="44"/>
    </row>
    <row r="137" spans="1:30" x14ac:dyDescent="0.2">
      <c r="A137" s="11">
        <f t="shared" si="18"/>
        <v>134</v>
      </c>
      <c r="B137" s="15">
        <f t="shared" si="19"/>
        <v>0.5317460317460303</v>
      </c>
      <c r="C137" s="17">
        <v>4.3038789552882371E-3</v>
      </c>
      <c r="D137" s="17">
        <v>2.0950313006112661E-2</v>
      </c>
      <c r="E137" s="16">
        <v>-0.40436048055157764</v>
      </c>
      <c r="F137" s="16">
        <v>0.9353095286206301</v>
      </c>
      <c r="G137" s="29">
        <v>0</v>
      </c>
      <c r="H137" s="16">
        <v>0</v>
      </c>
      <c r="I137" s="16">
        <f t="shared" si="20"/>
        <v>0.96917963105957572</v>
      </c>
      <c r="J137" s="17">
        <f t="shared" si="21"/>
        <v>0</v>
      </c>
      <c r="K137" s="19">
        <f t="shared" si="22"/>
        <v>3.2966912526529989E-5</v>
      </c>
      <c r="L137" s="18">
        <f t="shared" si="23"/>
        <v>1535.4445807551488</v>
      </c>
      <c r="M137" s="31"/>
      <c r="N137" s="36"/>
      <c r="O137" s="38"/>
      <c r="P137" s="37"/>
      <c r="Q137" s="37"/>
      <c r="R137" s="37"/>
      <c r="S137" s="37"/>
      <c r="T137" s="37">
        <f t="shared" si="17"/>
        <v>113</v>
      </c>
      <c r="U137" s="54">
        <v>41208</v>
      </c>
      <c r="V137">
        <v>1411.94</v>
      </c>
      <c r="W137" s="59"/>
      <c r="X137" s="40"/>
      <c r="Y137" s="40"/>
      <c r="Z137" s="44"/>
      <c r="AA137" s="44"/>
      <c r="AB137" s="44"/>
      <c r="AC137" s="44"/>
      <c r="AD137" s="44"/>
    </row>
    <row r="138" spans="1:30" x14ac:dyDescent="0.2">
      <c r="A138" s="11">
        <f t="shared" si="18"/>
        <v>135</v>
      </c>
      <c r="B138" s="15">
        <f t="shared" si="19"/>
        <v>0.53571428571428426</v>
      </c>
      <c r="C138" s="17">
        <v>4.3038789552882371E-3</v>
      </c>
      <c r="D138" s="17">
        <v>2.0950313006112661E-2</v>
      </c>
      <c r="E138" s="16">
        <v>5.543166093043489E-2</v>
      </c>
      <c r="F138" s="16">
        <v>-0.27525880203230413</v>
      </c>
      <c r="G138" s="29">
        <v>0</v>
      </c>
      <c r="H138" s="16">
        <v>0</v>
      </c>
      <c r="I138" s="16">
        <f t="shared" si="20"/>
        <v>-0.24321484973236357</v>
      </c>
      <c r="J138" s="17">
        <f t="shared" si="21"/>
        <v>0</v>
      </c>
      <c r="K138" s="19">
        <f t="shared" si="22"/>
        <v>3.2966912526529989E-5</v>
      </c>
      <c r="L138" s="18">
        <f t="shared" si="23"/>
        <v>1535.4952004567149</v>
      </c>
      <c r="M138" s="31"/>
      <c r="N138" s="36"/>
      <c r="O138" s="38"/>
      <c r="P138" s="37"/>
      <c r="Q138" s="37"/>
      <c r="R138" s="37"/>
      <c r="S138" s="37"/>
      <c r="T138" s="37">
        <f t="shared" si="17"/>
        <v>114</v>
      </c>
      <c r="U138" s="54">
        <v>41213</v>
      </c>
      <c r="V138">
        <v>1412.16</v>
      </c>
      <c r="W138" s="59"/>
      <c r="X138" s="40"/>
      <c r="Y138" s="40"/>
      <c r="Z138" s="44"/>
      <c r="AA138" s="44"/>
      <c r="AB138" s="44"/>
      <c r="AC138" s="44"/>
      <c r="AD138" s="44"/>
    </row>
    <row r="139" spans="1:30" x14ac:dyDescent="0.2">
      <c r="A139" s="11">
        <f t="shared" si="18"/>
        <v>136</v>
      </c>
      <c r="B139" s="15">
        <f t="shared" si="19"/>
        <v>0.53968253968253821</v>
      </c>
      <c r="C139" s="17">
        <v>4.3038789552882371E-3</v>
      </c>
      <c r="D139" s="17">
        <v>2.0950313006112661E-2</v>
      </c>
      <c r="E139" s="16">
        <v>-0.45240747105073614</v>
      </c>
      <c r="F139" s="16">
        <v>-0.28990446070877918</v>
      </c>
      <c r="G139" s="29">
        <v>0</v>
      </c>
      <c r="H139" s="16">
        <v>0</v>
      </c>
      <c r="I139" s="16">
        <f t="shared" si="20"/>
        <v>8.1409535968858388E-2</v>
      </c>
      <c r="J139" s="17">
        <f t="shared" si="21"/>
        <v>0</v>
      </c>
      <c r="K139" s="19">
        <f t="shared" si="22"/>
        <v>3.2966912526529989E-5</v>
      </c>
      <c r="L139" s="18">
        <f t="shared" si="23"/>
        <v>1535.5458218270837</v>
      </c>
      <c r="M139" s="31"/>
      <c r="N139" s="36"/>
      <c r="O139" s="38"/>
      <c r="P139" s="37"/>
      <c r="Q139" s="37"/>
      <c r="R139" s="37"/>
      <c r="S139" s="37"/>
      <c r="T139" s="37">
        <f t="shared" si="17"/>
        <v>115</v>
      </c>
      <c r="U139" s="54">
        <v>41214</v>
      </c>
      <c r="V139">
        <v>1427.59</v>
      </c>
      <c r="W139" s="59"/>
      <c r="X139" s="40"/>
      <c r="Y139" s="40"/>
      <c r="Z139" s="44"/>
      <c r="AA139" s="44"/>
      <c r="AB139" s="44"/>
      <c r="AC139" s="44"/>
      <c r="AD139" s="44"/>
    </row>
    <row r="140" spans="1:30" x14ac:dyDescent="0.2">
      <c r="A140" s="11">
        <f t="shared" si="18"/>
        <v>137</v>
      </c>
      <c r="B140" s="15">
        <f t="shared" si="19"/>
        <v>0.54365079365079216</v>
      </c>
      <c r="C140" s="17">
        <v>4.3038789552882371E-3</v>
      </c>
      <c r="D140" s="17">
        <v>2.0950313006112661E-2</v>
      </c>
      <c r="E140" s="16">
        <v>-0.8090450779588072</v>
      </c>
      <c r="F140" s="16">
        <v>6.257342329098344E-3</v>
      </c>
      <c r="G140" s="29">
        <v>0</v>
      </c>
      <c r="H140" s="16">
        <v>0</v>
      </c>
      <c r="I140" s="16">
        <f t="shared" si="20"/>
        <v>0.53937023872418399</v>
      </c>
      <c r="J140" s="17">
        <f t="shared" si="21"/>
        <v>0</v>
      </c>
      <c r="K140" s="19">
        <f t="shared" si="22"/>
        <v>3.2966912526529989E-5</v>
      </c>
      <c r="L140" s="18">
        <f t="shared" si="23"/>
        <v>1535.5964448663105</v>
      </c>
      <c r="M140" s="31"/>
      <c r="N140" s="36"/>
      <c r="O140" s="38"/>
      <c r="P140" s="37"/>
      <c r="Q140" s="37"/>
      <c r="R140" s="37"/>
      <c r="S140" s="37"/>
      <c r="T140" s="37">
        <f t="shared" si="17"/>
        <v>116</v>
      </c>
      <c r="U140" s="54">
        <v>41215</v>
      </c>
      <c r="V140">
        <v>1414.2</v>
      </c>
      <c r="W140" s="59"/>
      <c r="X140" s="40"/>
      <c r="Y140" s="40"/>
      <c r="Z140" s="44"/>
      <c r="AA140" s="44"/>
      <c r="AB140" s="44"/>
      <c r="AC140" s="44"/>
      <c r="AD140" s="44"/>
    </row>
    <row r="141" spans="1:30" x14ac:dyDescent="0.2">
      <c r="A141" s="11">
        <f t="shared" si="18"/>
        <v>138</v>
      </c>
      <c r="B141" s="15">
        <f t="shared" si="19"/>
        <v>0.54761904761904612</v>
      </c>
      <c r="C141" s="17">
        <v>4.3038789552882371E-3</v>
      </c>
      <c r="D141" s="17">
        <v>2.0950313006112661E-2</v>
      </c>
      <c r="E141" s="16">
        <v>-0.3351741065487413</v>
      </c>
      <c r="F141" s="16">
        <v>-0.78034806490302999</v>
      </c>
      <c r="G141" s="29">
        <v>0</v>
      </c>
      <c r="H141" s="16">
        <v>0</v>
      </c>
      <c r="I141" s="16">
        <f t="shared" si="20"/>
        <v>-0.36414440835331408</v>
      </c>
      <c r="J141" s="17">
        <f t="shared" si="21"/>
        <v>0</v>
      </c>
      <c r="K141" s="19">
        <f t="shared" si="22"/>
        <v>3.2966912526529989E-5</v>
      </c>
      <c r="L141" s="18">
        <f t="shared" si="23"/>
        <v>1535.6470695744501</v>
      </c>
      <c r="M141" s="31"/>
      <c r="N141" s="36"/>
      <c r="O141" s="38"/>
      <c r="P141" s="37"/>
      <c r="Q141" s="37"/>
      <c r="R141" s="37"/>
      <c r="S141" s="37"/>
      <c r="T141" s="37">
        <f t="shared" si="17"/>
        <v>117</v>
      </c>
      <c r="U141" s="54">
        <v>41218</v>
      </c>
      <c r="V141">
        <v>1417.26</v>
      </c>
      <c r="W141" s="59"/>
      <c r="X141" s="40"/>
      <c r="Y141" s="40"/>
      <c r="Z141" s="44"/>
      <c r="AA141" s="44"/>
      <c r="AB141" s="44"/>
      <c r="AC141" s="44"/>
      <c r="AD141" s="44"/>
    </row>
    <row r="142" spans="1:30" x14ac:dyDescent="0.2">
      <c r="A142" s="11">
        <f t="shared" si="18"/>
        <v>139</v>
      </c>
      <c r="B142" s="15">
        <f t="shared" si="19"/>
        <v>0.55158730158730007</v>
      </c>
      <c r="C142" s="17">
        <v>4.3038789552882371E-3</v>
      </c>
      <c r="D142" s="17">
        <v>2.0950313006112661E-2</v>
      </c>
      <c r="E142" s="16">
        <v>1.1712501764202929</v>
      </c>
      <c r="F142" s="16">
        <v>-0.33724593047148232</v>
      </c>
      <c r="G142" s="29">
        <v>0</v>
      </c>
      <c r="H142" s="16">
        <v>0</v>
      </c>
      <c r="I142" s="16">
        <f t="shared" si="20"/>
        <v>-1.0271478306058157</v>
      </c>
      <c r="J142" s="17">
        <f t="shared" si="21"/>
        <v>4.3050404323415916E-4</v>
      </c>
      <c r="K142" s="19">
        <f t="shared" si="22"/>
        <v>3.2966912526529989E-5</v>
      </c>
      <c r="L142" s="18">
        <f t="shared" si="23"/>
        <v>1535.6976959515575</v>
      </c>
      <c r="M142" s="31"/>
      <c r="N142" s="36"/>
      <c r="O142" s="38"/>
      <c r="P142" s="37"/>
      <c r="Q142" s="37"/>
      <c r="R142" s="37"/>
      <c r="S142" s="37"/>
      <c r="T142" s="37">
        <f t="shared" si="17"/>
        <v>118</v>
      </c>
      <c r="U142" s="54">
        <v>41219</v>
      </c>
      <c r="V142">
        <v>1428.39</v>
      </c>
      <c r="W142" s="59"/>
      <c r="X142" s="40"/>
      <c r="Y142" s="40"/>
      <c r="Z142" s="44"/>
      <c r="AA142" s="44"/>
      <c r="AB142" s="44"/>
      <c r="AC142" s="44"/>
      <c r="AD142" s="44"/>
    </row>
    <row r="143" spans="1:30" x14ac:dyDescent="0.2">
      <c r="A143" s="11">
        <f t="shared" si="18"/>
        <v>140</v>
      </c>
      <c r="B143" s="15">
        <f t="shared" si="19"/>
        <v>0.55555555555555403</v>
      </c>
      <c r="C143" s="17">
        <v>4.3038789552882371E-3</v>
      </c>
      <c r="D143" s="17">
        <v>2.0950313006112661E-2</v>
      </c>
      <c r="E143" s="16">
        <v>-1.3624954404968714</v>
      </c>
      <c r="F143" s="16">
        <v>2.0300063380324085</v>
      </c>
      <c r="G143" s="29">
        <v>0</v>
      </c>
      <c r="H143" s="16">
        <v>0</v>
      </c>
      <c r="I143" s="16">
        <f t="shared" si="20"/>
        <v>2.423952666575568</v>
      </c>
      <c r="J143" s="17">
        <f t="shared" si="21"/>
        <v>0</v>
      </c>
      <c r="K143" s="19">
        <f t="shared" si="22"/>
        <v>3.2003119517574645E-3</v>
      </c>
      <c r="L143" s="18">
        <f t="shared" si="23"/>
        <v>1540.6202803436058</v>
      </c>
      <c r="M143" s="31"/>
      <c r="N143" s="36"/>
      <c r="O143" s="38"/>
      <c r="P143" s="37"/>
      <c r="Q143" s="37"/>
      <c r="R143" s="37"/>
      <c r="S143" s="37"/>
      <c r="T143" s="37">
        <f t="shared" si="17"/>
        <v>119</v>
      </c>
      <c r="U143" s="54">
        <v>41220</v>
      </c>
      <c r="V143">
        <v>1394.53</v>
      </c>
      <c r="W143" s="59"/>
      <c r="X143" s="40"/>
      <c r="Y143" s="40"/>
      <c r="Z143" s="44"/>
      <c r="AA143" s="44"/>
      <c r="AB143" s="44"/>
      <c r="AC143" s="44"/>
      <c r="AD143" s="44"/>
    </row>
    <row r="144" spans="1:30" x14ac:dyDescent="0.2">
      <c r="A144" s="11">
        <f t="shared" si="18"/>
        <v>141</v>
      </c>
      <c r="B144" s="15">
        <f t="shared" si="19"/>
        <v>0.55952380952380798</v>
      </c>
      <c r="C144" s="17">
        <v>4.3038789552882371E-3</v>
      </c>
      <c r="D144" s="17">
        <v>2.0950313006112661E-2</v>
      </c>
      <c r="E144" s="16">
        <v>-0.68252484095441046</v>
      </c>
      <c r="F144" s="16">
        <v>-0.40708990116680521</v>
      </c>
      <c r="G144" s="29">
        <v>0</v>
      </c>
      <c r="H144" s="16">
        <v>0</v>
      </c>
      <c r="I144" s="16">
        <f t="shared" si="20"/>
        <v>0.14553968202157946</v>
      </c>
      <c r="J144" s="17">
        <f t="shared" si="21"/>
        <v>0</v>
      </c>
      <c r="K144" s="19">
        <f t="shared" si="22"/>
        <v>3.2966912526529989E-5</v>
      </c>
      <c r="L144" s="18">
        <f t="shared" si="23"/>
        <v>1540.6710706748202</v>
      </c>
      <c r="M144" s="31"/>
      <c r="N144" s="36"/>
      <c r="O144" s="38"/>
      <c r="P144" s="37"/>
      <c r="Q144" s="37"/>
      <c r="R144" s="37"/>
      <c r="S144" s="37"/>
      <c r="T144" s="37">
        <f t="shared" si="17"/>
        <v>120</v>
      </c>
      <c r="U144" s="54">
        <v>41221</v>
      </c>
      <c r="V144">
        <v>1377.51</v>
      </c>
      <c r="W144" s="59"/>
      <c r="X144" s="40"/>
      <c r="Y144" s="40"/>
      <c r="Z144" s="44"/>
      <c r="AA144" s="44"/>
      <c r="AB144" s="44"/>
      <c r="AC144" s="44"/>
      <c r="AD144" s="44"/>
    </row>
    <row r="145" spans="1:30" x14ac:dyDescent="0.2">
      <c r="A145" s="11">
        <f t="shared" si="18"/>
        <v>142</v>
      </c>
      <c r="B145" s="15">
        <f t="shared" si="19"/>
        <v>0.56349206349206193</v>
      </c>
      <c r="C145" s="17">
        <v>4.3038789552882371E-3</v>
      </c>
      <c r="D145" s="17">
        <v>2.0950313006112661E-2</v>
      </c>
      <c r="E145" s="16">
        <v>-0.2000927871800956</v>
      </c>
      <c r="F145" s="16">
        <v>-0.40171148535056961</v>
      </c>
      <c r="G145" s="29">
        <v>0</v>
      </c>
      <c r="H145" s="16">
        <v>0</v>
      </c>
      <c r="I145" s="16">
        <f t="shared" si="20"/>
        <v>-0.16924897727476812</v>
      </c>
      <c r="J145" s="17">
        <f t="shared" si="21"/>
        <v>0</v>
      </c>
      <c r="K145" s="19">
        <f t="shared" si="22"/>
        <v>3.2966912526529989E-5</v>
      </c>
      <c r="L145" s="18">
        <f t="shared" si="23"/>
        <v>1540.7218626804624</v>
      </c>
      <c r="M145" s="31"/>
      <c r="N145" s="36"/>
      <c r="O145" s="38"/>
      <c r="P145" s="37"/>
      <c r="Q145" s="37"/>
      <c r="R145" s="37"/>
      <c r="S145" s="37"/>
      <c r="T145" s="37">
        <f t="shared" si="17"/>
        <v>121</v>
      </c>
      <c r="U145" s="54">
        <v>41222</v>
      </c>
      <c r="V145">
        <v>1379.85</v>
      </c>
      <c r="W145" s="59"/>
      <c r="X145" s="40"/>
      <c r="Y145" s="40"/>
      <c r="Z145" s="44"/>
      <c r="AA145" s="44"/>
      <c r="AB145" s="44"/>
      <c r="AC145" s="44"/>
      <c r="AD145" s="44"/>
    </row>
    <row r="146" spans="1:30" x14ac:dyDescent="0.2">
      <c r="A146" s="11">
        <f t="shared" si="18"/>
        <v>143</v>
      </c>
      <c r="B146" s="15">
        <f t="shared" si="19"/>
        <v>0.56746031746031589</v>
      </c>
      <c r="C146" s="17">
        <v>4.3038789552882371E-3</v>
      </c>
      <c r="D146" s="17">
        <v>2.0950313006112661E-2</v>
      </c>
      <c r="E146" s="16">
        <v>0.27231398766877313</v>
      </c>
      <c r="F146" s="16">
        <v>-1.7045319589318311</v>
      </c>
      <c r="G146" s="29">
        <v>0</v>
      </c>
      <c r="H146" s="16">
        <v>0</v>
      </c>
      <c r="I146" s="16">
        <f t="shared" si="20"/>
        <v>-1.4592153195348849</v>
      </c>
      <c r="J146" s="17">
        <f t="shared" si="21"/>
        <v>0</v>
      </c>
      <c r="K146" s="19">
        <f t="shared" si="22"/>
        <v>3.2966912526529989E-5</v>
      </c>
      <c r="L146" s="18">
        <f t="shared" si="23"/>
        <v>1540.7726563605879</v>
      </c>
      <c r="M146" s="31"/>
      <c r="N146" s="36"/>
      <c r="O146" s="38"/>
      <c r="P146" s="37"/>
      <c r="Q146" s="37"/>
      <c r="R146" s="37"/>
      <c r="S146" s="37"/>
      <c r="T146" s="37">
        <f t="shared" si="17"/>
        <v>122</v>
      </c>
      <c r="U146" s="54">
        <v>41225</v>
      </c>
      <c r="V146">
        <v>1380.03</v>
      </c>
      <c r="W146" s="59"/>
      <c r="X146" s="40"/>
      <c r="Y146" s="40"/>
      <c r="Z146" s="44"/>
      <c r="AA146" s="44"/>
      <c r="AB146" s="44"/>
      <c r="AC146" s="44"/>
      <c r="AD146" s="44"/>
    </row>
    <row r="147" spans="1:30" x14ac:dyDescent="0.2">
      <c r="A147" s="11">
        <f t="shared" si="18"/>
        <v>144</v>
      </c>
      <c r="B147" s="15">
        <f t="shared" si="19"/>
        <v>0.57142857142856984</v>
      </c>
      <c r="C147" s="17">
        <v>4.3038789552882371E-3</v>
      </c>
      <c r="D147" s="17">
        <v>2.0950313006112661E-2</v>
      </c>
      <c r="E147" s="16">
        <v>-1.0744252904458709</v>
      </c>
      <c r="F147" s="16">
        <v>7.3014203041584626E-3</v>
      </c>
      <c r="G147" s="29">
        <v>0</v>
      </c>
      <c r="H147" s="16">
        <v>0</v>
      </c>
      <c r="I147" s="16">
        <f t="shared" si="20"/>
        <v>0.7155357987154326</v>
      </c>
      <c r="J147" s="17">
        <f t="shared" si="21"/>
        <v>2.7744703813877664E-4</v>
      </c>
      <c r="K147" s="19">
        <f t="shared" si="22"/>
        <v>3.2966912526529989E-5</v>
      </c>
      <c r="L147" s="18">
        <f t="shared" si="23"/>
        <v>1540.8234517152518</v>
      </c>
      <c r="M147" s="31"/>
      <c r="N147" s="36"/>
      <c r="O147" s="38"/>
      <c r="P147" s="37"/>
      <c r="Q147" s="37"/>
      <c r="R147" s="37"/>
      <c r="S147" s="37"/>
      <c r="T147" s="37">
        <f t="shared" si="17"/>
        <v>123</v>
      </c>
      <c r="U147" s="54">
        <v>41226</v>
      </c>
      <c r="V147">
        <v>1374.53</v>
      </c>
      <c r="W147" s="59"/>
      <c r="X147" s="40"/>
      <c r="Y147" s="40"/>
      <c r="Z147" s="44"/>
      <c r="AA147" s="44"/>
      <c r="AB147" s="44"/>
      <c r="AC147" s="44"/>
      <c r="AD147" s="44"/>
    </row>
    <row r="148" spans="1:30" x14ac:dyDescent="0.2">
      <c r="A148" s="11">
        <f t="shared" si="18"/>
        <v>145</v>
      </c>
      <c r="B148" s="15">
        <f t="shared" si="19"/>
        <v>0.5753968253968238</v>
      </c>
      <c r="C148" s="17">
        <v>4.3038789552882371E-3</v>
      </c>
      <c r="D148" s="17">
        <v>2.0950313006112661E-2</v>
      </c>
      <c r="E148" s="16">
        <v>-0.43880532332375133</v>
      </c>
      <c r="F148" s="16">
        <v>1.079104151506781</v>
      </c>
      <c r="G148" s="29">
        <v>0</v>
      </c>
      <c r="H148" s="16">
        <v>0</v>
      </c>
      <c r="I148" s="16">
        <f t="shared" si="20"/>
        <v>1.0998610605154759</v>
      </c>
      <c r="J148" s="17">
        <f t="shared" si="21"/>
        <v>0</v>
      </c>
      <c r="K148" s="19">
        <f t="shared" si="22"/>
        <v>1.1864743339352166E-3</v>
      </c>
      <c r="L148" s="18">
        <f t="shared" si="23"/>
        <v>1542.6526841479163</v>
      </c>
      <c r="M148" s="31"/>
      <c r="N148" s="36"/>
      <c r="O148" s="38"/>
      <c r="P148" s="37"/>
      <c r="Q148" s="37"/>
      <c r="R148" s="37"/>
      <c r="S148" s="37"/>
      <c r="T148" s="37">
        <f t="shared" si="17"/>
        <v>124</v>
      </c>
      <c r="U148" s="54">
        <v>41227</v>
      </c>
      <c r="V148">
        <v>1355.49</v>
      </c>
      <c r="W148" s="59"/>
      <c r="X148" s="40"/>
      <c r="Y148" s="40"/>
      <c r="Z148" s="44"/>
      <c r="AA148" s="44"/>
      <c r="AB148" s="44"/>
      <c r="AC148" s="44"/>
      <c r="AD148" s="44"/>
    </row>
    <row r="149" spans="1:30" x14ac:dyDescent="0.2">
      <c r="A149" s="11">
        <f t="shared" si="18"/>
        <v>146</v>
      </c>
      <c r="B149" s="15">
        <f t="shared" si="19"/>
        <v>0.57936507936507775</v>
      </c>
      <c r="C149" s="17">
        <v>4.3038789552882371E-3</v>
      </c>
      <c r="D149" s="17">
        <v>2.0950313006112661E-2</v>
      </c>
      <c r="E149" s="16">
        <v>-0.3947831393205844</v>
      </c>
      <c r="F149" s="16">
        <v>0.41596545873448471</v>
      </c>
      <c r="G149" s="29">
        <v>0</v>
      </c>
      <c r="H149" s="16">
        <v>0</v>
      </c>
      <c r="I149" s="16">
        <f t="shared" si="20"/>
        <v>0.57308259145377938</v>
      </c>
      <c r="J149" s="17">
        <f t="shared" si="21"/>
        <v>0</v>
      </c>
      <c r="K149" s="19">
        <f t="shared" si="22"/>
        <v>3.2966912526529989E-5</v>
      </c>
      <c r="L149" s="18">
        <f t="shared" si="23"/>
        <v>1542.7035414823135</v>
      </c>
      <c r="M149" s="31"/>
      <c r="N149" s="36"/>
      <c r="O149" s="38"/>
      <c r="P149" s="37"/>
      <c r="Q149" s="37"/>
      <c r="R149" s="37"/>
      <c r="S149" s="37"/>
      <c r="T149" s="37">
        <f t="shared" si="17"/>
        <v>125</v>
      </c>
      <c r="U149" s="54">
        <v>41228</v>
      </c>
      <c r="V149">
        <v>1353.32</v>
      </c>
      <c r="W149" s="59"/>
      <c r="X149" s="40"/>
      <c r="Y149" s="40"/>
      <c r="Z149" s="44"/>
      <c r="AA149" s="44"/>
      <c r="AB149" s="44"/>
      <c r="AC149" s="44"/>
      <c r="AD149" s="44"/>
    </row>
    <row r="150" spans="1:30" x14ac:dyDescent="0.2">
      <c r="A150" s="11">
        <f t="shared" si="18"/>
        <v>147</v>
      </c>
      <c r="B150" s="15">
        <f t="shared" si="19"/>
        <v>0.58333333333333171</v>
      </c>
      <c r="C150" s="17">
        <v>4.3038789552882371E-3</v>
      </c>
      <c r="D150" s="17">
        <v>2.0950313006112661E-2</v>
      </c>
      <c r="E150" s="16">
        <v>-0.34130920733234649</v>
      </c>
      <c r="F150" s="16">
        <v>-0.15194461581098889</v>
      </c>
      <c r="G150" s="29">
        <v>0</v>
      </c>
      <c r="H150" s="16">
        <v>0</v>
      </c>
      <c r="I150" s="16">
        <f t="shared" si="20"/>
        <v>0.11152680555157067</v>
      </c>
      <c r="J150" s="17">
        <f t="shared" si="21"/>
        <v>0</v>
      </c>
      <c r="K150" s="19">
        <f t="shared" si="22"/>
        <v>3.2966912526529989E-5</v>
      </c>
      <c r="L150" s="18">
        <f t="shared" si="23"/>
        <v>1542.7544004933477</v>
      </c>
      <c r="M150" s="31"/>
      <c r="N150" s="36"/>
      <c r="O150" s="38"/>
      <c r="P150" s="37"/>
      <c r="Q150" s="37"/>
      <c r="R150" s="37"/>
      <c r="S150" s="37"/>
      <c r="T150" s="37">
        <f t="shared" si="17"/>
        <v>126</v>
      </c>
      <c r="U150" s="54">
        <v>41229</v>
      </c>
      <c r="V150">
        <v>1359.88</v>
      </c>
      <c r="W150" s="59"/>
      <c r="X150" s="40"/>
      <c r="Y150" s="40"/>
      <c r="Z150" s="44"/>
      <c r="AA150" s="44"/>
      <c r="AB150" s="44"/>
      <c r="AC150" s="44"/>
      <c r="AD150" s="44"/>
    </row>
    <row r="151" spans="1:30" x14ac:dyDescent="0.2">
      <c r="A151" s="11">
        <f t="shared" si="18"/>
        <v>148</v>
      </c>
      <c r="B151" s="15">
        <f t="shared" si="19"/>
        <v>0.58730158730158566</v>
      </c>
      <c r="C151" s="17">
        <v>4.3038789552882371E-3</v>
      </c>
      <c r="D151" s="17">
        <v>2.0950313006112661E-2</v>
      </c>
      <c r="E151" s="16">
        <v>1.7808286773280919</v>
      </c>
      <c r="F151" s="16">
        <v>0.10105906931094728</v>
      </c>
      <c r="G151" s="29">
        <v>0</v>
      </c>
      <c r="H151" s="16">
        <v>0</v>
      </c>
      <c r="I151" s="16">
        <f t="shared" si="20"/>
        <v>-1.1010524938708142</v>
      </c>
      <c r="J151" s="17">
        <f t="shared" si="21"/>
        <v>1.6972129311886557E-3</v>
      </c>
      <c r="K151" s="19">
        <f t="shared" si="22"/>
        <v>3.2966912526529989E-5</v>
      </c>
      <c r="L151" s="18">
        <f t="shared" si="23"/>
        <v>1542.805261181074</v>
      </c>
      <c r="M151" s="31"/>
      <c r="N151" s="36"/>
      <c r="O151" s="38"/>
      <c r="P151" s="37"/>
      <c r="Q151" s="37"/>
      <c r="R151" s="37"/>
      <c r="S151" s="37"/>
      <c r="T151" s="37">
        <f t="shared" si="17"/>
        <v>127</v>
      </c>
      <c r="U151" s="54">
        <v>41232</v>
      </c>
      <c r="V151">
        <v>1386.89</v>
      </c>
      <c r="W151" s="59"/>
      <c r="X151" s="40"/>
      <c r="Y151" s="40"/>
      <c r="Z151" s="44"/>
      <c r="AA151" s="44"/>
      <c r="AB151" s="44"/>
      <c r="AC151" s="44"/>
      <c r="AD151" s="44"/>
    </row>
    <row r="152" spans="1:30" x14ac:dyDescent="0.2">
      <c r="A152" s="11">
        <f t="shared" si="18"/>
        <v>149</v>
      </c>
      <c r="B152" s="15">
        <f t="shared" si="19"/>
        <v>0.59126984126983961</v>
      </c>
      <c r="C152" s="17">
        <v>4.3038789552882371E-3</v>
      </c>
      <c r="D152" s="17">
        <v>2.0950313006112661E-2</v>
      </c>
      <c r="E152" s="16">
        <v>0.65337912038810142</v>
      </c>
      <c r="F152" s="16">
        <v>-0.84054064761978386</v>
      </c>
      <c r="G152" s="29">
        <v>0</v>
      </c>
      <c r="H152" s="16">
        <v>0</v>
      </c>
      <c r="I152" s="16">
        <f t="shared" si="20"/>
        <v>-1.0626246956021843</v>
      </c>
      <c r="J152" s="17">
        <f t="shared" si="21"/>
        <v>2.8846930244613208E-3</v>
      </c>
      <c r="K152" s="19">
        <f t="shared" si="22"/>
        <v>-2.728105534487863E-3</v>
      </c>
      <c r="L152" s="18">
        <f t="shared" si="23"/>
        <v>1538.6020616023056</v>
      </c>
      <c r="M152" s="31"/>
      <c r="N152" s="36"/>
      <c r="O152" s="38"/>
      <c r="P152" s="37"/>
      <c r="Q152" s="37"/>
      <c r="R152" s="37"/>
      <c r="S152" s="37"/>
      <c r="T152" s="37">
        <f t="shared" si="17"/>
        <v>128</v>
      </c>
      <c r="U152" s="54">
        <v>41233</v>
      </c>
      <c r="V152">
        <v>1387.81</v>
      </c>
      <c r="W152" s="59"/>
      <c r="X152" s="40"/>
      <c r="Y152" s="40"/>
      <c r="Z152" s="44"/>
      <c r="AA152" s="44"/>
      <c r="AB152" s="44"/>
      <c r="AC152" s="44"/>
      <c r="AD152" s="44"/>
    </row>
    <row r="153" spans="1:30" x14ac:dyDescent="0.2">
      <c r="A153" s="11">
        <f t="shared" si="18"/>
        <v>150</v>
      </c>
      <c r="B153" s="15">
        <f t="shared" si="19"/>
        <v>0.59523809523809357</v>
      </c>
      <c r="C153" s="17">
        <v>4.3038789552882371E-3</v>
      </c>
      <c r="D153" s="17">
        <v>2.0950313006112661E-2</v>
      </c>
      <c r="E153" s="16">
        <v>-0.69414540211899134</v>
      </c>
      <c r="F153" s="16">
        <v>1.1582882596256125</v>
      </c>
      <c r="G153" s="29">
        <v>0</v>
      </c>
      <c r="H153" s="16">
        <v>0</v>
      </c>
      <c r="I153" s="16">
        <f t="shared" si="20"/>
        <v>1.3280354737359239</v>
      </c>
      <c r="J153" s="17">
        <f t="shared" si="21"/>
        <v>6.999078850156306E-4</v>
      </c>
      <c r="K153" s="19">
        <f t="shared" si="22"/>
        <v>4.520479085528409E-3</v>
      </c>
      <c r="L153" s="18">
        <f t="shared" si="23"/>
        <v>1545.5730242172749</v>
      </c>
      <c r="M153" s="31"/>
      <c r="N153" s="36"/>
      <c r="O153" s="38"/>
      <c r="P153" s="37"/>
      <c r="Q153" s="37"/>
      <c r="R153" s="37"/>
      <c r="S153" s="37"/>
      <c r="T153" s="37">
        <f t="shared" si="17"/>
        <v>129</v>
      </c>
      <c r="U153" s="54">
        <v>41234</v>
      </c>
      <c r="V153">
        <v>1391.03</v>
      </c>
      <c r="W153" s="59"/>
      <c r="X153" s="40"/>
      <c r="Y153" s="40"/>
      <c r="Z153" s="44"/>
      <c r="AA153" s="44"/>
      <c r="AB153" s="44"/>
      <c r="AC153" s="44"/>
      <c r="AD153" s="44"/>
    </row>
    <row r="154" spans="1:30" x14ac:dyDescent="0.2">
      <c r="A154" s="11">
        <f t="shared" si="18"/>
        <v>151</v>
      </c>
      <c r="B154" s="15">
        <f t="shared" si="19"/>
        <v>0.59920634920634752</v>
      </c>
      <c r="C154" s="17">
        <v>4.3038789552882371E-3</v>
      </c>
      <c r="D154" s="17">
        <v>2.0950313006112661E-2</v>
      </c>
      <c r="E154" s="16">
        <v>-1.5001771316028087</v>
      </c>
      <c r="F154" s="16">
        <v>0.93040896051831778</v>
      </c>
      <c r="G154" s="29">
        <v>0</v>
      </c>
      <c r="H154" s="16">
        <v>0</v>
      </c>
      <c r="I154" s="16">
        <f t="shared" si="20"/>
        <v>1.689694760341123</v>
      </c>
      <c r="J154" s="17">
        <f t="shared" si="21"/>
        <v>0</v>
      </c>
      <c r="K154" s="19">
        <f t="shared" si="22"/>
        <v>2.8475508411082246E-3</v>
      </c>
      <c r="L154" s="18">
        <f t="shared" si="23"/>
        <v>1549.9803941091873</v>
      </c>
      <c r="M154" s="31"/>
      <c r="N154" s="36"/>
      <c r="O154" s="38"/>
      <c r="P154" s="37"/>
      <c r="Q154" s="37"/>
      <c r="R154" s="37"/>
      <c r="S154" s="37"/>
      <c r="T154" s="37">
        <f t="shared" si="17"/>
        <v>130</v>
      </c>
      <c r="U154" s="54">
        <v>41236</v>
      </c>
      <c r="V154">
        <v>1409.15</v>
      </c>
      <c r="W154" s="59"/>
      <c r="X154" s="40"/>
      <c r="Y154" s="40"/>
      <c r="Z154" s="44"/>
      <c r="AA154" s="44"/>
      <c r="AB154" s="44"/>
      <c r="AC154" s="44"/>
      <c r="AD154" s="44"/>
    </row>
    <row r="155" spans="1:30" x14ac:dyDescent="0.2">
      <c r="A155" s="11">
        <f t="shared" si="18"/>
        <v>152</v>
      </c>
      <c r="B155" s="15">
        <f t="shared" si="19"/>
        <v>0.60317460317460148</v>
      </c>
      <c r="C155" s="17">
        <v>4.3038789552882371E-3</v>
      </c>
      <c r="D155" s="17">
        <v>2.0950313006112661E-2</v>
      </c>
      <c r="E155" s="16">
        <v>-0.60431172045909121</v>
      </c>
      <c r="F155" s="16">
        <v>1.4245717872826267</v>
      </c>
      <c r="G155" s="29">
        <v>0</v>
      </c>
      <c r="H155" s="16">
        <v>0</v>
      </c>
      <c r="I155" s="16">
        <f t="shared" si="20"/>
        <v>1.4685127874630335</v>
      </c>
      <c r="J155" s="17">
        <f t="shared" si="21"/>
        <v>0</v>
      </c>
      <c r="K155" s="19">
        <f t="shared" si="22"/>
        <v>3.2966912526529989E-5</v>
      </c>
      <c r="L155" s="18">
        <f t="shared" si="23"/>
        <v>1550.0314930195398</v>
      </c>
      <c r="M155" s="31"/>
      <c r="N155" s="36"/>
      <c r="O155" s="38"/>
      <c r="P155" s="37"/>
      <c r="Q155" s="37"/>
      <c r="R155" s="37"/>
      <c r="S155" s="37"/>
      <c r="T155" s="37">
        <f t="shared" ref="T155:T218" si="24">T154+1</f>
        <v>131</v>
      </c>
      <c r="U155" s="54">
        <v>41239</v>
      </c>
      <c r="V155">
        <v>1406.29</v>
      </c>
      <c r="W155" s="59"/>
      <c r="X155" s="40"/>
      <c r="Y155" s="40"/>
      <c r="Z155" s="44"/>
      <c r="AA155" s="44"/>
      <c r="AB155" s="44"/>
      <c r="AC155" s="44"/>
      <c r="AD155" s="44"/>
    </row>
    <row r="156" spans="1:30" x14ac:dyDescent="0.2">
      <c r="A156" s="11">
        <f t="shared" si="18"/>
        <v>153</v>
      </c>
      <c r="B156" s="15">
        <f t="shared" si="19"/>
        <v>0.60714285714285543</v>
      </c>
      <c r="C156" s="17">
        <v>4.3038789552882371E-3</v>
      </c>
      <c r="D156" s="17">
        <v>2.0950313006112661E-2</v>
      </c>
      <c r="E156" s="16">
        <v>-2.0307915554771783</v>
      </c>
      <c r="F156" s="16">
        <v>0.70059520041034262</v>
      </c>
      <c r="G156" s="29">
        <v>0</v>
      </c>
      <c r="H156" s="16">
        <v>0</v>
      </c>
      <c r="I156" s="16">
        <f t="shared" si="20"/>
        <v>1.8678870348814518</v>
      </c>
      <c r="J156" s="17">
        <f t="shared" si="21"/>
        <v>2.3678759548694528E-3</v>
      </c>
      <c r="K156" s="19">
        <f t="shared" si="22"/>
        <v>3.2966912526529989E-5</v>
      </c>
      <c r="L156" s="18">
        <f t="shared" si="23"/>
        <v>1550.0825936144934</v>
      </c>
      <c r="M156" s="31"/>
      <c r="N156" s="36"/>
      <c r="O156" s="38"/>
      <c r="P156" s="37"/>
      <c r="Q156" s="37"/>
      <c r="R156" s="37"/>
      <c r="S156" s="37"/>
      <c r="T156" s="37">
        <f t="shared" si="24"/>
        <v>132</v>
      </c>
      <c r="U156" s="54">
        <v>41240</v>
      </c>
      <c r="V156">
        <v>1398.94</v>
      </c>
      <c r="W156" s="59"/>
      <c r="X156" s="40"/>
      <c r="Y156" s="40"/>
      <c r="Z156" s="44"/>
      <c r="AA156" s="44"/>
      <c r="AB156" s="44"/>
      <c r="AC156" s="44"/>
      <c r="AD156" s="44"/>
    </row>
    <row r="157" spans="1:30" x14ac:dyDescent="0.2">
      <c r="A157" s="11">
        <f t="shared" si="18"/>
        <v>154</v>
      </c>
      <c r="B157" s="15">
        <f t="shared" si="19"/>
        <v>0.61111111111110938</v>
      </c>
      <c r="C157" s="17">
        <v>4.3038789552882371E-3</v>
      </c>
      <c r="D157" s="17">
        <v>2.0950313006112661E-2</v>
      </c>
      <c r="E157" s="16">
        <v>-9.9823083919600514E-2</v>
      </c>
      <c r="F157" s="16">
        <v>1.6165541534693575</v>
      </c>
      <c r="G157" s="29">
        <v>0</v>
      </c>
      <c r="H157" s="16">
        <v>0</v>
      </c>
      <c r="I157" s="16">
        <f t="shared" si="20"/>
        <v>1.2791938214308731</v>
      </c>
      <c r="J157" s="17">
        <f t="shared" si="21"/>
        <v>1.5733572285942959E-3</v>
      </c>
      <c r="K157" s="19">
        <f t="shared" si="22"/>
        <v>3.9494377085709026E-3</v>
      </c>
      <c r="L157" s="18">
        <f t="shared" si="23"/>
        <v>1556.2166533312068</v>
      </c>
      <c r="M157" s="31"/>
      <c r="N157" s="36"/>
      <c r="O157" s="38"/>
      <c r="P157" s="37"/>
      <c r="Q157" s="37"/>
      <c r="R157" s="37"/>
      <c r="S157" s="37"/>
      <c r="T157" s="37">
        <f t="shared" si="24"/>
        <v>133</v>
      </c>
      <c r="U157" s="54">
        <v>41241</v>
      </c>
      <c r="V157">
        <v>1409.93</v>
      </c>
      <c r="W157" s="59"/>
      <c r="X157" s="40"/>
      <c r="Y157" s="40"/>
      <c r="Z157" s="44"/>
      <c r="AA157" s="44"/>
      <c r="AB157" s="44"/>
      <c r="AC157" s="44"/>
      <c r="AD157" s="44"/>
    </row>
    <row r="158" spans="1:30" x14ac:dyDescent="0.2">
      <c r="A158" s="11">
        <f t="shared" si="18"/>
        <v>155</v>
      </c>
      <c r="B158" s="15">
        <f t="shared" si="19"/>
        <v>0.61507936507936334</v>
      </c>
      <c r="C158" s="17">
        <v>4.3038789552882371E-3</v>
      </c>
      <c r="D158" s="17">
        <v>2.0950313006112661E-2</v>
      </c>
      <c r="E158" s="16">
        <v>1.1193872275699288</v>
      </c>
      <c r="F158" s="16">
        <v>0.57273261972610212</v>
      </c>
      <c r="G158" s="29">
        <v>0</v>
      </c>
      <c r="H158" s="16">
        <v>0</v>
      </c>
      <c r="I158" s="16">
        <f t="shared" si="20"/>
        <v>-0.30993434994778662</v>
      </c>
      <c r="J158" s="17">
        <f t="shared" si="21"/>
        <v>4.2705420014292669E-3</v>
      </c>
      <c r="K158" s="19">
        <f t="shared" si="22"/>
        <v>-7.445865091282646E-4</v>
      </c>
      <c r="L158" s="18">
        <f t="shared" si="23"/>
        <v>1555.0583466891198</v>
      </c>
      <c r="M158" s="31"/>
      <c r="N158" s="36"/>
      <c r="O158" s="38"/>
      <c r="P158" s="37"/>
      <c r="Q158" s="37"/>
      <c r="R158" s="37"/>
      <c r="S158" s="37"/>
      <c r="T158" s="37">
        <f t="shared" si="24"/>
        <v>134</v>
      </c>
      <c r="U158" s="54">
        <v>41242</v>
      </c>
      <c r="V158">
        <v>1415.95</v>
      </c>
      <c r="W158" s="59"/>
      <c r="X158" s="40"/>
      <c r="Y158" s="40"/>
      <c r="Z158" s="44"/>
      <c r="AA158" s="44"/>
      <c r="AB158" s="44"/>
      <c r="AC158" s="44"/>
      <c r="AD158" s="44"/>
    </row>
    <row r="159" spans="1:30" x14ac:dyDescent="0.2">
      <c r="A159" s="11">
        <f t="shared" si="18"/>
        <v>156</v>
      </c>
      <c r="B159" s="15">
        <f t="shared" si="19"/>
        <v>0.61904761904761729</v>
      </c>
      <c r="C159" s="17">
        <v>4.3038789552882371E-3</v>
      </c>
      <c r="D159" s="17">
        <v>2.0950313006112661E-2</v>
      </c>
      <c r="E159" s="16">
        <v>-1.6971135863971296</v>
      </c>
      <c r="F159" s="16">
        <v>0.62123621766619097</v>
      </c>
      <c r="G159" s="29">
        <v>0</v>
      </c>
      <c r="H159" s="16">
        <v>0</v>
      </c>
      <c r="I159" s="16">
        <f t="shared" si="20"/>
        <v>1.5878101699132501</v>
      </c>
      <c r="J159" s="17">
        <f t="shared" si="21"/>
        <v>0</v>
      </c>
      <c r="K159" s="19">
        <f t="shared" si="22"/>
        <v>6.5609114701812585E-3</v>
      </c>
      <c r="L159" s="18">
        <f t="shared" si="23"/>
        <v>1565.2944893271883</v>
      </c>
      <c r="M159" s="31"/>
      <c r="N159" s="36"/>
      <c r="O159" s="38"/>
      <c r="P159" s="37"/>
      <c r="Q159" s="37"/>
      <c r="R159" s="37"/>
      <c r="S159" s="37"/>
      <c r="T159" s="37">
        <f t="shared" si="24"/>
        <v>135</v>
      </c>
      <c r="U159" s="54">
        <v>41243</v>
      </c>
      <c r="V159">
        <v>1416.18</v>
      </c>
      <c r="W159" s="59"/>
      <c r="X159" s="40"/>
      <c r="Y159" s="40"/>
      <c r="Z159" s="44"/>
      <c r="AA159" s="44"/>
      <c r="AB159" s="44"/>
      <c r="AC159" s="44"/>
      <c r="AD159" s="44"/>
    </row>
    <row r="160" spans="1:30" x14ac:dyDescent="0.2">
      <c r="A160" s="11">
        <f t="shared" si="18"/>
        <v>157</v>
      </c>
      <c r="B160" s="15">
        <f t="shared" si="19"/>
        <v>0.62301587301587125</v>
      </c>
      <c r="C160" s="17">
        <v>4.3038789552882371E-3</v>
      </c>
      <c r="D160" s="17">
        <v>2.0950313006112661E-2</v>
      </c>
      <c r="E160" s="16">
        <v>1.6375252055146201</v>
      </c>
      <c r="F160" s="16">
        <v>-0.92294050102951397</v>
      </c>
      <c r="G160" s="29">
        <v>0</v>
      </c>
      <c r="H160" s="16">
        <v>0</v>
      </c>
      <c r="I160" s="16">
        <f t="shared" si="20"/>
        <v>-1.7748589861538742</v>
      </c>
      <c r="J160" s="17">
        <f t="shared" si="21"/>
        <v>1.352392527991156E-3</v>
      </c>
      <c r="K160" s="19">
        <f t="shared" si="22"/>
        <v>3.2966912526529989E-5</v>
      </c>
      <c r="L160" s="18">
        <f t="shared" si="23"/>
        <v>1565.3460931043003</v>
      </c>
      <c r="M160" s="31"/>
      <c r="N160" s="36"/>
      <c r="O160" s="38"/>
      <c r="P160" s="37"/>
      <c r="Q160" s="37"/>
      <c r="R160" s="37"/>
      <c r="S160" s="37"/>
      <c r="T160" s="37">
        <f t="shared" si="24"/>
        <v>136</v>
      </c>
      <c r="U160" s="54">
        <v>41246</v>
      </c>
      <c r="V160">
        <v>1409.46</v>
      </c>
      <c r="W160" s="59"/>
      <c r="X160" s="40"/>
      <c r="Y160" s="40"/>
      <c r="Z160" s="44"/>
      <c r="AA160" s="44"/>
      <c r="AB160" s="44"/>
      <c r="AC160" s="44"/>
      <c r="AD160" s="44"/>
    </row>
    <row r="161" spans="1:30" x14ac:dyDescent="0.2">
      <c r="A161" s="11">
        <f t="shared" si="18"/>
        <v>158</v>
      </c>
      <c r="B161" s="15">
        <f t="shared" si="19"/>
        <v>0.6269841269841252</v>
      </c>
      <c r="C161" s="17">
        <v>4.3038789552882371E-3</v>
      </c>
      <c r="D161" s="17">
        <v>2.0950313006112661E-2</v>
      </c>
      <c r="E161" s="16">
        <v>0.23655336640041058</v>
      </c>
      <c r="F161" s="16">
        <v>-1.4086360322044771</v>
      </c>
      <c r="G161" s="29">
        <v>0</v>
      </c>
      <c r="H161" s="16">
        <v>0</v>
      </c>
      <c r="I161" s="16">
        <f t="shared" si="20"/>
        <v>-1.2135123221597899</v>
      </c>
      <c r="J161" s="17">
        <f t="shared" si="21"/>
        <v>1.3133090324576211E-3</v>
      </c>
      <c r="K161" s="19">
        <f t="shared" si="22"/>
        <v>-2.7809394328049551E-3</v>
      </c>
      <c r="L161" s="18">
        <f t="shared" si="23"/>
        <v>1560.9990077201408</v>
      </c>
      <c r="M161" s="31"/>
      <c r="N161" s="36"/>
      <c r="O161" s="38"/>
      <c r="P161" s="37"/>
      <c r="Q161" s="37"/>
      <c r="R161" s="37"/>
      <c r="S161" s="37"/>
      <c r="T161" s="37">
        <f t="shared" si="24"/>
        <v>137</v>
      </c>
      <c r="U161" s="54">
        <v>41247</v>
      </c>
      <c r="V161">
        <v>1407.05</v>
      </c>
      <c r="W161" s="59"/>
      <c r="X161" s="40"/>
      <c r="Y161" s="40"/>
      <c r="Z161" s="44"/>
      <c r="AA161" s="44"/>
      <c r="AB161" s="44"/>
      <c r="AC161" s="44"/>
      <c r="AD161" s="44"/>
    </row>
    <row r="162" spans="1:30" x14ac:dyDescent="0.2">
      <c r="A162" s="11">
        <f t="shared" si="18"/>
        <v>159</v>
      </c>
      <c r="B162" s="15">
        <f t="shared" si="19"/>
        <v>0.63095238095237915</v>
      </c>
      <c r="C162" s="17">
        <v>4.3038789552882371E-3</v>
      </c>
      <c r="D162" s="17">
        <v>2.0950313006112661E-2</v>
      </c>
      <c r="E162" s="16">
        <v>-0.90861609300000945</v>
      </c>
      <c r="F162" s="16">
        <v>1.2114943956926869</v>
      </c>
      <c r="G162" s="29">
        <v>0</v>
      </c>
      <c r="H162" s="16">
        <v>0</v>
      </c>
      <c r="I162" s="16">
        <f t="shared" si="20"/>
        <v>1.5097040455233279</v>
      </c>
      <c r="J162" s="17">
        <f t="shared" si="21"/>
        <v>0</v>
      </c>
      <c r="K162" s="19">
        <f t="shared" si="22"/>
        <v>3.4768351999611008E-3</v>
      </c>
      <c r="L162" s="18">
        <f t="shared" si="23"/>
        <v>1566.4357899383576</v>
      </c>
      <c r="M162" s="31"/>
      <c r="N162" s="36"/>
      <c r="O162" s="38"/>
      <c r="P162" s="37"/>
      <c r="Q162" s="37"/>
      <c r="R162" s="37"/>
      <c r="S162" s="37"/>
      <c r="T162" s="37">
        <f t="shared" si="24"/>
        <v>138</v>
      </c>
      <c r="U162" s="54">
        <v>41248</v>
      </c>
      <c r="V162">
        <v>1409.28</v>
      </c>
      <c r="W162" s="59"/>
      <c r="X162" s="40"/>
      <c r="Y162" s="40"/>
      <c r="Z162" s="44"/>
      <c r="AA162" s="44"/>
      <c r="AB162" s="44"/>
      <c r="AC162" s="44"/>
      <c r="AD162" s="44"/>
    </row>
    <row r="163" spans="1:30" x14ac:dyDescent="0.2">
      <c r="A163" s="11">
        <f t="shared" si="18"/>
        <v>160</v>
      </c>
      <c r="B163" s="15">
        <f t="shared" si="19"/>
        <v>0.63492063492063311</v>
      </c>
      <c r="C163" s="17">
        <v>4.3038789552882371E-3</v>
      </c>
      <c r="D163" s="17">
        <v>2.0950313006112661E-2</v>
      </c>
      <c r="E163" s="16">
        <v>3.1187202587398149E-3</v>
      </c>
      <c r="F163" s="16">
        <v>-0.51855750095241293</v>
      </c>
      <c r="G163" s="29">
        <v>0</v>
      </c>
      <c r="H163" s="16">
        <v>0</v>
      </c>
      <c r="I163" s="16">
        <f t="shared" si="20"/>
        <v>-0.39123840702275137</v>
      </c>
      <c r="J163" s="17">
        <f t="shared" si="21"/>
        <v>0</v>
      </c>
      <c r="K163" s="19">
        <f t="shared" si="22"/>
        <v>3.2966912526529989E-5</v>
      </c>
      <c r="L163" s="18">
        <f t="shared" si="23"/>
        <v>1566.4874313412472</v>
      </c>
      <c r="M163" s="31"/>
      <c r="N163" s="36"/>
      <c r="O163" s="38"/>
      <c r="P163" s="37"/>
      <c r="Q163" s="37"/>
      <c r="R163" s="37"/>
      <c r="S163" s="37"/>
      <c r="T163" s="37">
        <f t="shared" si="24"/>
        <v>139</v>
      </c>
      <c r="U163" s="54">
        <v>41249</v>
      </c>
      <c r="V163">
        <v>1413.94</v>
      </c>
      <c r="W163" s="59"/>
      <c r="X163" s="40"/>
      <c r="Y163" s="40"/>
      <c r="Z163" s="44"/>
      <c r="AA163" s="44"/>
      <c r="AB163" s="44"/>
      <c r="AC163" s="44"/>
      <c r="AD163" s="44"/>
    </row>
    <row r="164" spans="1:30" x14ac:dyDescent="0.2">
      <c r="A164" s="11">
        <f t="shared" si="18"/>
        <v>161</v>
      </c>
      <c r="B164" s="15">
        <f t="shared" si="19"/>
        <v>0.63888888888888706</v>
      </c>
      <c r="C164" s="17">
        <v>4.3038789552882371E-3</v>
      </c>
      <c r="D164" s="17">
        <v>2.0950313006112661E-2</v>
      </c>
      <c r="E164" s="16">
        <v>0.15783076126873549</v>
      </c>
      <c r="F164" s="16">
        <v>-0.37393929179292495</v>
      </c>
      <c r="G164" s="29">
        <v>0</v>
      </c>
      <c r="H164" s="16">
        <v>0</v>
      </c>
      <c r="I164" s="16">
        <f t="shared" si="20"/>
        <v>-0.3849470989949888</v>
      </c>
      <c r="J164" s="17">
        <f t="shared" si="21"/>
        <v>0</v>
      </c>
      <c r="K164" s="19">
        <f t="shared" si="22"/>
        <v>3.2966912526529989E-5</v>
      </c>
      <c r="L164" s="18">
        <f t="shared" si="23"/>
        <v>1566.5390744466224</v>
      </c>
      <c r="M164" s="31"/>
      <c r="N164" s="36"/>
      <c r="O164" s="38"/>
      <c r="P164" s="37"/>
      <c r="Q164" s="37"/>
      <c r="R164" s="37"/>
      <c r="S164" s="37"/>
      <c r="T164" s="37">
        <f t="shared" si="24"/>
        <v>140</v>
      </c>
      <c r="U164" s="54">
        <v>41250</v>
      </c>
      <c r="V164">
        <v>1418.07</v>
      </c>
      <c r="W164" s="59"/>
      <c r="X164" s="40"/>
      <c r="Y164" s="40"/>
      <c r="Z164" s="44"/>
      <c r="AA164" s="44"/>
      <c r="AB164" s="44"/>
      <c r="AC164" s="44"/>
      <c r="AD164" s="44"/>
    </row>
    <row r="165" spans="1:30" x14ac:dyDescent="0.2">
      <c r="A165" s="11">
        <f t="shared" si="18"/>
        <v>162</v>
      </c>
      <c r="B165" s="15">
        <f t="shared" si="19"/>
        <v>0.64285714285714102</v>
      </c>
      <c r="C165" s="17">
        <v>4.3038789552882371E-3</v>
      </c>
      <c r="D165" s="17">
        <v>2.0950313006112661E-2</v>
      </c>
      <c r="E165" s="16">
        <v>-2.2010876364462782E-2</v>
      </c>
      <c r="F165" s="16">
        <v>0.61594351577083506</v>
      </c>
      <c r="G165" s="29">
        <v>0</v>
      </c>
      <c r="H165" s="16">
        <v>0</v>
      </c>
      <c r="I165" s="16">
        <f t="shared" si="20"/>
        <v>0.47681186887524285</v>
      </c>
      <c r="J165" s="17">
        <f t="shared" si="21"/>
        <v>0</v>
      </c>
      <c r="K165" s="19">
        <f t="shared" si="22"/>
        <v>3.2966912526529989E-5</v>
      </c>
      <c r="L165" s="18">
        <f t="shared" si="23"/>
        <v>1566.5907192545394</v>
      </c>
      <c r="M165" s="31"/>
      <c r="N165" s="36"/>
      <c r="O165" s="38"/>
      <c r="P165" s="37"/>
      <c r="Q165" s="37"/>
      <c r="R165" s="37"/>
      <c r="S165" s="37"/>
      <c r="T165" s="37">
        <f t="shared" si="24"/>
        <v>141</v>
      </c>
      <c r="U165" s="54">
        <v>41253</v>
      </c>
      <c r="V165">
        <v>1418.55</v>
      </c>
      <c r="W165" s="59"/>
      <c r="X165" s="40"/>
      <c r="Y165" s="40"/>
      <c r="Z165" s="44"/>
      <c r="AA165" s="44"/>
      <c r="AB165" s="44"/>
      <c r="AC165" s="44"/>
      <c r="AD165" s="44"/>
    </row>
    <row r="166" spans="1:30" x14ac:dyDescent="0.2">
      <c r="A166" s="11">
        <f t="shared" si="18"/>
        <v>163</v>
      </c>
      <c r="B166" s="15">
        <f t="shared" si="19"/>
        <v>0.64682539682539497</v>
      </c>
      <c r="C166" s="17">
        <v>4.3038789552882371E-3</v>
      </c>
      <c r="D166" s="17">
        <v>2.0950313006112661E-2</v>
      </c>
      <c r="E166" s="16">
        <v>0.43090751919931602</v>
      </c>
      <c r="F166" s="16">
        <v>-0.37150367694678382</v>
      </c>
      <c r="G166" s="29">
        <v>0</v>
      </c>
      <c r="H166" s="16">
        <v>0</v>
      </c>
      <c r="I166" s="16">
        <f t="shared" si="20"/>
        <v>-0.56358757056641084</v>
      </c>
      <c r="J166" s="17">
        <f t="shared" si="21"/>
        <v>0</v>
      </c>
      <c r="K166" s="19">
        <f t="shared" si="22"/>
        <v>3.2966912526529989E-5</v>
      </c>
      <c r="L166" s="18">
        <f t="shared" si="23"/>
        <v>1566.6423657650544</v>
      </c>
      <c r="M166" s="31"/>
      <c r="N166" s="36"/>
      <c r="O166" s="38"/>
      <c r="P166" s="37"/>
      <c r="Q166" s="37"/>
      <c r="R166" s="37"/>
      <c r="S166" s="37"/>
      <c r="T166" s="37">
        <f t="shared" si="24"/>
        <v>142</v>
      </c>
      <c r="U166" s="54">
        <v>41254</v>
      </c>
      <c r="V166">
        <v>1427.84</v>
      </c>
      <c r="W166" s="59"/>
      <c r="X166" s="40"/>
      <c r="Y166" s="40"/>
      <c r="Z166" s="44"/>
      <c r="AA166" s="44"/>
      <c r="AB166" s="44"/>
      <c r="AC166" s="44"/>
      <c r="AD166" s="44"/>
    </row>
    <row r="167" spans="1:30" x14ac:dyDescent="0.2">
      <c r="A167" s="11">
        <f t="shared" si="18"/>
        <v>164</v>
      </c>
      <c r="B167" s="15">
        <f t="shared" si="19"/>
        <v>0.65079365079364893</v>
      </c>
      <c r="C167" s="17">
        <v>4.3038789552882371E-3</v>
      </c>
      <c r="D167" s="17">
        <v>2.0950313006112661E-2</v>
      </c>
      <c r="E167" s="16">
        <v>-1.201935612375181</v>
      </c>
      <c r="F167" s="16">
        <v>-0.79722189006766819</v>
      </c>
      <c r="G167" s="29">
        <v>0</v>
      </c>
      <c r="H167" s="16">
        <v>0</v>
      </c>
      <c r="I167" s="16">
        <f t="shared" si="20"/>
        <v>0.19600898237253439</v>
      </c>
      <c r="J167" s="17">
        <f t="shared" si="21"/>
        <v>4.8176459294584377E-4</v>
      </c>
      <c r="K167" s="19">
        <f t="shared" si="22"/>
        <v>3.2966912526529989E-5</v>
      </c>
      <c r="L167" s="18">
        <f t="shared" si="23"/>
        <v>1566.6940139782232</v>
      </c>
      <c r="M167" s="31"/>
      <c r="N167" s="36"/>
      <c r="O167" s="38"/>
      <c r="P167" s="37"/>
      <c r="Q167" s="37"/>
      <c r="R167" s="37"/>
      <c r="S167" s="37"/>
      <c r="T167" s="37">
        <f t="shared" si="24"/>
        <v>143</v>
      </c>
      <c r="U167" s="54">
        <v>41255</v>
      </c>
      <c r="V167">
        <v>1428.48</v>
      </c>
      <c r="W167" s="59"/>
      <c r="X167" s="40"/>
      <c r="Y167" s="40"/>
      <c r="Z167" s="44"/>
      <c r="AA167" s="44"/>
      <c r="AB167" s="44"/>
      <c r="AC167" s="44"/>
      <c r="AD167" s="44"/>
    </row>
    <row r="168" spans="1:30" x14ac:dyDescent="0.2">
      <c r="A168" s="11">
        <f t="shared" si="18"/>
        <v>165</v>
      </c>
      <c r="B168" s="15">
        <f t="shared" si="19"/>
        <v>0.65476190476190288</v>
      </c>
      <c r="C168" s="17">
        <v>4.3038789552882371E-3</v>
      </c>
      <c r="D168" s="17">
        <v>2.0950313006112661E-2</v>
      </c>
      <c r="E168" s="16">
        <v>-1.0507346027797759</v>
      </c>
      <c r="F168" s="16">
        <v>-0.17288650945220102</v>
      </c>
      <c r="G168" s="29">
        <v>0</v>
      </c>
      <c r="H168" s="16">
        <v>0</v>
      </c>
      <c r="I168" s="16">
        <f t="shared" si="20"/>
        <v>0.56464830213445483</v>
      </c>
      <c r="J168" s="17">
        <f t="shared" si="21"/>
        <v>0</v>
      </c>
      <c r="K168" s="19">
        <f t="shared" si="22"/>
        <v>8.1273083352036146E-4</v>
      </c>
      <c r="L168" s="18">
        <f t="shared" si="23"/>
        <v>1567.9678320755806</v>
      </c>
      <c r="M168" s="31"/>
      <c r="N168" s="36"/>
      <c r="O168" s="38"/>
      <c r="P168" s="37"/>
      <c r="Q168" s="37"/>
      <c r="R168" s="37"/>
      <c r="S168" s="37"/>
      <c r="T168" s="37">
        <f t="shared" si="24"/>
        <v>144</v>
      </c>
      <c r="U168" s="54">
        <v>41256</v>
      </c>
      <c r="V168">
        <v>1419.45</v>
      </c>
      <c r="W168" s="59"/>
      <c r="X168" s="40"/>
      <c r="Y168" s="40"/>
      <c r="Z168" s="44"/>
      <c r="AA168" s="44"/>
      <c r="AB168" s="44"/>
      <c r="AC168" s="44"/>
      <c r="AD168" s="44"/>
    </row>
    <row r="169" spans="1:30" x14ac:dyDescent="0.2">
      <c r="A169" s="11">
        <f t="shared" si="18"/>
        <v>166</v>
      </c>
      <c r="B169" s="15">
        <f t="shared" si="19"/>
        <v>0.65873015873015683</v>
      </c>
      <c r="C169" s="17">
        <v>4.3038789552882371E-3</v>
      </c>
      <c r="D169" s="17">
        <v>2.0950313006112661E-2</v>
      </c>
      <c r="E169" s="16">
        <v>-0.67114992541491258</v>
      </c>
      <c r="F169" s="16">
        <v>0.2760158263093917</v>
      </c>
      <c r="G169" s="29">
        <v>0</v>
      </c>
      <c r="H169" s="16">
        <v>0</v>
      </c>
      <c r="I169" s="16">
        <f t="shared" si="20"/>
        <v>0.65069309373360351</v>
      </c>
      <c r="J169" s="17">
        <f t="shared" si="21"/>
        <v>0</v>
      </c>
      <c r="K169" s="19">
        <f t="shared" si="22"/>
        <v>3.2966912526529989E-5</v>
      </c>
      <c r="L169" s="18">
        <f t="shared" si="23"/>
        <v>1568.0195239860018</v>
      </c>
      <c r="M169" s="31"/>
      <c r="N169" s="36"/>
      <c r="O169" s="38"/>
      <c r="P169" s="37"/>
      <c r="Q169" s="37"/>
      <c r="R169" s="37"/>
      <c r="S169" s="37"/>
      <c r="T169" s="37">
        <f t="shared" si="24"/>
        <v>145</v>
      </c>
      <c r="U169" s="54">
        <v>41257</v>
      </c>
      <c r="V169">
        <v>1413.58</v>
      </c>
      <c r="W169" s="59"/>
      <c r="X169" s="40"/>
      <c r="Y169" s="40"/>
      <c r="Z169" s="44"/>
      <c r="AA169" s="44"/>
      <c r="AB169" s="44"/>
      <c r="AC169" s="44"/>
      <c r="AD169" s="44"/>
    </row>
    <row r="170" spans="1:30" x14ac:dyDescent="0.2">
      <c r="A170" s="11">
        <f t="shared" si="18"/>
        <v>167</v>
      </c>
      <c r="B170" s="15">
        <f t="shared" si="19"/>
        <v>0.66269841269841079</v>
      </c>
      <c r="C170" s="17">
        <v>4.3038789552882371E-3</v>
      </c>
      <c r="D170" s="17">
        <v>2.0950313006112661E-2</v>
      </c>
      <c r="E170" s="16">
        <v>-0.72725093580128297</v>
      </c>
      <c r="F170" s="16">
        <v>-0.27913405448126866</v>
      </c>
      <c r="G170" s="29">
        <v>0</v>
      </c>
      <c r="H170" s="16">
        <v>0</v>
      </c>
      <c r="I170" s="16">
        <f t="shared" si="20"/>
        <v>0.27112868921708178</v>
      </c>
      <c r="J170" s="17">
        <f t="shared" si="21"/>
        <v>0</v>
      </c>
      <c r="K170" s="19">
        <f t="shared" si="22"/>
        <v>3.2966912526529989E-5</v>
      </c>
      <c r="L170" s="18">
        <f t="shared" si="23"/>
        <v>1568.0712176005736</v>
      </c>
      <c r="M170" s="31"/>
      <c r="N170" s="36"/>
      <c r="O170" s="38"/>
      <c r="P170" s="37"/>
      <c r="Q170" s="37"/>
      <c r="R170" s="37"/>
      <c r="S170" s="37"/>
      <c r="T170" s="37">
        <f t="shared" si="24"/>
        <v>146</v>
      </c>
      <c r="U170" s="54">
        <v>41260</v>
      </c>
      <c r="V170">
        <v>1430.36</v>
      </c>
      <c r="W170" s="59"/>
      <c r="X170" s="40"/>
      <c r="Y170" s="40"/>
      <c r="Z170" s="44"/>
      <c r="AA170" s="44"/>
      <c r="AB170" s="44"/>
      <c r="AC170" s="44"/>
      <c r="AD170" s="44"/>
    </row>
    <row r="171" spans="1:30" x14ac:dyDescent="0.2">
      <c r="A171" s="11">
        <f t="shared" si="18"/>
        <v>168</v>
      </c>
      <c r="B171" s="15">
        <f t="shared" si="19"/>
        <v>0.66666666666666474</v>
      </c>
      <c r="C171" s="17">
        <v>4.3038789552882371E-3</v>
      </c>
      <c r="D171" s="17">
        <v>2.0950313006112661E-2</v>
      </c>
      <c r="E171" s="16">
        <v>0.27370412196740129</v>
      </c>
      <c r="F171" s="16">
        <v>-0.53394909217800657</v>
      </c>
      <c r="G171" s="29">
        <v>0</v>
      </c>
      <c r="H171" s="16">
        <v>0</v>
      </c>
      <c r="I171" s="16">
        <f t="shared" si="20"/>
        <v>-0.58161173033942248</v>
      </c>
      <c r="J171" s="17">
        <f t="shared" si="21"/>
        <v>0</v>
      </c>
      <c r="K171" s="19">
        <f t="shared" si="22"/>
        <v>3.2966912526529989E-5</v>
      </c>
      <c r="L171" s="18">
        <f t="shared" si="23"/>
        <v>1568.1229129193525</v>
      </c>
      <c r="M171" s="31"/>
      <c r="N171" s="36"/>
      <c r="O171" s="38"/>
      <c r="P171" s="37"/>
      <c r="Q171" s="37"/>
      <c r="R171" s="37"/>
      <c r="S171" s="37"/>
      <c r="T171" s="37">
        <f t="shared" si="24"/>
        <v>147</v>
      </c>
      <c r="U171" s="54">
        <v>41261</v>
      </c>
      <c r="V171">
        <v>1446.79</v>
      </c>
      <c r="W171" s="59"/>
      <c r="X171" s="40"/>
      <c r="Y171" s="40"/>
      <c r="Z171" s="44"/>
      <c r="AA171" s="44"/>
      <c r="AB171" s="44"/>
      <c r="AC171" s="44"/>
      <c r="AD171" s="44"/>
    </row>
    <row r="172" spans="1:30" x14ac:dyDescent="0.2">
      <c r="A172" s="11">
        <f t="shared" si="18"/>
        <v>169</v>
      </c>
      <c r="B172" s="15">
        <f t="shared" si="19"/>
        <v>0.6706349206349187</v>
      </c>
      <c r="C172" s="17">
        <v>4.3038789552882371E-3</v>
      </c>
      <c r="D172" s="17">
        <v>2.0950313006112661E-2</v>
      </c>
      <c r="E172" s="16">
        <v>-0.71808691888952614</v>
      </c>
      <c r="F172" s="16">
        <v>0.85594929179962331</v>
      </c>
      <c r="G172" s="29">
        <v>0</v>
      </c>
      <c r="H172" s="16">
        <v>0</v>
      </c>
      <c r="I172" s="16">
        <f t="shared" si="20"/>
        <v>1.1169523625023126</v>
      </c>
      <c r="J172" s="17">
        <f t="shared" si="21"/>
        <v>0</v>
      </c>
      <c r="K172" s="19">
        <f t="shared" si="22"/>
        <v>3.2966912526529989E-5</v>
      </c>
      <c r="L172" s="18">
        <f t="shared" si="23"/>
        <v>1568.1746099423945</v>
      </c>
      <c r="M172" s="31"/>
      <c r="N172" s="36"/>
      <c r="O172" s="38"/>
      <c r="P172" s="37"/>
      <c r="Q172" s="37"/>
      <c r="R172" s="37"/>
      <c r="S172" s="37"/>
      <c r="T172" s="37">
        <f t="shared" si="24"/>
        <v>148</v>
      </c>
      <c r="U172" s="54">
        <v>41262</v>
      </c>
      <c r="V172">
        <v>1435.81</v>
      </c>
      <c r="W172" s="59"/>
      <c r="X172" s="40"/>
      <c r="Y172" s="40"/>
      <c r="Z172" s="44"/>
      <c r="AA172" s="44"/>
      <c r="AB172" s="44"/>
      <c r="AC172" s="44"/>
      <c r="AD172" s="44"/>
    </row>
    <row r="173" spans="1:30" x14ac:dyDescent="0.2">
      <c r="A173" s="11">
        <f t="shared" si="18"/>
        <v>170</v>
      </c>
      <c r="B173" s="15">
        <f t="shared" si="19"/>
        <v>0.67460317460317265</v>
      </c>
      <c r="C173" s="17">
        <v>4.3038789552882371E-3</v>
      </c>
      <c r="D173" s="17">
        <v>2.0950313006112661E-2</v>
      </c>
      <c r="E173" s="16">
        <v>-0.76988782920565801</v>
      </c>
      <c r="F173" s="16">
        <v>0.4387992366095822</v>
      </c>
      <c r="G173" s="29">
        <v>0</v>
      </c>
      <c r="H173" s="16">
        <v>0</v>
      </c>
      <c r="I173" s="16">
        <f t="shared" si="20"/>
        <v>0.83811499930955446</v>
      </c>
      <c r="J173" s="17">
        <f t="shared" si="21"/>
        <v>0</v>
      </c>
      <c r="K173" s="19">
        <f t="shared" si="22"/>
        <v>3.2966912526529989E-5</v>
      </c>
      <c r="L173" s="18">
        <f t="shared" si="23"/>
        <v>1568.2263086697558</v>
      </c>
      <c r="M173" s="31"/>
      <c r="N173" s="36"/>
      <c r="O173" s="38"/>
      <c r="P173" s="37"/>
      <c r="Q173" s="37"/>
      <c r="R173" s="37"/>
      <c r="S173" s="37"/>
      <c r="T173" s="37">
        <f t="shared" si="24"/>
        <v>149</v>
      </c>
      <c r="U173" s="54">
        <v>41263</v>
      </c>
      <c r="V173">
        <v>1443.69</v>
      </c>
      <c r="W173" s="59"/>
      <c r="X173" s="40"/>
      <c r="Y173" s="40"/>
      <c r="Z173" s="44"/>
      <c r="AA173" s="44"/>
      <c r="AB173" s="44"/>
      <c r="AC173" s="44"/>
      <c r="AD173" s="44"/>
    </row>
    <row r="174" spans="1:30" x14ac:dyDescent="0.2">
      <c r="A174" s="80">
        <f t="shared" si="18"/>
        <v>171</v>
      </c>
      <c r="B174" s="81">
        <f t="shared" si="19"/>
        <v>0.6785714285714266</v>
      </c>
      <c r="C174" s="17">
        <v>4.3038789552882371E-3</v>
      </c>
      <c r="D174" s="17">
        <v>2.0950313006112661E-2</v>
      </c>
      <c r="E174" s="16">
        <v>-1.724104931997972</v>
      </c>
      <c r="F174" s="16">
        <v>2.8824092689275837E-2</v>
      </c>
      <c r="G174" s="29">
        <v>0</v>
      </c>
      <c r="H174" s="16">
        <v>0</v>
      </c>
      <c r="I174" s="16">
        <f t="shared" si="20"/>
        <v>1.1610427344569196</v>
      </c>
      <c r="J174" s="17">
        <f t="shared" si="21"/>
        <v>1.5572658268476021E-3</v>
      </c>
      <c r="K174" s="19">
        <f t="shared" si="22"/>
        <v>3.2966912526529989E-5</v>
      </c>
      <c r="L174" s="18">
        <f t="shared" si="23"/>
        <v>1568.2780091014927</v>
      </c>
      <c r="M174" s="31"/>
      <c r="N174" s="36"/>
      <c r="O174" s="38"/>
      <c r="P174" s="37"/>
      <c r="Q174" s="37"/>
      <c r="R174" s="37"/>
      <c r="S174" s="37"/>
      <c r="T174" s="37">
        <f t="shared" si="24"/>
        <v>150</v>
      </c>
      <c r="U174" s="54">
        <v>41264</v>
      </c>
      <c r="V174">
        <v>1430.15</v>
      </c>
      <c r="W174" s="59"/>
      <c r="X174" s="40"/>
      <c r="Y174" s="40"/>
      <c r="Z174" s="44"/>
      <c r="AA174" s="44"/>
      <c r="AB174" s="44"/>
      <c r="AC174" s="44"/>
      <c r="AD174" s="44"/>
    </row>
    <row r="175" spans="1:30" x14ac:dyDescent="0.2">
      <c r="A175" s="11">
        <f t="shared" si="18"/>
        <v>172</v>
      </c>
      <c r="B175" s="15">
        <f t="shared" si="19"/>
        <v>0.68253968253968056</v>
      </c>
      <c r="C175" s="17">
        <v>4.0870053892759261E-3</v>
      </c>
      <c r="D175" s="17">
        <v>1.5977558870727267E-2</v>
      </c>
      <c r="E175" s="16">
        <v>1.6782383340890861</v>
      </c>
      <c r="F175" s="16">
        <v>0.34818080043944644</v>
      </c>
      <c r="G175" s="29">
        <v>0</v>
      </c>
      <c r="H175" s="16">
        <v>0</v>
      </c>
      <c r="I175" s="16">
        <f t="shared" si="20"/>
        <v>-0.84778872560649832</v>
      </c>
      <c r="J175" s="17">
        <f t="shared" si="21"/>
        <v>6.5131867748345436E-3</v>
      </c>
      <c r="K175" s="19">
        <f t="shared" si="22"/>
        <v>-2.0587559867526915E-3</v>
      </c>
      <c r="L175" s="18">
        <f t="shared" si="23"/>
        <v>1565.0526286362583</v>
      </c>
      <c r="M175" s="31"/>
      <c r="N175" s="36"/>
      <c r="O175" s="38"/>
      <c r="P175" s="37"/>
      <c r="Q175" s="37"/>
      <c r="R175" s="37"/>
      <c r="S175" s="37"/>
      <c r="T175" s="37">
        <f t="shared" si="24"/>
        <v>151</v>
      </c>
      <c r="U175" s="54">
        <v>41267</v>
      </c>
      <c r="V175">
        <v>1426.66</v>
      </c>
      <c r="W175" s="59"/>
      <c r="X175" s="40"/>
      <c r="Y175" s="40"/>
      <c r="Z175" s="44"/>
      <c r="AA175" s="44"/>
      <c r="AB175" s="44"/>
      <c r="AC175" s="44"/>
      <c r="AD175" s="44"/>
    </row>
    <row r="176" spans="1:30" x14ac:dyDescent="0.2">
      <c r="A176" s="11">
        <f t="shared" si="18"/>
        <v>173</v>
      </c>
      <c r="B176" s="15">
        <f t="shared" si="19"/>
        <v>0.68650793650793451</v>
      </c>
      <c r="C176" s="17">
        <v>4.0870053892759261E-3</v>
      </c>
      <c r="D176" s="17">
        <v>1.5977558870727267E-2</v>
      </c>
      <c r="E176" s="16">
        <v>0.29720753542844841</v>
      </c>
      <c r="F176" s="16">
        <v>-1.1921240956906114</v>
      </c>
      <c r="G176" s="29">
        <v>0</v>
      </c>
      <c r="H176" s="16">
        <v>0</v>
      </c>
      <c r="I176" s="16">
        <f t="shared" si="20"/>
        <v>-1.0911046991128355</v>
      </c>
      <c r="J176" s="17">
        <f t="shared" si="21"/>
        <v>7.2892184425298479E-3</v>
      </c>
      <c r="K176" s="19">
        <f t="shared" si="22"/>
        <v>-5.508144282316726E-3</v>
      </c>
      <c r="L176" s="18">
        <f t="shared" si="23"/>
        <v>1556.4557909947732</v>
      </c>
      <c r="M176" s="31"/>
      <c r="N176" s="36"/>
      <c r="O176" s="38"/>
      <c r="P176" s="37"/>
      <c r="Q176" s="37"/>
      <c r="R176" s="37"/>
      <c r="S176" s="37"/>
      <c r="T176" s="37">
        <f t="shared" si="24"/>
        <v>152</v>
      </c>
      <c r="U176" s="54">
        <v>41269</v>
      </c>
      <c r="V176">
        <v>1419.83</v>
      </c>
      <c r="W176" s="59"/>
      <c r="X176" s="40"/>
      <c r="Y176" s="40"/>
      <c r="Z176" s="44"/>
      <c r="AA176" s="44"/>
      <c r="AB176" s="44"/>
      <c r="AC176" s="44"/>
      <c r="AD176" s="44"/>
    </row>
    <row r="177" spans="1:30" x14ac:dyDescent="0.2">
      <c r="A177" s="11">
        <f t="shared" si="18"/>
        <v>174</v>
      </c>
      <c r="B177" s="15">
        <f t="shared" si="19"/>
        <v>0.69047619047618847</v>
      </c>
      <c r="C177" s="17">
        <v>4.0870053892759261E-3</v>
      </c>
      <c r="D177" s="17">
        <v>1.5977558870727267E-2</v>
      </c>
      <c r="E177" s="16">
        <v>2.8391074136056318</v>
      </c>
      <c r="F177" s="16">
        <v>-1.1717003277736797</v>
      </c>
      <c r="G177" s="29">
        <v>0</v>
      </c>
      <c r="H177" s="16">
        <v>0</v>
      </c>
      <c r="I177" s="16">
        <f t="shared" si="20"/>
        <v>-2.7556435554050207</v>
      </c>
      <c r="J177" s="17">
        <f t="shared" si="21"/>
        <v>2.5263498054069349E-2</v>
      </c>
      <c r="K177" s="19">
        <f t="shared" si="22"/>
        <v>-1.4783136831974979E-2</v>
      </c>
      <c r="L177" s="18">
        <f t="shared" si="23"/>
        <v>1533.6157318793423</v>
      </c>
      <c r="M177" s="31"/>
      <c r="N177" s="36"/>
      <c r="O177" s="38"/>
      <c r="P177" s="37"/>
      <c r="Q177" s="37"/>
      <c r="R177" s="37"/>
      <c r="S177" s="37"/>
      <c r="T177" s="37">
        <f t="shared" si="24"/>
        <v>153</v>
      </c>
      <c r="U177" s="54">
        <v>41270</v>
      </c>
      <c r="V177">
        <v>1418.1</v>
      </c>
      <c r="W177" s="59"/>
      <c r="X177" s="40"/>
      <c r="Y177" s="40"/>
      <c r="Z177" s="44"/>
      <c r="AA177" s="44"/>
      <c r="AB177" s="44"/>
      <c r="AC177" s="44"/>
      <c r="AD177" s="44"/>
    </row>
    <row r="178" spans="1:30" x14ac:dyDescent="0.2">
      <c r="A178" s="11">
        <f t="shared" si="18"/>
        <v>175</v>
      </c>
      <c r="B178" s="15">
        <f t="shared" si="19"/>
        <v>0.69444444444444242</v>
      </c>
      <c r="C178" s="17">
        <v>4.0870053892759261E-3</v>
      </c>
      <c r="D178" s="17">
        <v>1.5977558870727267E-2</v>
      </c>
      <c r="E178" s="16">
        <v>8.3056132703154106E-3</v>
      </c>
      <c r="F178" s="16">
        <v>-2.7721329433449751E-2</v>
      </c>
      <c r="G178" s="29">
        <v>0</v>
      </c>
      <c r="H178" s="16">
        <v>0</v>
      </c>
      <c r="I178" s="16">
        <f t="shared" si="20"/>
        <v>-2.6293789711680834E-2</v>
      </c>
      <c r="J178" s="17">
        <f t="shared" si="21"/>
        <v>2.4706283339968646E-2</v>
      </c>
      <c r="K178" s="19">
        <f t="shared" si="22"/>
        <v>-2.6155549316263856E-4</v>
      </c>
      <c r="L178" s="18">
        <f t="shared" si="23"/>
        <v>1533.2146587139998</v>
      </c>
      <c r="M178" s="31"/>
      <c r="N178" s="36"/>
      <c r="O178" s="38"/>
      <c r="P178" s="37"/>
      <c r="Q178" s="37"/>
      <c r="R178" s="37"/>
      <c r="S178" s="37"/>
      <c r="T178" s="37">
        <f t="shared" si="24"/>
        <v>154</v>
      </c>
      <c r="U178" s="54">
        <v>41271</v>
      </c>
      <c r="V178">
        <v>1402.43</v>
      </c>
      <c r="W178" s="59"/>
      <c r="X178" s="40"/>
      <c r="Y178" s="40"/>
      <c r="Z178" s="44"/>
      <c r="AA178" s="44"/>
      <c r="AB178" s="44"/>
      <c r="AC178" s="44"/>
      <c r="AD178" s="44"/>
    </row>
    <row r="179" spans="1:30" x14ac:dyDescent="0.2">
      <c r="A179" s="11">
        <f t="shared" si="18"/>
        <v>176</v>
      </c>
      <c r="B179" s="15">
        <f t="shared" si="19"/>
        <v>0.69841269841269638</v>
      </c>
      <c r="C179" s="17">
        <v>4.0870053892759261E-3</v>
      </c>
      <c r="D179" s="17">
        <v>1.5977558870727267E-2</v>
      </c>
      <c r="E179" s="16">
        <v>-0.32162703281399146</v>
      </c>
      <c r="F179" s="16">
        <v>0.15875892743826156</v>
      </c>
      <c r="G179" s="29">
        <v>0</v>
      </c>
      <c r="H179" s="16">
        <v>0</v>
      </c>
      <c r="I179" s="16">
        <f t="shared" si="20"/>
        <v>0.33170240360348802</v>
      </c>
      <c r="J179" s="17">
        <f t="shared" si="21"/>
        <v>2.1471280713356473E-2</v>
      </c>
      <c r="K179" s="19">
        <f t="shared" si="22"/>
        <v>3.287188903329295E-3</v>
      </c>
      <c r="L179" s="18">
        <f t="shared" si="23"/>
        <v>1538.2629176711662</v>
      </c>
      <c r="M179" s="31"/>
      <c r="N179" s="36"/>
      <c r="O179" s="38"/>
      <c r="P179" s="37"/>
      <c r="Q179" s="37"/>
      <c r="R179" s="37"/>
      <c r="S179" s="37"/>
      <c r="T179" s="37">
        <f t="shared" si="24"/>
        <v>155</v>
      </c>
      <c r="U179" s="54">
        <v>41274</v>
      </c>
      <c r="V179">
        <v>1426.19</v>
      </c>
      <c r="W179" s="59"/>
      <c r="X179" s="40"/>
      <c r="Y179" s="40"/>
      <c r="Z179" s="44"/>
      <c r="AA179" s="44"/>
      <c r="AB179" s="44"/>
      <c r="AC179" s="44"/>
      <c r="AD179" s="44"/>
    </row>
    <row r="180" spans="1:30" x14ac:dyDescent="0.2">
      <c r="A180" s="11">
        <f t="shared" si="18"/>
        <v>177</v>
      </c>
      <c r="B180" s="15">
        <f t="shared" si="19"/>
        <v>0.70238095238095033</v>
      </c>
      <c r="C180" s="17">
        <v>4.0870053892759261E-3</v>
      </c>
      <c r="D180" s="17">
        <v>1.5977558870727267E-2</v>
      </c>
      <c r="E180" s="16">
        <v>-0.45841028303118408</v>
      </c>
      <c r="F180" s="16">
        <v>-0.63179874837244154</v>
      </c>
      <c r="G180" s="29">
        <v>0</v>
      </c>
      <c r="H180" s="16">
        <v>0</v>
      </c>
      <c r="I180" s="16">
        <f t="shared" si="20"/>
        <v>-0.171215000172873</v>
      </c>
      <c r="J180" s="17">
        <f t="shared" si="21"/>
        <v>1.7441433932320369E-2</v>
      </c>
      <c r="K180" s="19">
        <f t="shared" si="22"/>
        <v>-1.5711750083028169E-3</v>
      </c>
      <c r="L180" s="18">
        <f t="shared" si="23"/>
        <v>1535.8479350956566</v>
      </c>
      <c r="M180" s="31"/>
      <c r="N180" s="36"/>
      <c r="O180" s="38"/>
      <c r="P180" s="37"/>
      <c r="Q180" s="37"/>
      <c r="R180" s="37"/>
      <c r="S180" s="37"/>
      <c r="T180" s="37">
        <f t="shared" si="24"/>
        <v>156</v>
      </c>
      <c r="U180" s="54">
        <v>41276</v>
      </c>
      <c r="V180">
        <v>1462.42</v>
      </c>
      <c r="W180" s="59"/>
      <c r="X180" s="40"/>
      <c r="Y180" s="40"/>
      <c r="Z180" s="44"/>
      <c r="AA180" s="44"/>
      <c r="AB180" s="44"/>
      <c r="AC180" s="44"/>
      <c r="AD180" s="44"/>
    </row>
    <row r="181" spans="1:30" x14ac:dyDescent="0.2">
      <c r="A181" s="11">
        <f t="shared" si="18"/>
        <v>178</v>
      </c>
      <c r="B181" s="15">
        <f t="shared" si="19"/>
        <v>0.70634920634920428</v>
      </c>
      <c r="C181" s="17">
        <v>4.0870053892759261E-3</v>
      </c>
      <c r="D181" s="17">
        <v>1.5977558870727267E-2</v>
      </c>
      <c r="E181" s="16">
        <v>-0.17667173361341634</v>
      </c>
      <c r="F181" s="16">
        <v>-0.20458061236295649</v>
      </c>
      <c r="G181" s="29">
        <v>0</v>
      </c>
      <c r="H181" s="16">
        <v>0</v>
      </c>
      <c r="I181" s="16">
        <f t="shared" si="20"/>
        <v>-3.6780568600058045E-2</v>
      </c>
      <c r="J181" s="17">
        <f t="shared" si="21"/>
        <v>1.5626552105330951E-2</v>
      </c>
      <c r="K181" s="19">
        <f t="shared" si="22"/>
        <v>-2.8875799439813214E-4</v>
      </c>
      <c r="L181" s="18">
        <f t="shared" si="23"/>
        <v>1535.4045107504612</v>
      </c>
      <c r="M181" s="31"/>
      <c r="N181" s="36"/>
      <c r="O181" s="38"/>
      <c r="P181" s="37"/>
      <c r="Q181" s="37"/>
      <c r="R181" s="37"/>
      <c r="S181" s="37"/>
      <c r="T181" s="37">
        <f t="shared" si="24"/>
        <v>157</v>
      </c>
      <c r="U181" s="54">
        <v>41277</v>
      </c>
      <c r="V181">
        <v>1459.37</v>
      </c>
      <c r="W181" s="59"/>
      <c r="X181" s="40"/>
      <c r="Y181" s="40"/>
      <c r="Z181" s="44"/>
      <c r="AA181" s="44"/>
      <c r="AB181" s="44"/>
      <c r="AC181" s="44"/>
      <c r="AD181" s="44"/>
    </row>
    <row r="182" spans="1:30" x14ac:dyDescent="0.2">
      <c r="A182" s="11">
        <f t="shared" si="18"/>
        <v>179</v>
      </c>
      <c r="B182" s="15">
        <f t="shared" si="19"/>
        <v>0.71031746031745824</v>
      </c>
      <c r="C182" s="17">
        <v>4.0870053892759261E-3</v>
      </c>
      <c r="D182" s="17">
        <v>1.5977558870727267E-2</v>
      </c>
      <c r="E182" s="16">
        <v>-0.59297396503277144</v>
      </c>
      <c r="F182" s="16">
        <v>-0.40718469440981914</v>
      </c>
      <c r="G182" s="29">
        <v>0</v>
      </c>
      <c r="H182" s="16">
        <v>0</v>
      </c>
      <c r="I182" s="16">
        <f t="shared" si="20"/>
        <v>8.6286998822469652E-2</v>
      </c>
      <c r="J182" s="17">
        <f t="shared" si="21"/>
        <v>1.134860877457311E-2</v>
      </c>
      <c r="K182" s="19">
        <f t="shared" si="22"/>
        <v>7.003143870190499E-4</v>
      </c>
      <c r="L182" s="18">
        <f t="shared" si="23"/>
        <v>1536.4801532192203</v>
      </c>
      <c r="M182" s="31"/>
      <c r="N182" s="36"/>
      <c r="O182" s="38"/>
      <c r="P182" s="37"/>
      <c r="Q182" s="37"/>
      <c r="R182" s="37"/>
      <c r="S182" s="37"/>
      <c r="T182" s="37">
        <f t="shared" si="24"/>
        <v>158</v>
      </c>
      <c r="U182" s="54">
        <v>41278</v>
      </c>
      <c r="V182">
        <v>1466.47</v>
      </c>
      <c r="W182" s="59"/>
      <c r="X182" s="40"/>
      <c r="Y182" s="40"/>
      <c r="Z182" s="44"/>
      <c r="AA182" s="44"/>
      <c r="AB182" s="44"/>
      <c r="AC182" s="44"/>
      <c r="AD182" s="44"/>
    </row>
    <row r="183" spans="1:30" x14ac:dyDescent="0.2">
      <c r="A183" s="11">
        <f t="shared" si="18"/>
        <v>180</v>
      </c>
      <c r="B183" s="15">
        <f t="shared" si="19"/>
        <v>0.71428571428571219</v>
      </c>
      <c r="C183" s="17">
        <v>4.0870053892759261E-3</v>
      </c>
      <c r="D183" s="17">
        <v>1.5977558870727267E-2</v>
      </c>
      <c r="E183" s="16">
        <v>-0.40686380807764916</v>
      </c>
      <c r="F183" s="16">
        <v>0.41106625190048307</v>
      </c>
      <c r="G183" s="29">
        <v>0</v>
      </c>
      <c r="H183" s="16">
        <v>0</v>
      </c>
      <c r="I183" s="16">
        <f t="shared" si="20"/>
        <v>0.57738949614740553</v>
      </c>
      <c r="J183" s="17">
        <f t="shared" si="21"/>
        <v>8.5886809142591228E-3</v>
      </c>
      <c r="K183" s="19">
        <f t="shared" si="22"/>
        <v>3.9040387731420893E-3</v>
      </c>
      <c r="L183" s="18">
        <f t="shared" si="23"/>
        <v>1542.4903557096141</v>
      </c>
      <c r="M183" s="31"/>
      <c r="N183" s="36"/>
      <c r="O183" s="38"/>
      <c r="P183" s="37"/>
      <c r="Q183" s="37"/>
      <c r="R183" s="37"/>
      <c r="S183" s="37"/>
      <c r="T183" s="37">
        <f t="shared" si="24"/>
        <v>159</v>
      </c>
      <c r="U183" s="54">
        <v>41281</v>
      </c>
      <c r="V183">
        <v>1461.89</v>
      </c>
      <c r="W183" s="59"/>
      <c r="X183" s="40"/>
      <c r="Y183" s="40"/>
      <c r="Z183" s="44"/>
      <c r="AA183" s="44"/>
      <c r="AB183" s="44"/>
      <c r="AC183" s="44"/>
      <c r="AD183" s="44"/>
    </row>
    <row r="184" spans="1:30" x14ac:dyDescent="0.2">
      <c r="A184" s="11">
        <f t="shared" si="18"/>
        <v>181</v>
      </c>
      <c r="B184" s="15">
        <f t="shared" si="19"/>
        <v>0.71825396825396615</v>
      </c>
      <c r="C184" s="17">
        <v>4.0870053892759261E-3</v>
      </c>
      <c r="D184" s="17">
        <v>1.5977558870727267E-2</v>
      </c>
      <c r="E184" s="16">
        <v>0.36101734464157864</v>
      </c>
      <c r="F184" s="16">
        <v>-0.27937888203930578</v>
      </c>
      <c r="G184" s="29">
        <v>0</v>
      </c>
      <c r="H184" s="16">
        <v>0</v>
      </c>
      <c r="I184" s="16">
        <f t="shared" si="20"/>
        <v>-0.4482595626386105</v>
      </c>
      <c r="J184" s="17">
        <f t="shared" si="21"/>
        <v>9.8892840634081675E-3</v>
      </c>
      <c r="K184" s="19">
        <f t="shared" si="22"/>
        <v>-2.5821341150751519E-3</v>
      </c>
      <c r="L184" s="18">
        <f t="shared" si="23"/>
        <v>1538.5125765297487</v>
      </c>
      <c r="M184" s="31"/>
      <c r="N184" s="36"/>
      <c r="O184" s="38"/>
      <c r="P184" s="37"/>
      <c r="Q184" s="37"/>
      <c r="R184" s="37"/>
      <c r="S184" s="37"/>
      <c r="T184" s="37">
        <f t="shared" si="24"/>
        <v>160</v>
      </c>
      <c r="U184" s="54">
        <v>41282</v>
      </c>
      <c r="V184">
        <v>1457.15</v>
      </c>
      <c r="W184" s="59"/>
      <c r="X184" s="40"/>
      <c r="Y184" s="40"/>
      <c r="Z184" s="44"/>
      <c r="AA184" s="44"/>
      <c r="AB184" s="44"/>
      <c r="AC184" s="44"/>
      <c r="AD184" s="44"/>
    </row>
    <row r="185" spans="1:30" x14ac:dyDescent="0.2">
      <c r="A185" s="11">
        <f t="shared" si="18"/>
        <v>182</v>
      </c>
      <c r="B185" s="15">
        <f t="shared" si="19"/>
        <v>0.7222222222222201</v>
      </c>
      <c r="C185" s="17">
        <v>4.0870053892759261E-3</v>
      </c>
      <c r="D185" s="17">
        <v>1.5977558870727267E-2</v>
      </c>
      <c r="E185" s="16">
        <v>0.29178586456230127</v>
      </c>
      <c r="F185" s="16">
        <v>-0.60827858063234952</v>
      </c>
      <c r="G185" s="29">
        <v>0</v>
      </c>
      <c r="H185" s="16">
        <v>0</v>
      </c>
      <c r="I185" s="16">
        <f t="shared" si="20"/>
        <v>-0.64934569371633055</v>
      </c>
      <c r="J185" s="17">
        <f t="shared" si="21"/>
        <v>1.0917692312184557E-2</v>
      </c>
      <c r="K185" s="19">
        <f t="shared" si="22"/>
        <v>-4.0355683566392891E-3</v>
      </c>
      <c r="L185" s="18">
        <f t="shared" si="23"/>
        <v>1532.3163149873787</v>
      </c>
      <c r="M185" s="31"/>
      <c r="N185" s="36"/>
      <c r="O185" s="38"/>
      <c r="P185" s="37"/>
      <c r="Q185" s="37"/>
      <c r="R185" s="37"/>
      <c r="S185" s="37"/>
      <c r="T185" s="37">
        <f t="shared" si="24"/>
        <v>161</v>
      </c>
      <c r="U185" s="54">
        <v>41283</v>
      </c>
      <c r="V185">
        <v>1461.02</v>
      </c>
      <c r="W185" s="59"/>
      <c r="X185" s="40"/>
      <c r="Y185" s="40"/>
      <c r="Z185" s="44"/>
      <c r="AA185" s="44"/>
      <c r="AB185" s="44"/>
      <c r="AC185" s="44"/>
      <c r="AD185" s="44"/>
    </row>
    <row r="186" spans="1:30" x14ac:dyDescent="0.2">
      <c r="A186" s="11">
        <f t="shared" si="18"/>
        <v>183</v>
      </c>
      <c r="B186" s="15">
        <f t="shared" si="19"/>
        <v>0.72619047619047405</v>
      </c>
      <c r="C186" s="17">
        <v>4.0870053892759261E-3</v>
      </c>
      <c r="D186" s="17">
        <v>1.5977558870727267E-2</v>
      </c>
      <c r="E186" s="16">
        <v>-0.60569606636629625</v>
      </c>
      <c r="F186" s="16">
        <v>-0.4124339202607894</v>
      </c>
      <c r="G186" s="29">
        <v>0</v>
      </c>
      <c r="H186" s="16">
        <v>0</v>
      </c>
      <c r="I186" s="16">
        <f t="shared" si="20"/>
        <v>9.0755118219836839E-2</v>
      </c>
      <c r="J186" s="17">
        <f t="shared" si="21"/>
        <v>7.2427356293531826E-3</v>
      </c>
      <c r="K186" s="19">
        <f t="shared" si="22"/>
        <v>6.2753756386132477E-4</v>
      </c>
      <c r="L186" s="18">
        <f t="shared" si="23"/>
        <v>1533.2782028135562</v>
      </c>
      <c r="M186" s="31"/>
      <c r="N186" s="36"/>
      <c r="O186" s="38"/>
      <c r="P186" s="37"/>
      <c r="Q186" s="37"/>
      <c r="R186" s="37"/>
      <c r="S186" s="37"/>
      <c r="T186" s="37">
        <f t="shared" si="24"/>
        <v>162</v>
      </c>
      <c r="U186" s="54">
        <v>41284</v>
      </c>
      <c r="V186">
        <v>1472.12</v>
      </c>
      <c r="W186" s="59"/>
      <c r="X186" s="40"/>
      <c r="Y186" s="40"/>
      <c r="Z186" s="44"/>
      <c r="AA186" s="44"/>
      <c r="AB186" s="44"/>
      <c r="AC186" s="44"/>
      <c r="AD186" s="44"/>
    </row>
    <row r="187" spans="1:30" x14ac:dyDescent="0.2">
      <c r="A187" s="11">
        <f t="shared" si="18"/>
        <v>184</v>
      </c>
      <c r="B187" s="15">
        <f t="shared" si="19"/>
        <v>0.73015873015872801</v>
      </c>
      <c r="C187" s="17">
        <v>4.0870053892759261E-3</v>
      </c>
      <c r="D187" s="17">
        <v>1.5977558870727267E-2</v>
      </c>
      <c r="E187" s="16">
        <v>0.20333933843095756</v>
      </c>
      <c r="F187" s="16">
        <v>0.6980637235708802</v>
      </c>
      <c r="G187" s="29">
        <v>0</v>
      </c>
      <c r="H187" s="16">
        <v>0</v>
      </c>
      <c r="I187" s="16">
        <f t="shared" si="20"/>
        <v>0.38951574295348701</v>
      </c>
      <c r="J187" s="17">
        <f t="shared" si="21"/>
        <v>7.6285258843137027E-3</v>
      </c>
      <c r="K187" s="19">
        <f t="shared" si="22"/>
        <v>2.1256880354520152E-3</v>
      </c>
      <c r="L187" s="18">
        <f t="shared" si="23"/>
        <v>1536.5409404969546</v>
      </c>
      <c r="M187" s="31"/>
      <c r="N187" s="36"/>
      <c r="O187" s="38"/>
      <c r="P187" s="37"/>
      <c r="Q187" s="37"/>
      <c r="R187" s="37"/>
      <c r="S187" s="37"/>
      <c r="T187" s="37">
        <f t="shared" si="24"/>
        <v>163</v>
      </c>
      <c r="U187" s="54">
        <v>41285</v>
      </c>
      <c r="V187">
        <v>1472.05</v>
      </c>
      <c r="W187" s="59"/>
      <c r="X187" s="40"/>
      <c r="Y187" s="40"/>
      <c r="Z187" s="44"/>
      <c r="AA187" s="44"/>
      <c r="AB187" s="44"/>
      <c r="AC187" s="44"/>
      <c r="AD187" s="44"/>
    </row>
    <row r="188" spans="1:30" x14ac:dyDescent="0.2">
      <c r="A188" s="11">
        <f t="shared" si="18"/>
        <v>185</v>
      </c>
      <c r="B188" s="15">
        <f t="shared" si="19"/>
        <v>0.73412698412698196</v>
      </c>
      <c r="C188" s="17">
        <v>4.0870053892759261E-3</v>
      </c>
      <c r="D188" s="17">
        <v>1.5977558870727267E-2</v>
      </c>
      <c r="E188" s="16">
        <v>-1.2541929779920562</v>
      </c>
      <c r="F188" s="16">
        <v>1.2254177641849426</v>
      </c>
      <c r="G188" s="29">
        <v>0</v>
      </c>
      <c r="H188" s="16">
        <v>0</v>
      </c>
      <c r="I188" s="16">
        <f t="shared" si="20"/>
        <v>1.7485351342407069</v>
      </c>
      <c r="J188" s="17">
        <f t="shared" si="21"/>
        <v>2.3601553636554561E-3</v>
      </c>
      <c r="K188" s="19">
        <f t="shared" si="22"/>
        <v>9.657131740453696E-3</v>
      </c>
      <c r="L188" s="18">
        <f t="shared" si="23"/>
        <v>1551.4513990359712</v>
      </c>
      <c r="M188" s="31"/>
      <c r="N188" s="36"/>
      <c r="O188" s="38"/>
      <c r="P188" s="37"/>
      <c r="Q188" s="37"/>
      <c r="R188" s="37"/>
      <c r="S188" s="37"/>
      <c r="T188" s="37">
        <f t="shared" si="24"/>
        <v>164</v>
      </c>
      <c r="U188" s="54">
        <v>41288</v>
      </c>
      <c r="V188">
        <v>1470.68</v>
      </c>
      <c r="W188" s="59"/>
      <c r="X188" s="40"/>
      <c r="Y188" s="40"/>
      <c r="Z188" s="44"/>
      <c r="AA188" s="44"/>
      <c r="AB188" s="44"/>
      <c r="AC188" s="44"/>
      <c r="AD188" s="44"/>
    </row>
    <row r="189" spans="1:30" x14ac:dyDescent="0.2">
      <c r="A189" s="11">
        <f t="shared" si="18"/>
        <v>186</v>
      </c>
      <c r="B189" s="15">
        <f t="shared" si="19"/>
        <v>0.73809523809523592</v>
      </c>
      <c r="C189" s="17">
        <v>4.0870053892759261E-3</v>
      </c>
      <c r="D189" s="17">
        <v>1.5977558870727267E-2</v>
      </c>
      <c r="E189" s="16">
        <v>1.2819468601022064</v>
      </c>
      <c r="F189" s="16">
        <v>0.34604173901166491</v>
      </c>
      <c r="G189" s="29">
        <v>0</v>
      </c>
      <c r="H189" s="16">
        <v>0</v>
      </c>
      <c r="I189" s="16">
        <f t="shared" si="20"/>
        <v>-0.58749670770474394</v>
      </c>
      <c r="J189" s="17">
        <f t="shared" si="21"/>
        <v>6.2778879240349148E-3</v>
      </c>
      <c r="K189" s="19">
        <f t="shared" si="22"/>
        <v>-1.7507845050196559E-3</v>
      </c>
      <c r="L189" s="18">
        <f t="shared" si="23"/>
        <v>1548.7375183695835</v>
      </c>
      <c r="M189" s="31"/>
      <c r="N189" s="36"/>
      <c r="O189" s="38"/>
      <c r="P189" s="37"/>
      <c r="Q189" s="37"/>
      <c r="R189" s="37"/>
      <c r="S189" s="37"/>
      <c r="T189" s="37">
        <f t="shared" si="24"/>
        <v>165</v>
      </c>
      <c r="U189" s="54">
        <v>41289</v>
      </c>
      <c r="V189">
        <v>1472.34</v>
      </c>
      <c r="W189" s="59"/>
      <c r="X189" s="40"/>
      <c r="Y189" s="40"/>
      <c r="Z189" s="44"/>
      <c r="AA189" s="44"/>
      <c r="AB189" s="44"/>
      <c r="AC189" s="44"/>
      <c r="AD189" s="44"/>
    </row>
    <row r="190" spans="1:30" x14ac:dyDescent="0.2">
      <c r="A190" s="11">
        <f t="shared" si="18"/>
        <v>187</v>
      </c>
      <c r="B190" s="15">
        <f t="shared" si="19"/>
        <v>0.74206349206348987</v>
      </c>
      <c r="C190" s="17">
        <v>4.0870053892759261E-3</v>
      </c>
      <c r="D190" s="17">
        <v>1.5977558870727267E-2</v>
      </c>
      <c r="E190" s="16">
        <v>0.38733719379954734</v>
      </c>
      <c r="F190" s="16">
        <v>-2.782505136602857</v>
      </c>
      <c r="G190" s="29">
        <v>0</v>
      </c>
      <c r="H190" s="16">
        <v>0</v>
      </c>
      <c r="I190" s="16">
        <f t="shared" si="20"/>
        <v>-2.3442495030652171</v>
      </c>
      <c r="J190" s="17">
        <f t="shared" si="21"/>
        <v>7.4539407444735566E-3</v>
      </c>
      <c r="K190" s="19">
        <f t="shared" si="22"/>
        <v>-1.1661276176788138E-2</v>
      </c>
      <c r="L190" s="18">
        <f t="shared" si="23"/>
        <v>1530.7821571274023</v>
      </c>
      <c r="M190" s="31"/>
      <c r="N190" s="36"/>
      <c r="O190" s="38"/>
      <c r="P190" s="37"/>
      <c r="Q190" s="37"/>
      <c r="R190" s="37"/>
      <c r="S190" s="37"/>
      <c r="T190" s="37">
        <f t="shared" si="24"/>
        <v>166</v>
      </c>
      <c r="U190" s="54">
        <v>41290</v>
      </c>
      <c r="V190">
        <v>1472.63</v>
      </c>
      <c r="W190" s="59"/>
      <c r="X190" s="40"/>
      <c r="Y190" s="40"/>
      <c r="Z190" s="44"/>
      <c r="AA190" s="44"/>
      <c r="AB190" s="44"/>
      <c r="AC190" s="44"/>
      <c r="AD190" s="44"/>
    </row>
    <row r="191" spans="1:30" x14ac:dyDescent="0.2">
      <c r="A191" s="11">
        <f t="shared" si="18"/>
        <v>188</v>
      </c>
      <c r="B191" s="15">
        <f t="shared" si="19"/>
        <v>0.74603174603174383</v>
      </c>
      <c r="C191" s="17">
        <v>4.0870053892759261E-3</v>
      </c>
      <c r="D191" s="17">
        <v>1.5977558870727267E-2</v>
      </c>
      <c r="E191" s="16">
        <v>-1.5377315137282577</v>
      </c>
      <c r="F191" s="16">
        <v>1.5458679030482796</v>
      </c>
      <c r="G191" s="29">
        <v>0</v>
      </c>
      <c r="H191" s="16">
        <v>0</v>
      </c>
      <c r="I191" s="16">
        <f t="shared" si="20"/>
        <v>2.1764152030030912</v>
      </c>
      <c r="J191" s="17">
        <f t="shared" si="21"/>
        <v>1.5113797725442523E-3</v>
      </c>
      <c r="K191" s="19">
        <f t="shared" si="22"/>
        <v>1.1873853675388965E-2</v>
      </c>
      <c r="L191" s="18">
        <f t="shared" si="23"/>
        <v>1549.0667801128068</v>
      </c>
      <c r="M191" s="31"/>
      <c r="N191" s="36"/>
      <c r="O191" s="38"/>
      <c r="P191" s="37"/>
      <c r="Q191" s="37"/>
      <c r="R191" s="37"/>
      <c r="S191" s="37"/>
      <c r="T191" s="37">
        <f t="shared" si="24"/>
        <v>167</v>
      </c>
      <c r="U191" s="54">
        <v>41291</v>
      </c>
      <c r="V191">
        <v>1480.94</v>
      </c>
      <c r="W191" s="59"/>
      <c r="X191" s="40"/>
      <c r="Y191" s="40"/>
      <c r="Z191" s="44"/>
      <c r="AA191" s="44"/>
      <c r="AB191" s="44"/>
      <c r="AC191" s="44"/>
      <c r="AD191" s="44"/>
    </row>
    <row r="192" spans="1:30" x14ac:dyDescent="0.2">
      <c r="A192" s="80">
        <f t="shared" si="18"/>
        <v>189</v>
      </c>
      <c r="B192" s="81">
        <f t="shared" si="19"/>
        <v>0.74999999999999778</v>
      </c>
      <c r="C192" s="17">
        <v>4.0870053892759261E-3</v>
      </c>
      <c r="D192" s="17">
        <v>1.5977558870727267E-2</v>
      </c>
      <c r="E192" s="16">
        <v>6.8338624361623072E-4</v>
      </c>
      <c r="F192" s="16">
        <v>-0.23338160919335099</v>
      </c>
      <c r="G192" s="29">
        <v>0</v>
      </c>
      <c r="H192" s="16">
        <v>0</v>
      </c>
      <c r="I192" s="16">
        <f t="shared" si="20"/>
        <v>-0.17560449698738978</v>
      </c>
      <c r="J192" s="17">
        <f t="shared" si="21"/>
        <v>9.7213249498537561E-4</v>
      </c>
      <c r="K192" s="19">
        <f t="shared" si="22"/>
        <v>-3.812124973063367E-4</v>
      </c>
      <c r="L192" s="18">
        <f t="shared" si="23"/>
        <v>1548.4763690402553</v>
      </c>
      <c r="M192" s="31"/>
      <c r="N192" s="36"/>
      <c r="O192" s="38"/>
      <c r="P192" s="37"/>
      <c r="Q192" s="37"/>
      <c r="R192" s="37"/>
      <c r="S192" s="37"/>
      <c r="T192" s="37">
        <f t="shared" si="24"/>
        <v>168</v>
      </c>
      <c r="U192" s="54">
        <v>41292</v>
      </c>
      <c r="V192">
        <v>1485.98</v>
      </c>
      <c r="W192" s="59"/>
      <c r="X192" s="40"/>
      <c r="Y192" s="40"/>
      <c r="Z192" s="44"/>
      <c r="AA192" s="44"/>
      <c r="AB192" s="44"/>
      <c r="AC192" s="44"/>
      <c r="AD192" s="44"/>
    </row>
    <row r="193" spans="1:30" x14ac:dyDescent="0.2">
      <c r="A193" s="11">
        <f t="shared" si="18"/>
        <v>190</v>
      </c>
      <c r="B193" s="15">
        <f t="shared" si="19"/>
        <v>0.75396825396825173</v>
      </c>
      <c r="C193" s="17">
        <v>4.0870148115876997E-3</v>
      </c>
      <c r="D193" s="17">
        <v>2.4613299486996615E-2</v>
      </c>
      <c r="E193" s="16">
        <v>1.1922734064572642</v>
      </c>
      <c r="F193" s="16">
        <v>0.5754604802816442</v>
      </c>
      <c r="G193" s="29">
        <v>0</v>
      </c>
      <c r="H193" s="16">
        <v>0</v>
      </c>
      <c r="I193" s="16">
        <f t="shared" si="20"/>
        <v>-0.35605542355375042</v>
      </c>
      <c r="J193" s="17">
        <f t="shared" si="21"/>
        <v>3.4066173350642548E-3</v>
      </c>
      <c r="K193" s="19">
        <f t="shared" si="22"/>
        <v>-6.8368478277420998E-4</v>
      </c>
      <c r="L193" s="18">
        <f t="shared" si="23"/>
        <v>1547.4180611259885</v>
      </c>
      <c r="M193" s="31"/>
      <c r="N193" s="36"/>
      <c r="O193" s="38"/>
      <c r="P193" s="37"/>
      <c r="Q193" s="37"/>
      <c r="R193" s="37"/>
      <c r="S193" s="37"/>
      <c r="T193" s="37">
        <f t="shared" si="24"/>
        <v>169</v>
      </c>
      <c r="U193" s="57">
        <v>41296</v>
      </c>
      <c r="V193" s="58">
        <v>1492.56</v>
      </c>
      <c r="W193" s="59"/>
      <c r="X193" s="40"/>
      <c r="Y193" s="40"/>
      <c r="Z193" s="44"/>
      <c r="AA193" s="44"/>
      <c r="AB193" s="44"/>
      <c r="AC193" s="44"/>
      <c r="AD193" s="44"/>
    </row>
    <row r="194" spans="1:30" x14ac:dyDescent="0.2">
      <c r="A194" s="11">
        <f t="shared" si="18"/>
        <v>191</v>
      </c>
      <c r="B194" s="15">
        <f t="shared" si="19"/>
        <v>0.75793650793650569</v>
      </c>
      <c r="C194" s="17">
        <v>4.0870148115876997E-3</v>
      </c>
      <c r="D194" s="17">
        <v>2.4613299486996615E-2</v>
      </c>
      <c r="E194" s="16">
        <v>0.92270972795312989</v>
      </c>
      <c r="F194" s="16">
        <v>-1.2842544758786743</v>
      </c>
      <c r="G194" s="29">
        <v>0</v>
      </c>
      <c r="H194" s="16">
        <v>0</v>
      </c>
      <c r="I194" s="16">
        <f t="shared" si="20"/>
        <v>-1.5736245451201549</v>
      </c>
      <c r="J194" s="17">
        <f t="shared" si="21"/>
        <v>6.3160509336004107E-3</v>
      </c>
      <c r="K194" s="19">
        <f t="shared" si="22"/>
        <v>-5.774976618084929E-3</v>
      </c>
      <c r="L194" s="18">
        <f t="shared" si="23"/>
        <v>1538.5075118755228</v>
      </c>
      <c r="M194" s="31"/>
      <c r="N194" s="36"/>
      <c r="O194" s="38"/>
      <c r="P194" s="37"/>
      <c r="Q194" s="37"/>
      <c r="R194" s="37"/>
      <c r="S194" s="37"/>
      <c r="T194" s="37">
        <f t="shared" si="24"/>
        <v>170</v>
      </c>
      <c r="U194" s="54">
        <v>41297</v>
      </c>
      <c r="V194">
        <v>1494.81</v>
      </c>
      <c r="W194" s="59"/>
      <c r="X194" s="40"/>
      <c r="Y194" s="40"/>
      <c r="Z194" s="44"/>
      <c r="AA194" s="44"/>
      <c r="AB194" s="44"/>
      <c r="AC194" s="44"/>
      <c r="AD194" s="44"/>
    </row>
    <row r="195" spans="1:30" x14ac:dyDescent="0.2">
      <c r="A195" s="11">
        <f t="shared" si="18"/>
        <v>192</v>
      </c>
      <c r="B195" s="15">
        <f t="shared" si="19"/>
        <v>0.76190476190475964</v>
      </c>
      <c r="C195" s="17">
        <v>4.0870148115876997E-3</v>
      </c>
      <c r="D195" s="17">
        <v>2.4613299486996615E-2</v>
      </c>
      <c r="E195" s="16">
        <v>-2.3580185643888529</v>
      </c>
      <c r="F195" s="16">
        <v>9.0413227030547647E-2</v>
      </c>
      <c r="G195" s="29">
        <v>0</v>
      </c>
      <c r="H195" s="16">
        <v>0</v>
      </c>
      <c r="I195" s="16">
        <f t="shared" si="20"/>
        <v>1.6262002527497554</v>
      </c>
      <c r="J195" s="17">
        <f t="shared" si="21"/>
        <v>0</v>
      </c>
      <c r="K195" s="19">
        <f t="shared" si="22"/>
        <v>8.1463914568441938E-3</v>
      </c>
      <c r="L195" s="18">
        <f t="shared" si="23"/>
        <v>1551.0919857558729</v>
      </c>
      <c r="M195" s="31"/>
      <c r="N195" s="36"/>
      <c r="O195" s="38"/>
      <c r="P195" s="37"/>
      <c r="Q195" s="37"/>
      <c r="R195" s="37"/>
      <c r="S195" s="37"/>
      <c r="T195" s="37">
        <f t="shared" si="24"/>
        <v>171</v>
      </c>
      <c r="U195" s="54">
        <v>41298</v>
      </c>
      <c r="V195">
        <v>1494.82</v>
      </c>
      <c r="W195" s="59"/>
      <c r="X195" s="40"/>
      <c r="Y195" s="40"/>
      <c r="Z195" s="44"/>
      <c r="AA195" s="44"/>
      <c r="AB195" s="44"/>
      <c r="AC195" s="44"/>
      <c r="AD195" s="44"/>
    </row>
    <row r="196" spans="1:30" x14ac:dyDescent="0.2">
      <c r="A196" s="11">
        <f t="shared" ref="A196:A259" si="25">A195+1</f>
        <v>193</v>
      </c>
      <c r="B196" s="15">
        <f t="shared" ref="B196:B259" si="26">B195+dt</f>
        <v>0.7658730158730136</v>
      </c>
      <c r="C196" s="17">
        <v>4.0870148115876997E-3</v>
      </c>
      <c r="D196" s="17">
        <v>2.4613299486996615E-2</v>
      </c>
      <c r="E196" s="16">
        <v>1.0905889228136303</v>
      </c>
      <c r="F196" s="16">
        <v>0.98762859887874599</v>
      </c>
      <c r="G196" s="29">
        <v>0</v>
      </c>
      <c r="H196" s="16">
        <v>0</v>
      </c>
      <c r="I196" s="16">
        <f t="shared" ref="I196:I259" si="27">Rho*E196+F196*(1-Rho^2)^0.5</f>
        <v>2.0476980902379038E-2</v>
      </c>
      <c r="J196" s="17">
        <f t="shared" ref="J196:J255" si="28">MAX((SQRT(J195)+Eta*SQRT(dt)*E196/2)^2+Kappa*(Theta-J195)*dt-Eta*Eta*dt/4,0)</f>
        <v>3.0208013067629621E-4</v>
      </c>
      <c r="K196" s="19">
        <f t="shared" ref="K196:K255" si="29">(C196-D196-Lambda*(EXP(Alpha+Delta^2/2)-1)-MAX((SQRT($J195)-0),0)^2/2)*dt+SQRT(MAX((SQRT($J195)-0),0)^2*dt)*I196</f>
        <v>1.7570679889289941E-5</v>
      </c>
      <c r="L196" s="18">
        <f t="shared" ref="L196:L255" si="30">EXP(K196)*EXP(H196)*L195</f>
        <v>1551.1192397360683</v>
      </c>
      <c r="M196" s="31"/>
      <c r="N196" s="36"/>
      <c r="O196" s="38"/>
      <c r="P196" s="37"/>
      <c r="Q196" s="37"/>
      <c r="R196" s="37"/>
      <c r="S196" s="37"/>
      <c r="T196" s="37">
        <f t="shared" si="24"/>
        <v>172</v>
      </c>
      <c r="U196" s="54">
        <v>41299</v>
      </c>
      <c r="V196">
        <v>1502.96</v>
      </c>
      <c r="W196" s="59"/>
      <c r="X196" s="40"/>
      <c r="Y196" s="40"/>
      <c r="Z196" s="44"/>
      <c r="AA196" s="44"/>
      <c r="AB196" s="44"/>
      <c r="AC196" s="44"/>
      <c r="AD196" s="44"/>
    </row>
    <row r="197" spans="1:30" x14ac:dyDescent="0.2">
      <c r="A197" s="11">
        <f t="shared" si="25"/>
        <v>194</v>
      </c>
      <c r="B197" s="15">
        <f t="shared" si="26"/>
        <v>0.76984126984126755</v>
      </c>
      <c r="C197" s="17">
        <v>4.0870148115876997E-3</v>
      </c>
      <c r="D197" s="17">
        <v>2.4613299486996615E-2</v>
      </c>
      <c r="E197" s="16">
        <v>-0.22113947397565839</v>
      </c>
      <c r="F197" s="16">
        <v>1.9604735472415737</v>
      </c>
      <c r="G197" s="29">
        <v>0</v>
      </c>
      <c r="H197" s="16">
        <v>0</v>
      </c>
      <c r="I197" s="16">
        <f t="shared" si="27"/>
        <v>1.6174797165728101</v>
      </c>
      <c r="J197" s="17">
        <f t="shared" si="28"/>
        <v>0</v>
      </c>
      <c r="K197" s="19">
        <f t="shared" si="29"/>
        <v>1.7878942113957505E-3</v>
      </c>
      <c r="L197" s="18">
        <f t="shared" si="30"/>
        <v>1553.8949574513977</v>
      </c>
      <c r="M197" s="31"/>
      <c r="N197" s="36"/>
      <c r="O197" s="38"/>
      <c r="P197" s="37"/>
      <c r="Q197" s="37"/>
      <c r="R197" s="37"/>
      <c r="S197" s="37"/>
      <c r="T197" s="37">
        <f t="shared" si="24"/>
        <v>173</v>
      </c>
      <c r="U197" s="54">
        <v>41302</v>
      </c>
      <c r="V197">
        <v>1500.18</v>
      </c>
      <c r="W197" s="59"/>
      <c r="X197" s="40"/>
      <c r="Y197" s="40"/>
      <c r="Z197" s="44"/>
      <c r="AA197" s="44"/>
      <c r="AB197" s="44"/>
      <c r="AC197" s="44"/>
      <c r="AD197" s="44"/>
    </row>
    <row r="198" spans="1:30" x14ac:dyDescent="0.2">
      <c r="A198" s="11">
        <f t="shared" si="25"/>
        <v>195</v>
      </c>
      <c r="B198" s="15">
        <f t="shared" si="26"/>
        <v>0.7738095238095215</v>
      </c>
      <c r="C198" s="17">
        <v>4.0870148115876997E-3</v>
      </c>
      <c r="D198" s="17">
        <v>2.4613299486996615E-2</v>
      </c>
      <c r="E198" s="16">
        <v>-0.13568109580327392</v>
      </c>
      <c r="F198" s="16">
        <v>0.38540198981066531</v>
      </c>
      <c r="G198" s="29">
        <v>0</v>
      </c>
      <c r="H198" s="16">
        <v>0</v>
      </c>
      <c r="I198" s="16">
        <f t="shared" si="27"/>
        <v>0.37891178970299449</v>
      </c>
      <c r="J198" s="17">
        <f t="shared" si="28"/>
        <v>0</v>
      </c>
      <c r="K198" s="19">
        <f t="shared" si="29"/>
        <v>1.7570679889289941E-5</v>
      </c>
      <c r="L198" s="18">
        <f t="shared" si="30"/>
        <v>1553.9222606821443</v>
      </c>
      <c r="M198" s="31"/>
      <c r="N198" s="36"/>
      <c r="O198" s="38"/>
      <c r="P198" s="37"/>
      <c r="Q198" s="37"/>
      <c r="R198" s="37"/>
      <c r="S198" s="37"/>
      <c r="T198" s="37">
        <f t="shared" si="24"/>
        <v>174</v>
      </c>
      <c r="U198" s="54">
        <v>41303</v>
      </c>
      <c r="V198">
        <v>1507.84</v>
      </c>
      <c r="W198" s="59"/>
      <c r="X198" s="40"/>
      <c r="Y198" s="40"/>
      <c r="Z198" s="44"/>
      <c r="AA198" s="44"/>
      <c r="AB198" s="44"/>
      <c r="AC198" s="44"/>
      <c r="AD198" s="44"/>
    </row>
    <row r="199" spans="1:30" x14ac:dyDescent="0.2">
      <c r="A199" s="11">
        <f t="shared" si="25"/>
        <v>196</v>
      </c>
      <c r="B199" s="15">
        <f t="shared" si="26"/>
        <v>0.77777777777777546</v>
      </c>
      <c r="C199" s="17">
        <v>4.0870148115876997E-3</v>
      </c>
      <c r="D199" s="17">
        <v>2.4613299486996615E-2</v>
      </c>
      <c r="E199" s="16">
        <v>1.2514185507545625</v>
      </c>
      <c r="F199" s="16">
        <v>-1.1229516271770938</v>
      </c>
      <c r="G199" s="29">
        <v>0</v>
      </c>
      <c r="H199" s="16">
        <v>0</v>
      </c>
      <c r="I199" s="16">
        <f t="shared" si="27"/>
        <v>-1.6698007744593708</v>
      </c>
      <c r="J199" s="17">
        <f t="shared" si="28"/>
        <v>5.6721909545535715E-4</v>
      </c>
      <c r="K199" s="19">
        <f t="shared" si="29"/>
        <v>1.7570679889289941E-5</v>
      </c>
      <c r="L199" s="18">
        <f t="shared" si="30"/>
        <v>1553.9495643926314</v>
      </c>
      <c r="M199" s="31"/>
      <c r="N199" s="36"/>
      <c r="O199" s="38"/>
      <c r="P199" s="37"/>
      <c r="Q199" s="37"/>
      <c r="R199" s="37"/>
      <c r="S199" s="37"/>
      <c r="T199" s="37">
        <f t="shared" si="24"/>
        <v>175</v>
      </c>
      <c r="U199" s="54">
        <v>41304</v>
      </c>
      <c r="V199">
        <v>1501.96</v>
      </c>
      <c r="W199" s="59"/>
      <c r="X199" s="40"/>
      <c r="Y199" s="40"/>
      <c r="Z199" s="44"/>
      <c r="AA199" s="44"/>
      <c r="AB199" s="44"/>
      <c r="AC199" s="44"/>
      <c r="AD199" s="44"/>
    </row>
    <row r="200" spans="1:30" x14ac:dyDescent="0.2">
      <c r="A200" s="11">
        <f t="shared" si="25"/>
        <v>197</v>
      </c>
      <c r="B200" s="15">
        <f t="shared" si="26"/>
        <v>0.78174603174602941</v>
      </c>
      <c r="C200" s="17">
        <v>4.0870148115876997E-3</v>
      </c>
      <c r="D200" s="17">
        <v>2.4613299486996615E-2</v>
      </c>
      <c r="E200" s="16">
        <v>-6.0085970208411749E-2</v>
      </c>
      <c r="F200" s="16">
        <v>-0.45064470529011297</v>
      </c>
      <c r="G200" s="29">
        <v>0</v>
      </c>
      <c r="H200" s="16">
        <v>0</v>
      </c>
      <c r="I200" s="16">
        <f t="shared" si="27"/>
        <v>-0.29849974122113537</v>
      </c>
      <c r="J200" s="17">
        <f t="shared" si="28"/>
        <v>0</v>
      </c>
      <c r="K200" s="19">
        <f t="shared" si="29"/>
        <v>-4.3139086615313324E-4</v>
      </c>
      <c r="L200" s="18">
        <f t="shared" si="30"/>
        <v>1553.2793493168147</v>
      </c>
      <c r="M200" s="31"/>
      <c r="N200" s="36"/>
      <c r="O200" s="38"/>
      <c r="P200" s="37"/>
      <c r="Q200" s="37"/>
      <c r="R200" s="37"/>
      <c r="S200" s="37"/>
      <c r="T200" s="37">
        <f t="shared" si="24"/>
        <v>176</v>
      </c>
      <c r="U200" s="54">
        <v>41305</v>
      </c>
      <c r="V200">
        <v>1498.11</v>
      </c>
      <c r="W200" s="59"/>
      <c r="X200" s="40"/>
      <c r="Y200" s="40"/>
      <c r="Z200" s="44"/>
      <c r="AA200" s="44"/>
      <c r="AB200" s="44"/>
      <c r="AC200" s="44"/>
      <c r="AD200" s="44"/>
    </row>
    <row r="201" spans="1:30" x14ac:dyDescent="0.2">
      <c r="A201" s="11">
        <f t="shared" si="25"/>
        <v>198</v>
      </c>
      <c r="B201" s="15">
        <f t="shared" si="26"/>
        <v>0.78571428571428337</v>
      </c>
      <c r="C201" s="17">
        <v>4.0870148115876997E-3</v>
      </c>
      <c r="D201" s="17">
        <v>2.4613299486996615E-2</v>
      </c>
      <c r="E201" s="16">
        <v>0.21452829151742489</v>
      </c>
      <c r="F201" s="16">
        <v>-1.2006951274894566</v>
      </c>
      <c r="G201" s="29">
        <v>0</v>
      </c>
      <c r="H201" s="16">
        <v>0</v>
      </c>
      <c r="I201" s="16">
        <f t="shared" si="27"/>
        <v>-1.0428969760249731</v>
      </c>
      <c r="J201" s="17">
        <f t="shared" si="28"/>
        <v>0</v>
      </c>
      <c r="K201" s="19">
        <f t="shared" si="29"/>
        <v>1.7570679889289941E-5</v>
      </c>
      <c r="L201" s="18">
        <f t="shared" si="30"/>
        <v>1553.3066417308128</v>
      </c>
      <c r="M201" s="31"/>
      <c r="N201" s="36"/>
      <c r="O201" s="38"/>
      <c r="P201" s="37"/>
      <c r="Q201" s="37"/>
      <c r="R201" s="37"/>
      <c r="S201" s="37"/>
      <c r="T201" s="37">
        <f t="shared" si="24"/>
        <v>177</v>
      </c>
      <c r="U201" s="54">
        <v>41306</v>
      </c>
      <c r="V201">
        <v>1513.17</v>
      </c>
      <c r="W201" s="59"/>
      <c r="X201" s="40"/>
      <c r="Y201" s="40"/>
      <c r="Z201" s="44"/>
      <c r="AA201" s="44"/>
      <c r="AB201" s="44"/>
      <c r="AC201" s="44"/>
      <c r="AD201" s="44"/>
    </row>
    <row r="202" spans="1:30" x14ac:dyDescent="0.2">
      <c r="A202" s="11">
        <f t="shared" si="25"/>
        <v>199</v>
      </c>
      <c r="B202" s="15">
        <f t="shared" si="26"/>
        <v>0.78968253968253732</v>
      </c>
      <c r="C202" s="17">
        <v>4.0870148115876997E-3</v>
      </c>
      <c r="D202" s="17">
        <v>2.4613299486996615E-2</v>
      </c>
      <c r="E202" s="16">
        <v>-0.1681038637852772</v>
      </c>
      <c r="F202" s="16">
        <v>1.4306832558405742</v>
      </c>
      <c r="G202" s="29">
        <v>0</v>
      </c>
      <c r="H202" s="16">
        <v>0</v>
      </c>
      <c r="I202" s="16">
        <f t="shared" si="27"/>
        <v>1.1848224969129579</v>
      </c>
      <c r="J202" s="17">
        <f t="shared" si="28"/>
        <v>0</v>
      </c>
      <c r="K202" s="19">
        <f t="shared" si="29"/>
        <v>1.7570679889289941E-5</v>
      </c>
      <c r="L202" s="18">
        <f t="shared" si="30"/>
        <v>1553.3339346243613</v>
      </c>
      <c r="M202" s="31"/>
      <c r="N202" s="36"/>
      <c r="O202" s="38"/>
      <c r="P202" s="37"/>
      <c r="Q202" s="37"/>
      <c r="R202" s="37"/>
      <c r="S202" s="37"/>
      <c r="T202" s="37">
        <f t="shared" si="24"/>
        <v>178</v>
      </c>
      <c r="U202" s="54">
        <v>41309</v>
      </c>
      <c r="V202">
        <v>1495.71</v>
      </c>
      <c r="W202" s="59"/>
      <c r="X202" s="40"/>
      <c r="Y202" s="40"/>
      <c r="Z202" s="44"/>
      <c r="AA202" s="44"/>
      <c r="AB202" s="44"/>
      <c r="AC202" s="44"/>
      <c r="AD202" s="44"/>
    </row>
    <row r="203" spans="1:30" x14ac:dyDescent="0.2">
      <c r="A203" s="11">
        <f t="shared" si="25"/>
        <v>200</v>
      </c>
      <c r="B203" s="15">
        <f t="shared" si="26"/>
        <v>0.79365079365079128</v>
      </c>
      <c r="C203" s="17">
        <v>4.0870148115876997E-3</v>
      </c>
      <c r="D203" s="17">
        <v>2.4613299486996615E-2</v>
      </c>
      <c r="E203" s="16">
        <v>-0.14848120901871259</v>
      </c>
      <c r="F203" s="16">
        <v>0.13852777806501801</v>
      </c>
      <c r="G203" s="29">
        <v>0</v>
      </c>
      <c r="H203" s="16">
        <v>0</v>
      </c>
      <c r="I203" s="16">
        <f t="shared" si="27"/>
        <v>0.20209194461322083</v>
      </c>
      <c r="J203" s="17">
        <f t="shared" si="28"/>
        <v>0</v>
      </c>
      <c r="K203" s="19">
        <f t="shared" si="29"/>
        <v>1.7570679889289941E-5</v>
      </c>
      <c r="L203" s="18">
        <f t="shared" si="30"/>
        <v>1553.3612279974689</v>
      </c>
      <c r="M203" s="31"/>
      <c r="N203" s="36"/>
      <c r="O203" s="38"/>
      <c r="P203" s="37"/>
      <c r="Q203" s="37"/>
      <c r="R203" s="37"/>
      <c r="S203" s="37"/>
      <c r="T203" s="37">
        <f t="shared" si="24"/>
        <v>179</v>
      </c>
      <c r="U203" s="54">
        <v>41310</v>
      </c>
      <c r="V203">
        <v>1511.29</v>
      </c>
      <c r="W203" s="59"/>
      <c r="X203" s="40"/>
      <c r="Y203" s="40"/>
      <c r="Z203" s="44"/>
      <c r="AA203" s="44"/>
      <c r="AB203" s="44"/>
      <c r="AC203" s="44"/>
      <c r="AD203" s="44"/>
    </row>
    <row r="204" spans="1:30" x14ac:dyDescent="0.2">
      <c r="A204" s="11">
        <f t="shared" si="25"/>
        <v>201</v>
      </c>
      <c r="B204" s="15">
        <f t="shared" si="26"/>
        <v>0.79761904761904523</v>
      </c>
      <c r="C204" s="17">
        <v>4.0870148115876997E-3</v>
      </c>
      <c r="D204" s="17">
        <v>2.4613299486996615E-2</v>
      </c>
      <c r="E204" s="16">
        <v>1.1588451076862563</v>
      </c>
      <c r="F204" s="16">
        <v>-0.62607120372876224</v>
      </c>
      <c r="G204" s="29">
        <v>0</v>
      </c>
      <c r="H204" s="16">
        <v>0</v>
      </c>
      <c r="I204" s="16">
        <f t="shared" si="27"/>
        <v>-1.2357130151443776</v>
      </c>
      <c r="J204" s="17">
        <f t="shared" si="28"/>
        <v>4.1015743241125944E-4</v>
      </c>
      <c r="K204" s="19">
        <f t="shared" si="29"/>
        <v>1.7570679889289941E-5</v>
      </c>
      <c r="L204" s="18">
        <f t="shared" si="30"/>
        <v>1553.3885218501437</v>
      </c>
      <c r="M204" s="31"/>
      <c r="N204" s="36"/>
      <c r="O204" s="38"/>
      <c r="P204" s="37"/>
      <c r="Q204" s="37"/>
      <c r="R204" s="37"/>
      <c r="S204" s="37"/>
      <c r="T204" s="37">
        <f t="shared" si="24"/>
        <v>180</v>
      </c>
      <c r="U204" s="54">
        <v>41311</v>
      </c>
      <c r="V204">
        <v>1512.12</v>
      </c>
      <c r="W204" s="59"/>
      <c r="X204" s="40"/>
      <c r="Y204" s="40"/>
      <c r="Z204" s="44"/>
      <c r="AA204" s="44"/>
      <c r="AB204" s="44"/>
      <c r="AC204" s="44"/>
      <c r="AD204" s="44"/>
    </row>
    <row r="205" spans="1:30" x14ac:dyDescent="0.2">
      <c r="A205" s="11">
        <f t="shared" si="25"/>
        <v>202</v>
      </c>
      <c r="B205" s="15">
        <f t="shared" si="26"/>
        <v>0.80158730158729918</v>
      </c>
      <c r="C205" s="17">
        <v>4.0870148115876997E-3</v>
      </c>
      <c r="D205" s="17">
        <v>2.4613299486996615E-2</v>
      </c>
      <c r="E205" s="16">
        <v>0.6694658072817431</v>
      </c>
      <c r="F205" s="16">
        <v>-1.3149924363195182</v>
      </c>
      <c r="G205" s="29">
        <v>0</v>
      </c>
      <c r="H205" s="16">
        <v>0</v>
      </c>
      <c r="I205" s="16">
        <f t="shared" si="27"/>
        <v>-1.4293319192190617</v>
      </c>
      <c r="J205" s="17">
        <f t="shared" si="28"/>
        <v>9.0843863626888395E-4</v>
      </c>
      <c r="K205" s="19">
        <f t="shared" si="29"/>
        <v>-1.8067529796156917E-3</v>
      </c>
      <c r="L205" s="18">
        <f t="shared" si="30"/>
        <v>1550.5844663903549</v>
      </c>
      <c r="M205" s="31"/>
      <c r="N205" s="36"/>
      <c r="O205" s="38"/>
      <c r="P205" s="37"/>
      <c r="Q205" s="37"/>
      <c r="R205" s="37"/>
      <c r="S205" s="37"/>
      <c r="T205" s="37">
        <f t="shared" si="24"/>
        <v>181</v>
      </c>
      <c r="U205" s="54">
        <v>41312</v>
      </c>
      <c r="V205">
        <v>1509.39</v>
      </c>
      <c r="W205" s="59"/>
      <c r="X205" s="40"/>
      <c r="Y205" s="40"/>
      <c r="Z205" s="44"/>
      <c r="AA205" s="44"/>
      <c r="AB205" s="44"/>
      <c r="AC205" s="44"/>
      <c r="AD205" s="44"/>
    </row>
    <row r="206" spans="1:30" x14ac:dyDescent="0.2">
      <c r="A206" s="11">
        <f t="shared" si="25"/>
        <v>203</v>
      </c>
      <c r="B206" s="15">
        <f t="shared" si="26"/>
        <v>0.80555555555555314</v>
      </c>
      <c r="C206" s="17">
        <v>4.0870148115876997E-3</v>
      </c>
      <c r="D206" s="17">
        <v>2.4613299486996615E-2</v>
      </c>
      <c r="E206" s="16">
        <v>1.5867844832896332</v>
      </c>
      <c r="F206" s="16">
        <v>-0.15049865353992822</v>
      </c>
      <c r="G206" s="29">
        <v>0</v>
      </c>
      <c r="H206" s="16">
        <v>0</v>
      </c>
      <c r="I206" s="16">
        <f t="shared" si="27"/>
        <v>-1.1616084294329097</v>
      </c>
      <c r="J206" s="17">
        <f t="shared" si="28"/>
        <v>4.6801420240436724E-3</v>
      </c>
      <c r="K206" s="19">
        <f t="shared" si="29"/>
        <v>-2.189732898690731E-3</v>
      </c>
      <c r="L206" s="18">
        <f t="shared" si="30"/>
        <v>1547.1928153322799</v>
      </c>
      <c r="M206" s="31"/>
      <c r="N206" s="36"/>
      <c r="O206" s="38"/>
      <c r="P206" s="37"/>
      <c r="Q206" s="37"/>
      <c r="R206" s="37"/>
      <c r="S206" s="37"/>
      <c r="T206" s="37">
        <f t="shared" si="24"/>
        <v>182</v>
      </c>
      <c r="U206" s="54">
        <v>41313</v>
      </c>
      <c r="V206">
        <v>1517.93</v>
      </c>
      <c r="W206" s="59"/>
      <c r="X206" s="40"/>
      <c r="Y206" s="40"/>
      <c r="Z206" s="44"/>
      <c r="AA206" s="44"/>
      <c r="AB206" s="44"/>
      <c r="AC206" s="44"/>
      <c r="AD206" s="44"/>
    </row>
    <row r="207" spans="1:30" x14ac:dyDescent="0.2">
      <c r="A207" s="11">
        <f t="shared" si="25"/>
        <v>204</v>
      </c>
      <c r="B207" s="15">
        <f t="shared" si="26"/>
        <v>0.80952380952380709</v>
      </c>
      <c r="C207" s="17">
        <v>4.0870148115876997E-3</v>
      </c>
      <c r="D207" s="17">
        <v>2.4613299486996615E-2</v>
      </c>
      <c r="E207" s="16">
        <v>0.30800274439825542</v>
      </c>
      <c r="F207" s="16">
        <v>1.2325587991632101</v>
      </c>
      <c r="G207" s="29">
        <v>0</v>
      </c>
      <c r="H207" s="16">
        <v>0</v>
      </c>
      <c r="I207" s="16">
        <f t="shared" si="27"/>
        <v>0.72148525948904352</v>
      </c>
      <c r="J207" s="17">
        <f t="shared" si="28"/>
        <v>5.3127832977760371E-3</v>
      </c>
      <c r="K207" s="19">
        <f t="shared" si="29"/>
        <v>3.1175423110631566E-3</v>
      </c>
      <c r="L207" s="18">
        <f t="shared" si="30"/>
        <v>1552.0237808544532</v>
      </c>
      <c r="M207" s="31"/>
      <c r="N207" s="36"/>
      <c r="O207" s="38"/>
      <c r="P207" s="37"/>
      <c r="Q207" s="37"/>
      <c r="R207" s="37"/>
      <c r="S207" s="37"/>
      <c r="T207" s="37">
        <f t="shared" si="24"/>
        <v>183</v>
      </c>
      <c r="U207" s="54">
        <v>41316</v>
      </c>
      <c r="V207">
        <v>1517.01</v>
      </c>
      <c r="W207" s="59"/>
      <c r="X207" s="40"/>
      <c r="Y207" s="40"/>
      <c r="Z207" s="44"/>
      <c r="AA207" s="44"/>
      <c r="AB207" s="44"/>
      <c r="AC207" s="44"/>
      <c r="AD207" s="44"/>
    </row>
    <row r="208" spans="1:30" x14ac:dyDescent="0.2">
      <c r="A208" s="11">
        <f t="shared" si="25"/>
        <v>205</v>
      </c>
      <c r="B208" s="15">
        <f t="shared" si="26"/>
        <v>0.81349206349206105</v>
      </c>
      <c r="C208" s="17">
        <v>4.0870148115876997E-3</v>
      </c>
      <c r="D208" s="17">
        <v>2.4613299486996615E-2</v>
      </c>
      <c r="E208" s="16">
        <v>1.0343752308614347</v>
      </c>
      <c r="F208" s="16">
        <v>-0.5203843436484048</v>
      </c>
      <c r="G208" s="29">
        <v>0</v>
      </c>
      <c r="H208" s="16">
        <v>0</v>
      </c>
      <c r="I208" s="16">
        <f t="shared" si="27"/>
        <v>-1.074136558629724</v>
      </c>
      <c r="J208" s="17">
        <f t="shared" si="28"/>
        <v>9.5120301758503702E-3</v>
      </c>
      <c r="K208" s="19">
        <f t="shared" si="29"/>
        <v>-4.9249388822969467E-3</v>
      </c>
      <c r="L208" s="18">
        <f t="shared" si="30"/>
        <v>1544.3989499147544</v>
      </c>
      <c r="M208" s="31"/>
      <c r="N208" s="36"/>
      <c r="O208" s="38"/>
      <c r="P208" s="37"/>
      <c r="Q208" s="37"/>
      <c r="R208" s="37"/>
      <c r="S208" s="37"/>
      <c r="T208" s="37">
        <f t="shared" si="24"/>
        <v>184</v>
      </c>
      <c r="U208" s="54">
        <v>41317</v>
      </c>
      <c r="V208">
        <v>1519.43</v>
      </c>
      <c r="W208" s="59"/>
      <c r="X208" s="40"/>
      <c r="Y208" s="40"/>
      <c r="Z208" s="44"/>
      <c r="AA208" s="44"/>
      <c r="AB208" s="44"/>
      <c r="AC208" s="44"/>
      <c r="AD208" s="44"/>
    </row>
    <row r="209" spans="1:30" x14ac:dyDescent="0.2">
      <c r="A209" s="11">
        <f t="shared" si="25"/>
        <v>206</v>
      </c>
      <c r="B209" s="15">
        <f t="shared" si="26"/>
        <v>0.817460317460315</v>
      </c>
      <c r="C209" s="17">
        <v>4.0870148115876997E-3</v>
      </c>
      <c r="D209" s="17">
        <v>2.4613299486996615E-2</v>
      </c>
      <c r="E209" s="16">
        <v>1.3867933215382668E-3</v>
      </c>
      <c r="F209" s="16">
        <v>-1.1748595475785875</v>
      </c>
      <c r="G209" s="29">
        <v>0</v>
      </c>
      <c r="H209" s="16">
        <v>0</v>
      </c>
      <c r="I209" s="16">
        <f t="shared" si="27"/>
        <v>-0.88264842740966709</v>
      </c>
      <c r="J209" s="17">
        <f t="shared" si="28"/>
        <v>8.9493619634726275E-3</v>
      </c>
      <c r="K209" s="19">
        <f t="shared" si="29"/>
        <v>-5.424108685144184E-3</v>
      </c>
      <c r="L209" s="18">
        <f t="shared" si="30"/>
        <v>1536.0446399823636</v>
      </c>
      <c r="M209" s="31"/>
      <c r="N209" s="36"/>
      <c r="O209" s="38"/>
      <c r="P209" s="37"/>
      <c r="Q209" s="37"/>
      <c r="R209" s="37"/>
      <c r="S209" s="37"/>
      <c r="T209" s="37">
        <f t="shared" si="24"/>
        <v>185</v>
      </c>
      <c r="U209" s="54">
        <v>41318</v>
      </c>
      <c r="V209">
        <v>1520.33</v>
      </c>
      <c r="W209" s="59"/>
      <c r="X209" s="40"/>
      <c r="Y209" s="40"/>
      <c r="Z209" s="44"/>
      <c r="AA209" s="44"/>
      <c r="AB209" s="44"/>
      <c r="AC209" s="44"/>
      <c r="AD209" s="44"/>
    </row>
    <row r="210" spans="1:30" x14ac:dyDescent="0.2">
      <c r="A210" s="11">
        <f t="shared" si="25"/>
        <v>207</v>
      </c>
      <c r="B210" s="15">
        <f t="shared" si="26"/>
        <v>0.82142857142856895</v>
      </c>
      <c r="C210" s="17">
        <v>4.0870148115876997E-3</v>
      </c>
      <c r="D210" s="17">
        <v>2.4613299486996615E-2</v>
      </c>
      <c r="E210" s="16">
        <v>-0.28558395922349478</v>
      </c>
      <c r="F210" s="16">
        <v>1.8648643038724739</v>
      </c>
      <c r="G210" s="29">
        <v>0</v>
      </c>
      <c r="H210" s="16">
        <v>0</v>
      </c>
      <c r="I210" s="16">
        <f t="shared" si="27"/>
        <v>1.5883144574304144</v>
      </c>
      <c r="J210" s="17">
        <f t="shared" si="28"/>
        <v>7.0054063787006399E-3</v>
      </c>
      <c r="K210" s="19">
        <f t="shared" si="29"/>
        <v>9.4650676342277942E-3</v>
      </c>
      <c r="L210" s="18">
        <f t="shared" si="30"/>
        <v>1550.6524291892849</v>
      </c>
      <c r="M210" s="31"/>
      <c r="N210" s="36"/>
      <c r="O210" s="38"/>
      <c r="P210" s="37"/>
      <c r="Q210" s="37"/>
      <c r="R210" s="37"/>
      <c r="S210" s="37"/>
      <c r="T210" s="37">
        <f t="shared" si="24"/>
        <v>186</v>
      </c>
      <c r="U210" s="54">
        <v>41319</v>
      </c>
      <c r="V210">
        <v>1521.38</v>
      </c>
      <c r="W210" s="59"/>
      <c r="X210" s="40"/>
      <c r="Y210" s="40"/>
      <c r="Z210" s="44"/>
      <c r="AA210" s="44"/>
      <c r="AB210" s="44"/>
      <c r="AC210" s="44"/>
      <c r="AD210" s="44"/>
    </row>
    <row r="211" spans="1:30" x14ac:dyDescent="0.2">
      <c r="A211" s="11">
        <f t="shared" si="25"/>
        <v>208</v>
      </c>
      <c r="B211" s="15">
        <f t="shared" si="26"/>
        <v>0.82539682539682291</v>
      </c>
      <c r="C211" s="17">
        <v>4.0870148115876997E-3</v>
      </c>
      <c r="D211" s="17">
        <v>2.4613299486996615E-2</v>
      </c>
      <c r="E211" s="16">
        <v>0.40483460705581276</v>
      </c>
      <c r="F211" s="16">
        <v>-7.3046339627207676E-2</v>
      </c>
      <c r="G211" s="29">
        <v>0</v>
      </c>
      <c r="H211" s="16">
        <v>0</v>
      </c>
      <c r="I211" s="16">
        <f t="shared" si="27"/>
        <v>-0.3223645569959212</v>
      </c>
      <c r="J211" s="17">
        <f t="shared" si="28"/>
        <v>8.3580460894107506E-3</v>
      </c>
      <c r="K211" s="19">
        <f t="shared" si="29"/>
        <v>-1.6959953110230585E-3</v>
      </c>
      <c r="L211" s="18">
        <f t="shared" si="30"/>
        <v>1548.0247588285113</v>
      </c>
      <c r="M211" s="31"/>
      <c r="N211" s="36"/>
      <c r="O211" s="38"/>
      <c r="P211" s="37"/>
      <c r="Q211" s="37"/>
      <c r="R211" s="37"/>
      <c r="S211" s="37"/>
      <c r="T211" s="37">
        <f t="shared" si="24"/>
        <v>187</v>
      </c>
      <c r="U211" s="54">
        <v>41320</v>
      </c>
      <c r="V211">
        <v>1519.79</v>
      </c>
      <c r="W211" s="59"/>
      <c r="X211" s="40"/>
      <c r="Y211" s="40"/>
      <c r="Z211" s="44"/>
      <c r="AA211" s="44"/>
      <c r="AB211" s="44"/>
      <c r="AC211" s="44"/>
      <c r="AD211" s="44"/>
    </row>
    <row r="212" spans="1:30" x14ac:dyDescent="0.2">
      <c r="A212" s="11">
        <f t="shared" si="25"/>
        <v>209</v>
      </c>
      <c r="B212" s="15">
        <f t="shared" si="26"/>
        <v>0.82936507936507686</v>
      </c>
      <c r="C212" s="17">
        <v>4.0870148115876997E-3</v>
      </c>
      <c r="D212" s="17">
        <v>2.4613299486996615E-2</v>
      </c>
      <c r="E212" s="16">
        <v>-0.17755138382755103</v>
      </c>
      <c r="F212" s="16">
        <v>-0.44559394663945984</v>
      </c>
      <c r="G212" s="29">
        <v>0</v>
      </c>
      <c r="H212" s="16">
        <v>0</v>
      </c>
      <c r="I212" s="16">
        <f t="shared" si="27"/>
        <v>-0.21707970942427923</v>
      </c>
      <c r="J212" s="17">
        <f t="shared" si="28"/>
        <v>6.9532772402883542E-3</v>
      </c>
      <c r="K212" s="19">
        <f t="shared" si="29"/>
        <v>-1.2491892764514203E-3</v>
      </c>
      <c r="L212" s="18">
        <f t="shared" si="30"/>
        <v>1546.0921902234004</v>
      </c>
      <c r="M212" s="31"/>
      <c r="N212" s="36"/>
      <c r="O212" s="38"/>
      <c r="P212" s="37"/>
      <c r="Q212" s="37"/>
      <c r="R212" s="37"/>
      <c r="S212" s="37"/>
      <c r="T212" s="37">
        <f t="shared" si="24"/>
        <v>188</v>
      </c>
      <c r="U212" s="54">
        <v>41324</v>
      </c>
      <c r="V212">
        <v>1530.94</v>
      </c>
      <c r="W212" s="59"/>
      <c r="X212" s="40"/>
      <c r="Y212" s="40"/>
      <c r="Z212" s="44"/>
      <c r="AA212" s="44"/>
      <c r="AB212" s="44"/>
      <c r="AC212" s="44"/>
      <c r="AD212" s="44"/>
    </row>
    <row r="213" spans="1:30" x14ac:dyDescent="0.2">
      <c r="A213" s="11">
        <f t="shared" si="25"/>
        <v>210</v>
      </c>
      <c r="B213" s="15">
        <f t="shared" si="26"/>
        <v>0.83333333333333082</v>
      </c>
      <c r="C213" s="17">
        <v>4.0870148115876997E-3</v>
      </c>
      <c r="D213" s="17">
        <v>2.4613299486996615E-2</v>
      </c>
      <c r="E213" s="16">
        <v>0.49314809561548961</v>
      </c>
      <c r="F213" s="16">
        <v>0.38336032977999207</v>
      </c>
      <c r="G213" s="29">
        <v>0</v>
      </c>
      <c r="H213" s="16">
        <v>0</v>
      </c>
      <c r="I213" s="16">
        <f t="shared" si="27"/>
        <v>-3.819519938061533E-2</v>
      </c>
      <c r="J213" s="17">
        <f t="shared" si="28"/>
        <v>8.7459893534249326E-3</v>
      </c>
      <c r="K213" s="19">
        <f t="shared" si="29"/>
        <v>-1.9685892868955088E-4</v>
      </c>
      <c r="L213" s="18">
        <f t="shared" si="30"/>
        <v>1545.7878581274058</v>
      </c>
      <c r="M213" s="31"/>
      <c r="N213" s="36"/>
      <c r="O213" s="38"/>
      <c r="P213" s="37"/>
      <c r="Q213" s="37"/>
      <c r="R213" s="37"/>
      <c r="S213" s="37"/>
      <c r="T213" s="37">
        <f t="shared" si="24"/>
        <v>189</v>
      </c>
      <c r="U213" s="54">
        <v>41325</v>
      </c>
      <c r="V213">
        <v>1511.95</v>
      </c>
      <c r="W213" s="59"/>
      <c r="X213" s="40"/>
      <c r="Y213" s="40"/>
      <c r="Z213" s="44"/>
      <c r="AA213" s="44"/>
      <c r="AB213" s="44"/>
      <c r="AC213" s="44"/>
      <c r="AD213" s="44"/>
    </row>
    <row r="214" spans="1:30" x14ac:dyDescent="0.2">
      <c r="A214" s="11">
        <f t="shared" si="25"/>
        <v>211</v>
      </c>
      <c r="B214" s="15">
        <f t="shared" si="26"/>
        <v>0.83730158730158477</v>
      </c>
      <c r="C214" s="17">
        <v>4.0870148115876997E-3</v>
      </c>
      <c r="D214" s="17">
        <v>2.4613299486996615E-2</v>
      </c>
      <c r="E214" s="16">
        <v>-0.18900508067144284</v>
      </c>
      <c r="F214" s="16">
        <v>7.3795089659851973E-2</v>
      </c>
      <c r="G214" s="29">
        <v>0</v>
      </c>
      <c r="H214" s="16">
        <v>0</v>
      </c>
      <c r="I214" s="16">
        <f t="shared" si="27"/>
        <v>0.18029110572384288</v>
      </c>
      <c r="J214" s="17">
        <f t="shared" si="28"/>
        <v>7.2661596890836802E-3</v>
      </c>
      <c r="K214" s="19">
        <f t="shared" si="29"/>
        <v>1.062349552196264E-3</v>
      </c>
      <c r="L214" s="18">
        <f t="shared" si="30"/>
        <v>1547.430897752957</v>
      </c>
      <c r="M214" s="31"/>
      <c r="N214" s="36"/>
      <c r="O214" s="38"/>
      <c r="P214" s="37"/>
      <c r="Q214" s="37"/>
      <c r="R214" s="37"/>
      <c r="S214" s="37"/>
      <c r="T214" s="37">
        <f t="shared" si="24"/>
        <v>190</v>
      </c>
      <c r="U214" s="54">
        <v>41326</v>
      </c>
      <c r="V214">
        <v>1502.42</v>
      </c>
      <c r="W214" s="59"/>
      <c r="X214" s="40"/>
      <c r="Y214" s="40"/>
      <c r="Z214" s="44"/>
      <c r="AA214" s="44"/>
      <c r="AB214" s="44"/>
      <c r="AC214" s="44"/>
      <c r="AD214" s="44"/>
    </row>
    <row r="215" spans="1:30" x14ac:dyDescent="0.2">
      <c r="A215" s="11">
        <f t="shared" si="25"/>
        <v>212</v>
      </c>
      <c r="B215" s="15">
        <f t="shared" si="26"/>
        <v>0.84126984126983873</v>
      </c>
      <c r="C215" s="17">
        <v>4.0870148115876997E-3</v>
      </c>
      <c r="D215" s="17">
        <v>2.4613299486996615E-2</v>
      </c>
      <c r="E215" s="16">
        <v>-2.0072882383002071</v>
      </c>
      <c r="F215" s="16">
        <v>1.1570991814171698</v>
      </c>
      <c r="G215" s="29">
        <v>0</v>
      </c>
      <c r="H215" s="16">
        <v>0</v>
      </c>
      <c r="I215" s="16">
        <f t="shared" si="27"/>
        <v>2.1949605615293937</v>
      </c>
      <c r="J215" s="17">
        <f t="shared" si="28"/>
        <v>4.6143050184364431E-4</v>
      </c>
      <c r="K215" s="19">
        <f t="shared" si="29"/>
        <v>1.1789492476154155E-2</v>
      </c>
      <c r="L215" s="18">
        <f t="shared" si="30"/>
        <v>1565.7822869038102</v>
      </c>
      <c r="M215" s="31"/>
      <c r="N215" s="36"/>
      <c r="O215" s="38"/>
      <c r="P215" s="37"/>
      <c r="Q215" s="37"/>
      <c r="R215" s="37"/>
      <c r="S215" s="37"/>
      <c r="T215" s="37">
        <f t="shared" si="24"/>
        <v>191</v>
      </c>
      <c r="U215" s="54">
        <v>41327</v>
      </c>
      <c r="V215">
        <v>1515.6</v>
      </c>
      <c r="W215" s="59"/>
      <c r="X215" s="40"/>
      <c r="Y215" s="40"/>
      <c r="Z215" s="44"/>
      <c r="AA215" s="44"/>
      <c r="AB215" s="44"/>
      <c r="AC215" s="44"/>
      <c r="AD215" s="44"/>
    </row>
    <row r="216" spans="1:30" x14ac:dyDescent="0.2">
      <c r="A216" s="11">
        <f t="shared" si="25"/>
        <v>213</v>
      </c>
      <c r="B216" s="15">
        <f t="shared" si="26"/>
        <v>0.84523809523809268</v>
      </c>
      <c r="C216" s="17">
        <v>4.0870148115876997E-3</v>
      </c>
      <c r="D216" s="17">
        <v>2.4613299486996615E-2</v>
      </c>
      <c r="E216" s="16">
        <v>1.2927470300784354</v>
      </c>
      <c r="F216" s="16">
        <v>-2.5551174184745128E-2</v>
      </c>
      <c r="G216" s="29">
        <v>0</v>
      </c>
      <c r="H216" s="16">
        <v>0</v>
      </c>
      <c r="I216" s="16">
        <f t="shared" si="27"/>
        <v>-0.87351465514300286</v>
      </c>
      <c r="J216" s="17">
        <f t="shared" si="28"/>
        <v>2.5745010819028294E-3</v>
      </c>
      <c r="K216" s="19">
        <f t="shared" si="29"/>
        <v>-1.1653600935670545E-3</v>
      </c>
      <c r="L216" s="18">
        <f t="shared" si="30"/>
        <v>1563.9586495149422</v>
      </c>
      <c r="M216" s="31"/>
      <c r="N216" s="36"/>
      <c r="O216" s="38"/>
      <c r="P216" s="37"/>
      <c r="Q216" s="37"/>
      <c r="R216" s="37"/>
      <c r="S216" s="37"/>
      <c r="T216" s="37">
        <f t="shared" si="24"/>
        <v>192</v>
      </c>
      <c r="U216" s="54">
        <v>41330</v>
      </c>
      <c r="V216">
        <v>1487.85</v>
      </c>
      <c r="W216" s="59"/>
      <c r="X216" s="40"/>
      <c r="Y216" s="40"/>
      <c r="Z216" s="44"/>
      <c r="AA216" s="44"/>
      <c r="AB216" s="44"/>
      <c r="AC216" s="44"/>
      <c r="AD216" s="44"/>
    </row>
    <row r="217" spans="1:30" x14ac:dyDescent="0.2">
      <c r="A217" s="11">
        <f t="shared" si="25"/>
        <v>214</v>
      </c>
      <c r="B217" s="15">
        <f t="shared" si="26"/>
        <v>0.84920634920634663</v>
      </c>
      <c r="C217" s="17">
        <v>4.0870148115876997E-3</v>
      </c>
      <c r="D217" s="17">
        <v>2.4613299486996615E-2</v>
      </c>
      <c r="E217" s="16">
        <v>-0.2235971717894035</v>
      </c>
      <c r="F217" s="16">
        <v>-0.28184238382946142</v>
      </c>
      <c r="G217" s="29">
        <v>0</v>
      </c>
      <c r="H217" s="16">
        <v>0</v>
      </c>
      <c r="I217" s="16">
        <f t="shared" si="27"/>
        <v>-6.3753875591321035E-2</v>
      </c>
      <c r="J217" s="17">
        <f t="shared" si="28"/>
        <v>1.4631494676435254E-3</v>
      </c>
      <c r="K217" s="19">
        <f t="shared" si="29"/>
        <v>-1.9131337577856674E-4</v>
      </c>
      <c r="L217" s="18">
        <f t="shared" si="30"/>
        <v>1563.6594719253751</v>
      </c>
      <c r="M217" s="31"/>
      <c r="N217" s="36"/>
      <c r="O217" s="38"/>
      <c r="P217" s="37"/>
      <c r="Q217" s="37"/>
      <c r="R217" s="37"/>
      <c r="S217" s="37"/>
      <c r="T217" s="37">
        <f t="shared" si="24"/>
        <v>193</v>
      </c>
      <c r="U217" s="54">
        <v>41331</v>
      </c>
      <c r="V217">
        <v>1496.94</v>
      </c>
      <c r="W217" s="59"/>
      <c r="X217" s="40"/>
      <c r="Y217" s="40"/>
      <c r="Z217" s="44"/>
      <c r="AA217" s="44"/>
      <c r="AB217" s="44"/>
      <c r="AC217" s="44"/>
      <c r="AD217" s="44"/>
    </row>
    <row r="218" spans="1:30" x14ac:dyDescent="0.2">
      <c r="A218" s="11">
        <f t="shared" si="25"/>
        <v>215</v>
      </c>
      <c r="B218" s="15">
        <f t="shared" si="26"/>
        <v>0.85317460317460059</v>
      </c>
      <c r="C218" s="17">
        <v>4.0870148115876997E-3</v>
      </c>
      <c r="D218" s="17">
        <v>2.4613299486996615E-2</v>
      </c>
      <c r="E218" s="16">
        <v>1.8278449021775045</v>
      </c>
      <c r="F218" s="16">
        <v>-0.27604345339044067</v>
      </c>
      <c r="G218" s="29">
        <v>0</v>
      </c>
      <c r="H218" s="16">
        <v>0</v>
      </c>
      <c r="I218" s="16">
        <f t="shared" si="27"/>
        <v>-1.4151395283458863</v>
      </c>
      <c r="J218" s="17">
        <f t="shared" si="28"/>
        <v>6.9844493949451159E-3</v>
      </c>
      <c r="K218" s="19">
        <f t="shared" si="29"/>
        <v>-3.3952457074653188E-3</v>
      </c>
      <c r="L218" s="18">
        <f t="shared" si="30"/>
        <v>1558.3594663174304</v>
      </c>
      <c r="M218" s="31"/>
      <c r="N218" s="36"/>
      <c r="O218" s="38"/>
      <c r="P218" s="37"/>
      <c r="Q218" s="37"/>
      <c r="R218" s="37"/>
      <c r="S218" s="37"/>
      <c r="T218" s="37">
        <f t="shared" si="24"/>
        <v>194</v>
      </c>
      <c r="U218" s="54">
        <v>41332</v>
      </c>
      <c r="V218">
        <v>1515.99</v>
      </c>
      <c r="W218" s="59"/>
      <c r="X218" s="40"/>
      <c r="Y218" s="40"/>
      <c r="Z218" s="44"/>
      <c r="AA218" s="44"/>
      <c r="AB218" s="44"/>
      <c r="AC218" s="44"/>
      <c r="AD218" s="44"/>
    </row>
    <row r="219" spans="1:30" x14ac:dyDescent="0.2">
      <c r="A219" s="11">
        <f t="shared" si="25"/>
        <v>216</v>
      </c>
      <c r="B219" s="15">
        <f t="shared" si="26"/>
        <v>0.85714285714285454</v>
      </c>
      <c r="C219" s="17">
        <v>4.0870148115876997E-3</v>
      </c>
      <c r="D219" s="17">
        <v>2.4613299486996615E-2</v>
      </c>
      <c r="E219" s="16">
        <v>-0.15326859661691999</v>
      </c>
      <c r="F219" s="16">
        <v>1.5519208362460986</v>
      </c>
      <c r="G219" s="29">
        <v>0</v>
      </c>
      <c r="H219" s="16">
        <v>0</v>
      </c>
      <c r="I219" s="16">
        <f t="shared" si="27"/>
        <v>1.2660070932391292</v>
      </c>
      <c r="J219" s="17">
        <f t="shared" si="28"/>
        <v>5.7606733479550597E-3</v>
      </c>
      <c r="K219" s="19">
        <f t="shared" si="29"/>
        <v>6.6687403058273663E-3</v>
      </c>
      <c r="L219" s="18">
        <f t="shared" si="30"/>
        <v>1568.7864898147573</v>
      </c>
      <c r="M219" s="31"/>
      <c r="N219" s="36"/>
      <c r="O219" s="38"/>
      <c r="P219" s="37"/>
      <c r="Q219" s="37"/>
      <c r="R219" s="37"/>
      <c r="S219" s="37"/>
      <c r="T219" s="37">
        <f t="shared" ref="T219:T255" si="31">T218+1</f>
        <v>195</v>
      </c>
      <c r="U219" s="54">
        <v>41333</v>
      </c>
      <c r="V219">
        <v>1514.68</v>
      </c>
      <c r="W219" s="59"/>
      <c r="X219" s="40"/>
      <c r="Y219" s="40"/>
      <c r="Z219" s="44"/>
      <c r="AA219" s="44"/>
      <c r="AB219" s="44"/>
      <c r="AC219" s="44"/>
      <c r="AD219" s="44"/>
    </row>
    <row r="220" spans="1:30" x14ac:dyDescent="0.2">
      <c r="A220" s="11">
        <f t="shared" si="25"/>
        <v>217</v>
      </c>
      <c r="B220" s="15">
        <f t="shared" si="26"/>
        <v>0.8611111111111085</v>
      </c>
      <c r="C220" s="17">
        <v>4.0870148115876997E-3</v>
      </c>
      <c r="D220" s="17">
        <v>2.4613299486996615E-2</v>
      </c>
      <c r="E220" s="16">
        <v>0.84848144647088863</v>
      </c>
      <c r="F220" s="16">
        <v>-0.90960196827221496</v>
      </c>
      <c r="G220" s="29">
        <v>0</v>
      </c>
      <c r="H220" s="16">
        <v>0</v>
      </c>
      <c r="I220" s="16">
        <f t="shared" si="27"/>
        <v>-1.2433925985248591</v>
      </c>
      <c r="J220" s="17">
        <f t="shared" si="28"/>
        <v>9.1284606788646847E-3</v>
      </c>
      <c r="K220" s="19">
        <f t="shared" si="29"/>
        <v>-5.9387603041595955E-3</v>
      </c>
      <c r="L220" s="18">
        <f t="shared" si="30"/>
        <v>1559.49745286643</v>
      </c>
      <c r="M220" s="31"/>
      <c r="N220" s="36"/>
      <c r="O220" s="38"/>
      <c r="P220" s="37"/>
      <c r="Q220" s="37"/>
      <c r="R220" s="37"/>
      <c r="S220" s="37"/>
      <c r="T220" s="37">
        <f t="shared" si="31"/>
        <v>196</v>
      </c>
      <c r="U220" s="54">
        <v>41334</v>
      </c>
      <c r="V220">
        <v>1518.2</v>
      </c>
      <c r="W220" s="59"/>
      <c r="X220" s="40"/>
      <c r="Y220" s="40"/>
      <c r="Z220" s="44"/>
      <c r="AA220" s="44"/>
      <c r="AB220" s="44"/>
      <c r="AC220" s="44"/>
      <c r="AD220" s="44"/>
    </row>
    <row r="221" spans="1:30" x14ac:dyDescent="0.2">
      <c r="A221" s="11">
        <f t="shared" si="25"/>
        <v>218</v>
      </c>
      <c r="B221" s="15">
        <f t="shared" si="26"/>
        <v>0.86507936507936245</v>
      </c>
      <c r="C221" s="17">
        <v>4.0870148115876997E-3</v>
      </c>
      <c r="D221" s="17">
        <v>2.4613299486996615E-2</v>
      </c>
      <c r="E221" s="16">
        <v>-2.1525362601914662</v>
      </c>
      <c r="F221" s="16">
        <v>-0.53497902559067145</v>
      </c>
      <c r="G221" s="29">
        <v>0</v>
      </c>
      <c r="H221" s="16">
        <v>0</v>
      </c>
      <c r="I221" s="16">
        <f t="shared" si="27"/>
        <v>1.0210462359589287</v>
      </c>
      <c r="J221" s="17">
        <f t="shared" si="28"/>
        <v>9.0866767451115704E-4</v>
      </c>
      <c r="K221" s="19">
        <f t="shared" si="29"/>
        <v>6.1447703116779828E-3</v>
      </c>
      <c r="L221" s="18">
        <f t="shared" si="30"/>
        <v>1569.109708823351</v>
      </c>
      <c r="M221" s="31"/>
      <c r="N221" s="36"/>
      <c r="O221" s="38"/>
      <c r="P221" s="37"/>
      <c r="Q221" s="37"/>
      <c r="R221" s="37"/>
      <c r="S221" s="37"/>
      <c r="T221" s="37">
        <f t="shared" si="31"/>
        <v>197</v>
      </c>
      <c r="U221" s="54">
        <v>41337</v>
      </c>
      <c r="V221">
        <v>1525.2</v>
      </c>
      <c r="W221" s="59"/>
      <c r="X221" s="40"/>
      <c r="Y221" s="40"/>
      <c r="Z221" s="44"/>
      <c r="AA221" s="44"/>
      <c r="AB221" s="44"/>
      <c r="AC221" s="44"/>
      <c r="AD221" s="44"/>
    </row>
    <row r="222" spans="1:30" x14ac:dyDescent="0.2">
      <c r="A222" s="11">
        <f t="shared" si="25"/>
        <v>219</v>
      </c>
      <c r="B222" s="15">
        <f t="shared" si="26"/>
        <v>0.8690476190476164</v>
      </c>
      <c r="C222" s="17">
        <v>4.0870148115876997E-3</v>
      </c>
      <c r="D222" s="17">
        <v>2.4613299486996615E-2</v>
      </c>
      <c r="E222" s="16">
        <v>-0.94918940326145473</v>
      </c>
      <c r="F222" s="16">
        <v>-1.4468945857513533</v>
      </c>
      <c r="G222" s="29">
        <v>0</v>
      </c>
      <c r="H222" s="16">
        <v>0</v>
      </c>
      <c r="I222" s="16">
        <f t="shared" si="27"/>
        <v>-0.45860282883967229</v>
      </c>
      <c r="J222" s="17">
        <f t="shared" si="28"/>
        <v>0</v>
      </c>
      <c r="K222" s="19">
        <f t="shared" si="29"/>
        <v>-8.5507349345674501E-4</v>
      </c>
      <c r="L222" s="18">
        <f t="shared" si="30"/>
        <v>1567.7685781673622</v>
      </c>
      <c r="M222" s="31"/>
      <c r="N222" s="36"/>
      <c r="O222" s="38"/>
      <c r="P222" s="37"/>
      <c r="Q222" s="37"/>
      <c r="R222" s="37"/>
      <c r="S222" s="37"/>
      <c r="T222" s="37">
        <f t="shared" si="31"/>
        <v>198</v>
      </c>
      <c r="U222" s="54">
        <v>41338</v>
      </c>
      <c r="V222">
        <v>1539.79</v>
      </c>
      <c r="W222" s="59"/>
      <c r="X222" s="40"/>
      <c r="Y222" s="40"/>
      <c r="Z222" s="44"/>
      <c r="AA222" s="44"/>
      <c r="AB222" s="44"/>
      <c r="AC222" s="44"/>
      <c r="AD222" s="44"/>
    </row>
    <row r="223" spans="1:30" x14ac:dyDescent="0.2">
      <c r="A223" s="11">
        <f t="shared" si="25"/>
        <v>220</v>
      </c>
      <c r="B223" s="15">
        <f t="shared" si="26"/>
        <v>0.87301587301587036</v>
      </c>
      <c r="C223" s="17">
        <v>4.0870148115876997E-3</v>
      </c>
      <c r="D223" s="17">
        <v>2.4613299486996615E-2</v>
      </c>
      <c r="E223" s="16">
        <v>1.1752764374639972</v>
      </c>
      <c r="F223" s="16">
        <v>0.65182164849884838</v>
      </c>
      <c r="G223" s="29">
        <v>0</v>
      </c>
      <c r="H223" s="16">
        <v>0</v>
      </c>
      <c r="I223" s="16">
        <f t="shared" si="27"/>
        <v>-0.28751357975942265</v>
      </c>
      <c r="J223" s="17">
        <f t="shared" si="28"/>
        <v>4.371544259032901E-4</v>
      </c>
      <c r="K223" s="19">
        <f t="shared" si="29"/>
        <v>1.7570679889289941E-5</v>
      </c>
      <c r="L223" s="18">
        <f t="shared" si="30"/>
        <v>1567.7961251691988</v>
      </c>
      <c r="M223" s="31"/>
      <c r="N223" s="36"/>
      <c r="O223" s="38"/>
      <c r="P223" s="37"/>
      <c r="Q223" s="37"/>
      <c r="R223" s="37"/>
      <c r="S223" s="37"/>
      <c r="T223" s="37">
        <f t="shared" si="31"/>
        <v>199</v>
      </c>
      <c r="U223" s="54">
        <v>41339</v>
      </c>
      <c r="V223">
        <v>1541.46</v>
      </c>
      <c r="W223" s="59"/>
      <c r="X223" s="40"/>
      <c r="Y223" s="40"/>
      <c r="Z223" s="44"/>
      <c r="AA223" s="44"/>
      <c r="AB223" s="44"/>
      <c r="AC223" s="44"/>
      <c r="AD223" s="44"/>
    </row>
    <row r="224" spans="1:30" x14ac:dyDescent="0.2">
      <c r="A224" s="11">
        <f t="shared" si="25"/>
        <v>221</v>
      </c>
      <c r="B224" s="15">
        <f t="shared" si="26"/>
        <v>0.87698412698412431</v>
      </c>
      <c r="C224" s="17">
        <v>4.0870148115876997E-3</v>
      </c>
      <c r="D224" s="17">
        <v>2.4613299486996615E-2</v>
      </c>
      <c r="E224" s="16">
        <v>1.3695539058746604</v>
      </c>
      <c r="F224" s="16">
        <v>-1.6685607017004509</v>
      </c>
      <c r="G224" s="29">
        <v>0</v>
      </c>
      <c r="H224" s="16">
        <v>0</v>
      </c>
      <c r="I224" s="16">
        <f t="shared" si="27"/>
        <v>-2.1573524961122357</v>
      </c>
      <c r="J224" s="17">
        <f t="shared" si="28"/>
        <v>2.7401801634337293E-3</v>
      </c>
      <c r="K224" s="19">
        <f t="shared" si="29"/>
        <v>-2.8247353232843169E-3</v>
      </c>
      <c r="L224" s="18">
        <f t="shared" si="30"/>
        <v>1563.3737650137452</v>
      </c>
      <c r="M224" s="31"/>
      <c r="N224" s="36"/>
      <c r="O224" s="38"/>
      <c r="P224" s="37"/>
      <c r="Q224" s="37"/>
      <c r="R224" s="37"/>
      <c r="S224" s="37"/>
      <c r="T224" s="37">
        <f t="shared" si="31"/>
        <v>200</v>
      </c>
      <c r="U224" s="54">
        <v>41340</v>
      </c>
      <c r="V224">
        <v>1544.26</v>
      </c>
      <c r="W224" s="59"/>
      <c r="X224" s="40"/>
      <c r="Y224" s="40"/>
      <c r="Z224" s="44"/>
      <c r="AA224" s="44"/>
      <c r="AB224" s="44"/>
      <c r="AC224" s="44"/>
      <c r="AD224" s="44"/>
    </row>
    <row r="225" spans="1:30" x14ac:dyDescent="0.2">
      <c r="A225" s="11">
        <f t="shared" si="25"/>
        <v>222</v>
      </c>
      <c r="B225" s="15">
        <f t="shared" si="26"/>
        <v>0.88095238095237827</v>
      </c>
      <c r="C225" s="17">
        <v>4.0870148115876997E-3</v>
      </c>
      <c r="D225" s="17">
        <v>2.4613299486996615E-2</v>
      </c>
      <c r="E225" s="16">
        <v>-1.2865313508163614</v>
      </c>
      <c r="F225" s="16">
        <v>0.19730337250717589</v>
      </c>
      <c r="G225" s="29">
        <v>0</v>
      </c>
      <c r="H225" s="16">
        <v>0</v>
      </c>
      <c r="I225" s="16">
        <f t="shared" si="27"/>
        <v>0.9983068978056524</v>
      </c>
      <c r="J225" s="17">
        <f t="shared" si="28"/>
        <v>0</v>
      </c>
      <c r="K225" s="19">
        <f t="shared" si="29"/>
        <v>3.3040848017997729E-3</v>
      </c>
      <c r="L225" s="18">
        <f t="shared" si="30"/>
        <v>1568.5478275739017</v>
      </c>
      <c r="M225" s="31"/>
      <c r="N225" s="36"/>
      <c r="O225" s="38"/>
      <c r="P225" s="37"/>
      <c r="Q225" s="37"/>
      <c r="R225" s="37"/>
      <c r="S225" s="37"/>
      <c r="T225" s="37">
        <f t="shared" si="31"/>
        <v>201</v>
      </c>
      <c r="U225" s="54">
        <v>41341</v>
      </c>
      <c r="V225">
        <v>1551.18</v>
      </c>
      <c r="W225" s="59"/>
      <c r="X225" s="40"/>
      <c r="Y225" s="40"/>
      <c r="Z225" s="44"/>
      <c r="AA225" s="44"/>
      <c r="AB225" s="44"/>
      <c r="AC225" s="44"/>
      <c r="AD225" s="44"/>
    </row>
    <row r="226" spans="1:30" x14ac:dyDescent="0.2">
      <c r="A226" s="11">
        <f t="shared" si="25"/>
        <v>223</v>
      </c>
      <c r="B226" s="15">
        <f t="shared" si="26"/>
        <v>0.88492063492063222</v>
      </c>
      <c r="C226" s="17">
        <v>4.0870148115876997E-3</v>
      </c>
      <c r="D226" s="17">
        <v>2.4613299486996615E-2</v>
      </c>
      <c r="E226" s="16">
        <v>-0.12478634078053794</v>
      </c>
      <c r="F226" s="16">
        <v>-0.39326422128569194</v>
      </c>
      <c r="G226" s="29">
        <v>0</v>
      </c>
      <c r="H226" s="16">
        <v>0</v>
      </c>
      <c r="I226" s="16">
        <f t="shared" si="27"/>
        <v>-0.212677122933636</v>
      </c>
      <c r="J226" s="17">
        <f t="shared" si="28"/>
        <v>0</v>
      </c>
      <c r="K226" s="19">
        <f t="shared" si="29"/>
        <v>1.7570679889289941E-5</v>
      </c>
      <c r="L226" s="18">
        <f t="shared" si="30"/>
        <v>1568.5753882678005</v>
      </c>
      <c r="M226" s="31"/>
      <c r="N226" s="36"/>
      <c r="O226" s="38"/>
      <c r="P226" s="37"/>
      <c r="Q226" s="37"/>
      <c r="R226" s="37"/>
      <c r="S226" s="37"/>
      <c r="T226" s="37">
        <f t="shared" si="31"/>
        <v>202</v>
      </c>
      <c r="U226" s="54">
        <v>41344</v>
      </c>
      <c r="V226">
        <v>1556.22</v>
      </c>
      <c r="W226" s="59"/>
      <c r="X226" s="40"/>
      <c r="Y226" s="40"/>
      <c r="Z226" s="44"/>
      <c r="AA226" s="44"/>
      <c r="AB226" s="44"/>
      <c r="AC226" s="44"/>
      <c r="AD226" s="44"/>
    </row>
    <row r="227" spans="1:30" x14ac:dyDescent="0.2">
      <c r="A227" s="11">
        <f t="shared" si="25"/>
        <v>224</v>
      </c>
      <c r="B227" s="15">
        <f t="shared" si="26"/>
        <v>0.88888888888888618</v>
      </c>
      <c r="C227" s="17">
        <v>4.0870148115876997E-3</v>
      </c>
      <c r="D227" s="17">
        <v>2.4613299486996615E-2</v>
      </c>
      <c r="E227" s="16">
        <v>0.17105524497035751</v>
      </c>
      <c r="F227" s="16">
        <v>0.29934798637587601</v>
      </c>
      <c r="G227" s="29">
        <v>0</v>
      </c>
      <c r="H227" s="16">
        <v>0</v>
      </c>
      <c r="I227" s="16">
        <f t="shared" si="27"/>
        <v>0.11161524258212081</v>
      </c>
      <c r="J227" s="17">
        <f t="shared" si="28"/>
        <v>0</v>
      </c>
      <c r="K227" s="19">
        <f t="shared" si="29"/>
        <v>1.7570679889289941E-5</v>
      </c>
      <c r="L227" s="18">
        <f t="shared" si="30"/>
        <v>1568.6029494459638</v>
      </c>
      <c r="M227" s="31"/>
      <c r="N227" s="36"/>
      <c r="O227" s="38"/>
      <c r="P227" s="37"/>
      <c r="Q227" s="37"/>
      <c r="R227" s="37"/>
      <c r="S227" s="37"/>
      <c r="T227" s="37">
        <f t="shared" si="31"/>
        <v>203</v>
      </c>
      <c r="U227" s="54">
        <v>41345</v>
      </c>
      <c r="V227">
        <v>1552.48</v>
      </c>
      <c r="W227" s="59"/>
      <c r="X227" s="40"/>
      <c r="Y227" s="40"/>
      <c r="Z227" s="44"/>
      <c r="AA227" s="44"/>
      <c r="AB227" s="44"/>
      <c r="AC227" s="44"/>
      <c r="AD227" s="44"/>
    </row>
    <row r="228" spans="1:30" x14ac:dyDescent="0.2">
      <c r="A228" s="11">
        <f t="shared" si="25"/>
        <v>225</v>
      </c>
      <c r="B228" s="15">
        <f t="shared" si="26"/>
        <v>0.89285714285714013</v>
      </c>
      <c r="C228" s="17">
        <v>4.0870148115876997E-3</v>
      </c>
      <c r="D228" s="17">
        <v>2.4613299486996615E-2</v>
      </c>
      <c r="E228" s="16">
        <v>-0.59739296936111641</v>
      </c>
      <c r="F228" s="16">
        <v>2.1106066882765564</v>
      </c>
      <c r="G228" s="29">
        <v>0</v>
      </c>
      <c r="H228" s="16">
        <v>0</v>
      </c>
      <c r="I228" s="16">
        <f t="shared" si="27"/>
        <v>1.9788094915735233</v>
      </c>
      <c r="J228" s="17">
        <f t="shared" si="28"/>
        <v>0</v>
      </c>
      <c r="K228" s="19">
        <f t="shared" si="29"/>
        <v>1.7570679889289941E-5</v>
      </c>
      <c r="L228" s="18">
        <f t="shared" si="30"/>
        <v>1568.6305111083998</v>
      </c>
      <c r="M228" s="31"/>
      <c r="N228" s="36"/>
      <c r="O228" s="38"/>
      <c r="P228" s="37"/>
      <c r="Q228" s="37"/>
      <c r="R228" s="37"/>
      <c r="S228" s="37"/>
      <c r="T228" s="37">
        <f t="shared" si="31"/>
        <v>204</v>
      </c>
      <c r="U228" s="54">
        <v>41346</v>
      </c>
      <c r="V228">
        <v>1554.52</v>
      </c>
      <c r="W228" s="59"/>
      <c r="X228" s="40"/>
      <c r="Y228" s="40"/>
      <c r="Z228" s="44"/>
      <c r="AA228" s="44"/>
      <c r="AB228" s="44"/>
      <c r="AC228" s="44"/>
      <c r="AD228" s="44"/>
    </row>
    <row r="229" spans="1:30" x14ac:dyDescent="0.2">
      <c r="A229" s="11">
        <f t="shared" si="25"/>
        <v>226</v>
      </c>
      <c r="B229" s="15">
        <f t="shared" si="26"/>
        <v>0.89682539682539408</v>
      </c>
      <c r="C229" s="17">
        <v>4.0870148115876997E-3</v>
      </c>
      <c r="D229" s="17">
        <v>2.4613299486996615E-2</v>
      </c>
      <c r="E229" s="16">
        <v>2.3929166903450365E-2</v>
      </c>
      <c r="F229" s="16">
        <v>0.50062277060531302</v>
      </c>
      <c r="G229" s="29">
        <v>0</v>
      </c>
      <c r="H229" s="16">
        <v>0</v>
      </c>
      <c r="I229" s="16">
        <f t="shared" si="27"/>
        <v>0.35990324089610859</v>
      </c>
      <c r="J229" s="17">
        <f t="shared" si="28"/>
        <v>0</v>
      </c>
      <c r="K229" s="19">
        <f t="shared" si="29"/>
        <v>1.7570679889289941E-5</v>
      </c>
      <c r="L229" s="18">
        <f t="shared" si="30"/>
        <v>1568.6580732551174</v>
      </c>
      <c r="M229" s="31"/>
      <c r="N229" s="36"/>
      <c r="O229" s="38"/>
      <c r="P229" s="37"/>
      <c r="Q229" s="37"/>
      <c r="R229" s="37"/>
      <c r="S229" s="37"/>
      <c r="T229" s="37">
        <f t="shared" si="31"/>
        <v>205</v>
      </c>
      <c r="U229" s="54">
        <v>41347</v>
      </c>
      <c r="V229">
        <v>1563.23</v>
      </c>
      <c r="W229" s="59"/>
      <c r="X229" s="40"/>
      <c r="Y229" s="40"/>
      <c r="Z229" s="44"/>
      <c r="AA229" s="44"/>
      <c r="AB229" s="44"/>
      <c r="AC229" s="44"/>
      <c r="AD229" s="44"/>
    </row>
    <row r="230" spans="1:30" x14ac:dyDescent="0.2">
      <c r="A230" s="11">
        <f t="shared" si="25"/>
        <v>227</v>
      </c>
      <c r="B230" s="15">
        <f t="shared" si="26"/>
        <v>0.90079365079364804</v>
      </c>
      <c r="C230" s="17">
        <v>4.0870148115876997E-3</v>
      </c>
      <c r="D230" s="17">
        <v>2.4613299486996615E-2</v>
      </c>
      <c r="E230" s="16">
        <v>-9.1311725064548765E-2</v>
      </c>
      <c r="F230" s="16">
        <v>-0.7385655246633146</v>
      </c>
      <c r="G230" s="29">
        <v>0</v>
      </c>
      <c r="H230" s="16">
        <v>0</v>
      </c>
      <c r="I230" s="16">
        <f t="shared" si="27"/>
        <v>-0.49394809515417204</v>
      </c>
      <c r="J230" s="17">
        <f t="shared" si="28"/>
        <v>0</v>
      </c>
      <c r="K230" s="19">
        <f t="shared" si="29"/>
        <v>1.7570679889289941E-5</v>
      </c>
      <c r="L230" s="18">
        <f t="shared" si="30"/>
        <v>1568.6856358861248</v>
      </c>
      <c r="M230" s="31"/>
      <c r="N230" s="36"/>
      <c r="O230" s="38"/>
      <c r="P230" s="37"/>
      <c r="Q230" s="37"/>
      <c r="R230" s="37"/>
      <c r="S230" s="37"/>
      <c r="T230" s="37">
        <f t="shared" si="31"/>
        <v>206</v>
      </c>
      <c r="U230" s="54">
        <v>41348</v>
      </c>
      <c r="V230">
        <v>1560.7</v>
      </c>
      <c r="W230" s="59"/>
      <c r="X230" s="40"/>
      <c r="Y230" s="40"/>
      <c r="Z230" s="44"/>
      <c r="AA230" s="44"/>
      <c r="AB230" s="44"/>
      <c r="AC230" s="44"/>
      <c r="AD230" s="44"/>
    </row>
    <row r="231" spans="1:30" x14ac:dyDescent="0.2">
      <c r="A231" s="11">
        <f t="shared" si="25"/>
        <v>228</v>
      </c>
      <c r="B231" s="15">
        <f t="shared" si="26"/>
        <v>0.90476190476190199</v>
      </c>
      <c r="C231" s="17">
        <v>4.0870148115876997E-3</v>
      </c>
      <c r="D231" s="17">
        <v>2.4613299486996615E-2</v>
      </c>
      <c r="E231" s="16">
        <v>1.9652129066778599</v>
      </c>
      <c r="F231" s="16">
        <v>-1.051767129279334</v>
      </c>
      <c r="G231" s="29">
        <v>0</v>
      </c>
      <c r="H231" s="16">
        <v>0</v>
      </c>
      <c r="I231" s="16">
        <f t="shared" si="27"/>
        <v>-2.0881025206530173</v>
      </c>
      <c r="J231" s="17">
        <f t="shared" si="28"/>
        <v>2.1834136414490132E-3</v>
      </c>
      <c r="K231" s="19">
        <f t="shared" si="29"/>
        <v>1.7570679889289941E-5</v>
      </c>
      <c r="L231" s="18">
        <f t="shared" si="30"/>
        <v>1568.7131990014307</v>
      </c>
      <c r="M231" s="31"/>
      <c r="N231" s="36"/>
      <c r="O231" s="38"/>
      <c r="P231" s="37"/>
      <c r="Q231" s="37"/>
      <c r="R231" s="37"/>
      <c r="S231" s="37"/>
      <c r="T231" s="37">
        <f t="shared" si="31"/>
        <v>207</v>
      </c>
      <c r="U231" s="54">
        <v>41351</v>
      </c>
      <c r="V231">
        <v>1552.1</v>
      </c>
      <c r="W231" s="59"/>
      <c r="X231" s="40"/>
      <c r="Y231" s="40"/>
      <c r="Z231" s="44"/>
      <c r="AA231" s="44"/>
      <c r="AB231" s="44"/>
      <c r="AC231" s="44"/>
      <c r="AD231" s="44"/>
    </row>
    <row r="232" spans="1:30" x14ac:dyDescent="0.2">
      <c r="A232" s="11">
        <f t="shared" si="25"/>
        <v>229</v>
      </c>
      <c r="B232" s="15">
        <f t="shared" si="26"/>
        <v>0.90873015873015595</v>
      </c>
      <c r="C232" s="17">
        <v>4.0870148115876997E-3</v>
      </c>
      <c r="D232" s="17">
        <v>2.4613299486996615E-2</v>
      </c>
      <c r="E232" s="16">
        <v>-0.95940187884578165</v>
      </c>
      <c r="F232" s="16">
        <v>-1.1215280804816796</v>
      </c>
      <c r="G232" s="29">
        <v>0</v>
      </c>
      <c r="H232" s="16">
        <v>0</v>
      </c>
      <c r="I232" s="16">
        <f t="shared" si="27"/>
        <v>-0.20766618443587537</v>
      </c>
      <c r="J232" s="17">
        <f t="shared" si="28"/>
        <v>0</v>
      </c>
      <c r="K232" s="19">
        <f t="shared" si="29"/>
        <v>-5.9803211044057029E-4</v>
      </c>
      <c r="L232" s="18">
        <f t="shared" si="30"/>
        <v>1567.7753385996252</v>
      </c>
      <c r="M232" s="31"/>
      <c r="N232" s="36"/>
      <c r="O232" s="38"/>
      <c r="P232" s="37"/>
      <c r="Q232" s="37"/>
      <c r="R232" s="37"/>
      <c r="S232" s="37"/>
      <c r="T232" s="37">
        <f t="shared" si="31"/>
        <v>208</v>
      </c>
      <c r="U232" s="54">
        <v>41352</v>
      </c>
      <c r="V232">
        <v>1548.34</v>
      </c>
      <c r="W232" s="59"/>
      <c r="X232" s="40"/>
      <c r="Y232" s="40"/>
      <c r="Z232" s="44"/>
      <c r="AA232" s="44"/>
      <c r="AB232" s="44"/>
      <c r="AC232" s="44"/>
      <c r="AD232" s="44"/>
    </row>
    <row r="233" spans="1:30" x14ac:dyDescent="0.2">
      <c r="A233" s="11">
        <f t="shared" si="25"/>
        <v>230</v>
      </c>
      <c r="B233" s="15">
        <f t="shared" si="26"/>
        <v>0.9126984126984099</v>
      </c>
      <c r="C233" s="17">
        <v>4.0870148115876997E-3</v>
      </c>
      <c r="D233" s="17">
        <v>2.4613299486996615E-2</v>
      </c>
      <c r="E233" s="16">
        <v>-0.3999854124570752</v>
      </c>
      <c r="F233" s="16">
        <v>-0.40213132473884694</v>
      </c>
      <c r="G233" s="29">
        <v>0</v>
      </c>
      <c r="H233" s="16">
        <v>0</v>
      </c>
      <c r="I233" s="16">
        <f t="shared" si="27"/>
        <v>-3.7460907965348456E-2</v>
      </c>
      <c r="J233" s="17">
        <f t="shared" si="28"/>
        <v>0</v>
      </c>
      <c r="K233" s="19">
        <f t="shared" si="29"/>
        <v>1.7570679889289941E-5</v>
      </c>
      <c r="L233" s="18">
        <f t="shared" si="30"/>
        <v>1567.8028857202482</v>
      </c>
      <c r="M233" s="31"/>
      <c r="N233" s="36"/>
      <c r="O233" s="38"/>
      <c r="P233" s="37"/>
      <c r="Q233" s="37"/>
      <c r="R233" s="37"/>
      <c r="S233" s="37"/>
      <c r="T233" s="37">
        <f t="shared" si="31"/>
        <v>209</v>
      </c>
      <c r="U233" s="54">
        <v>41353</v>
      </c>
      <c r="V233">
        <v>1558.71</v>
      </c>
      <c r="W233" s="59"/>
      <c r="X233" s="40"/>
      <c r="Y233" s="40"/>
      <c r="Z233" s="44"/>
      <c r="AA233" s="44"/>
      <c r="AB233" s="44"/>
      <c r="AC233" s="44"/>
      <c r="AD233" s="44"/>
    </row>
    <row r="234" spans="1:30" x14ac:dyDescent="0.2">
      <c r="A234" s="11">
        <f t="shared" si="25"/>
        <v>231</v>
      </c>
      <c r="B234" s="15">
        <f t="shared" si="26"/>
        <v>0.91666666666666385</v>
      </c>
      <c r="C234" s="17">
        <v>4.0870148115876997E-3</v>
      </c>
      <c r="D234" s="17">
        <v>2.4613299486996615E-2</v>
      </c>
      <c r="E234" s="16">
        <v>-1.1687772439189388</v>
      </c>
      <c r="F234" s="16">
        <v>2.4354938334095637</v>
      </c>
      <c r="G234" s="29">
        <v>0</v>
      </c>
      <c r="H234" s="16">
        <v>0</v>
      </c>
      <c r="I234" s="16">
        <f t="shared" si="27"/>
        <v>2.6002483183808711</v>
      </c>
      <c r="J234" s="17">
        <f t="shared" si="28"/>
        <v>4.2643068663889016E-4</v>
      </c>
      <c r="K234" s="19">
        <f t="shared" si="29"/>
        <v>1.7570679889289941E-5</v>
      </c>
      <c r="L234" s="18">
        <f>EXP(K234)*EXP(H234)*L233</f>
        <v>1567.8304333248973</v>
      </c>
      <c r="M234" s="31"/>
      <c r="N234" s="36"/>
      <c r="O234" s="38"/>
      <c r="P234" s="37"/>
      <c r="Q234" s="37"/>
      <c r="R234" s="37"/>
      <c r="S234" s="37"/>
      <c r="T234" s="37">
        <f t="shared" si="31"/>
        <v>210</v>
      </c>
      <c r="U234" s="54">
        <v>41354</v>
      </c>
      <c r="V234">
        <v>1545.8</v>
      </c>
      <c r="W234" s="59"/>
      <c r="X234" s="40"/>
      <c r="Y234" s="40"/>
      <c r="Z234" s="44"/>
      <c r="AA234" s="44"/>
      <c r="AB234" s="44"/>
      <c r="AC234" s="44"/>
      <c r="AD234" s="44"/>
    </row>
    <row r="235" spans="1:30" x14ac:dyDescent="0.2">
      <c r="A235" s="80">
        <f t="shared" si="25"/>
        <v>232</v>
      </c>
      <c r="B235" s="81">
        <f t="shared" si="26"/>
        <v>0.92063492063491781</v>
      </c>
      <c r="C235" s="17">
        <v>4.0870148115876997E-3</v>
      </c>
      <c r="D235" s="17">
        <v>2.4613299486996615E-2</v>
      </c>
      <c r="E235" s="16">
        <v>0.93420247170743043</v>
      </c>
      <c r="F235" s="16">
        <v>-0.98976476808495806</v>
      </c>
      <c r="G235" s="29">
        <v>0</v>
      </c>
      <c r="H235" s="16">
        <v>0</v>
      </c>
      <c r="I235" s="16">
        <f t="shared" si="27"/>
        <v>-1.3602052744498581</v>
      </c>
      <c r="J235" s="17">
        <f t="shared" si="28"/>
        <v>1.5277188235951365E-3</v>
      </c>
      <c r="K235" s="19">
        <f t="shared" si="29"/>
        <v>-1.7526851341299217E-3</v>
      </c>
      <c r="L235" s="18">
        <f t="shared" si="30"/>
        <v>1565.0849269385146</v>
      </c>
      <c r="M235" s="31"/>
      <c r="N235" s="36"/>
      <c r="O235" s="38"/>
      <c r="P235" s="37"/>
      <c r="Q235" s="37"/>
      <c r="R235" s="37"/>
      <c r="S235" s="37"/>
      <c r="T235" s="37">
        <f t="shared" si="31"/>
        <v>211</v>
      </c>
      <c r="U235" s="54">
        <v>41355</v>
      </c>
      <c r="V235">
        <v>1556.89</v>
      </c>
      <c r="W235" s="59"/>
      <c r="X235" s="40"/>
      <c r="Y235" s="40"/>
      <c r="Z235" s="44"/>
      <c r="AA235" s="44"/>
      <c r="AB235" s="44"/>
      <c r="AC235" s="44"/>
      <c r="AD235" s="44"/>
    </row>
    <row r="236" spans="1:30" x14ac:dyDescent="0.2">
      <c r="A236" s="11">
        <f t="shared" si="25"/>
        <v>233</v>
      </c>
      <c r="B236" s="15">
        <f t="shared" si="26"/>
        <v>0.92460317460317176</v>
      </c>
      <c r="C236" s="17">
        <v>4.0870070747002531E-3</v>
      </c>
      <c r="D236" s="17">
        <v>2.4613299486996615E-2</v>
      </c>
      <c r="E236" s="16">
        <v>-1.1244547647347276</v>
      </c>
      <c r="F236" s="16">
        <v>1.2130121020393896</v>
      </c>
      <c r="G236" s="29">
        <v>0</v>
      </c>
      <c r="H236" s="16">
        <v>0</v>
      </c>
      <c r="I236" s="16">
        <f t="shared" si="27"/>
        <v>1.6534845159042102</v>
      </c>
      <c r="J236" s="17">
        <f t="shared" si="28"/>
        <v>0</v>
      </c>
      <c r="K236" s="19">
        <f t="shared" si="29"/>
        <v>4.0857313891745654E-3</v>
      </c>
      <c r="L236" s="18">
        <f t="shared" si="30"/>
        <v>1571.4925244988651</v>
      </c>
      <c r="M236" s="31"/>
      <c r="N236" s="36"/>
      <c r="O236" s="38"/>
      <c r="P236" s="37"/>
      <c r="Q236" s="37"/>
      <c r="R236" s="37"/>
      <c r="S236" s="37"/>
      <c r="T236" s="37">
        <f t="shared" si="31"/>
        <v>212</v>
      </c>
      <c r="U236" s="54">
        <v>41358</v>
      </c>
      <c r="V236">
        <v>1551.69</v>
      </c>
      <c r="W236" s="59"/>
      <c r="X236" s="40"/>
      <c r="Y236" s="40"/>
      <c r="Z236" s="44"/>
      <c r="AA236" s="44"/>
      <c r="AB236" s="44"/>
      <c r="AC236" s="44"/>
      <c r="AD236" s="44"/>
    </row>
    <row r="237" spans="1:30" x14ac:dyDescent="0.2">
      <c r="A237" s="11">
        <f t="shared" si="25"/>
        <v>234</v>
      </c>
      <c r="B237" s="15">
        <f t="shared" si="26"/>
        <v>0.92857142857142572</v>
      </c>
      <c r="C237" s="17">
        <v>4.0870070747002531E-3</v>
      </c>
      <c r="D237" s="17">
        <v>2.4613299486996615E-2</v>
      </c>
      <c r="E237" s="16">
        <v>1.6635584324585404</v>
      </c>
      <c r="F237" s="16">
        <v>-2.1126930187072845E-2</v>
      </c>
      <c r="G237" s="29">
        <v>0</v>
      </c>
      <c r="H237" s="16">
        <v>0</v>
      </c>
      <c r="I237" s="16">
        <f t="shared" si="27"/>
        <v>-1.115252613676829</v>
      </c>
      <c r="J237" s="17">
        <f t="shared" si="28"/>
        <v>1.4128853374310597E-3</v>
      </c>
      <c r="K237" s="19">
        <f t="shared" si="29"/>
        <v>1.7570649187355629E-5</v>
      </c>
      <c r="L237" s="18">
        <f t="shared" si="30"/>
        <v>1571.5201368852968</v>
      </c>
      <c r="M237" s="31"/>
      <c r="N237" s="36"/>
      <c r="O237" s="38"/>
      <c r="P237" s="37"/>
      <c r="Q237" s="37"/>
      <c r="R237" s="37"/>
      <c r="S237" s="37"/>
      <c r="T237" s="37">
        <f t="shared" si="31"/>
        <v>213</v>
      </c>
      <c r="U237" s="54">
        <v>41359</v>
      </c>
      <c r="V237">
        <v>1563.77</v>
      </c>
      <c r="W237" s="59"/>
      <c r="X237" s="40"/>
      <c r="Y237" s="40"/>
      <c r="Z237" s="44"/>
      <c r="AA237" s="44"/>
      <c r="AB237" s="44"/>
      <c r="AC237" s="44"/>
      <c r="AD237" s="44"/>
    </row>
    <row r="238" spans="1:30" x14ac:dyDescent="0.2">
      <c r="A238" s="11">
        <f t="shared" si="25"/>
        <v>235</v>
      </c>
      <c r="B238" s="15">
        <f t="shared" si="26"/>
        <v>0.93253968253967967</v>
      </c>
      <c r="C238" s="17">
        <v>4.0870070747002531E-3</v>
      </c>
      <c r="D238" s="17">
        <v>2.4613299486996615E-2</v>
      </c>
      <c r="E238" s="16">
        <v>0.2105360343223428</v>
      </c>
      <c r="F238" s="16">
        <v>-1.0193015853401224</v>
      </c>
      <c r="G238" s="29">
        <v>0</v>
      </c>
      <c r="H238" s="16">
        <v>0</v>
      </c>
      <c r="I238" s="16">
        <f t="shared" si="27"/>
        <v>-0.90412278101751509</v>
      </c>
      <c r="J238" s="17">
        <f t="shared" si="28"/>
        <v>1.3237114255574378E-3</v>
      </c>
      <c r="K238" s="19">
        <f t="shared" si="29"/>
        <v>-2.1260549007873926E-3</v>
      </c>
      <c r="L238" s="18">
        <f t="shared" si="30"/>
        <v>1568.1825480023751</v>
      </c>
      <c r="M238" s="31"/>
      <c r="N238" s="36"/>
      <c r="O238" s="38"/>
      <c r="P238" s="37"/>
      <c r="Q238" s="37"/>
      <c r="R238" s="37"/>
      <c r="S238" s="37"/>
      <c r="T238" s="37">
        <f t="shared" si="31"/>
        <v>214</v>
      </c>
      <c r="U238" s="54">
        <v>41360</v>
      </c>
      <c r="V238">
        <v>1562.85</v>
      </c>
      <c r="W238" s="59"/>
      <c r="X238" s="40"/>
      <c r="Y238" s="40"/>
      <c r="Z238" s="44"/>
      <c r="AA238" s="44"/>
      <c r="AB238" s="44"/>
      <c r="AC238" s="44"/>
      <c r="AD238" s="44"/>
    </row>
    <row r="239" spans="1:30" x14ac:dyDescent="0.2">
      <c r="A239" s="11">
        <f t="shared" si="25"/>
        <v>236</v>
      </c>
      <c r="B239" s="15">
        <f t="shared" si="26"/>
        <v>0.93650793650793362</v>
      </c>
      <c r="C239" s="17">
        <v>4.0870070747002531E-3</v>
      </c>
      <c r="D239" s="17">
        <v>2.4613299486996615E-2</v>
      </c>
      <c r="E239" s="16">
        <v>-1.3447604911378155</v>
      </c>
      <c r="F239" s="16">
        <v>0.6550059437021345</v>
      </c>
      <c r="G239" s="29">
        <v>0</v>
      </c>
      <c r="H239" s="16">
        <v>0</v>
      </c>
      <c r="I239" s="16">
        <f t="shared" si="27"/>
        <v>1.3802945442599999</v>
      </c>
      <c r="J239" s="17">
        <f t="shared" si="28"/>
        <v>0</v>
      </c>
      <c r="K239" s="19">
        <f t="shared" si="29"/>
        <v>3.1784465754884196E-3</v>
      </c>
      <c r="L239" s="18">
        <f t="shared" si="30"/>
        <v>1573.174862150805</v>
      </c>
      <c r="M239" s="31"/>
      <c r="N239" s="36"/>
      <c r="O239" s="38"/>
      <c r="P239" s="37"/>
      <c r="Q239" s="37"/>
      <c r="R239" s="37"/>
      <c r="S239" s="37"/>
      <c r="T239" s="37">
        <f t="shared" si="31"/>
        <v>215</v>
      </c>
      <c r="U239" s="54">
        <v>41361</v>
      </c>
      <c r="V239">
        <v>1569.19</v>
      </c>
      <c r="W239" s="59"/>
      <c r="X239" s="40"/>
      <c r="Y239" s="40"/>
      <c r="Z239" s="44"/>
      <c r="AA239" s="44"/>
      <c r="AB239" s="44"/>
      <c r="AC239" s="44"/>
      <c r="AD239" s="44"/>
    </row>
    <row r="240" spans="1:30" x14ac:dyDescent="0.2">
      <c r="A240" s="11">
        <f t="shared" si="25"/>
        <v>237</v>
      </c>
      <c r="B240" s="15">
        <f t="shared" si="26"/>
        <v>0.94047619047618758</v>
      </c>
      <c r="C240" s="17">
        <v>4.0870070747002531E-3</v>
      </c>
      <c r="D240" s="17">
        <v>2.4613299486996615E-2</v>
      </c>
      <c r="E240" s="16">
        <v>1.6024732910237254</v>
      </c>
      <c r="F240" s="16">
        <v>1.2610005471506034</v>
      </c>
      <c r="G240" s="29">
        <v>0</v>
      </c>
      <c r="H240" s="16">
        <v>0</v>
      </c>
      <c r="I240" s="16">
        <f t="shared" si="27"/>
        <v>-0.112646736050526</v>
      </c>
      <c r="J240" s="17">
        <f t="shared" si="28"/>
        <v>1.2724503871127607E-3</v>
      </c>
      <c r="K240" s="19">
        <f t="shared" si="29"/>
        <v>1.7570649187355629E-5</v>
      </c>
      <c r="L240" s="18">
        <f t="shared" si="30"/>
        <v>1573.202504097261</v>
      </c>
      <c r="M240" s="31"/>
      <c r="N240" s="36"/>
      <c r="O240" s="38"/>
      <c r="P240" s="37"/>
      <c r="Q240" s="37"/>
      <c r="R240" s="37"/>
      <c r="S240" s="37"/>
      <c r="T240" s="37">
        <f t="shared" si="31"/>
        <v>216</v>
      </c>
      <c r="U240" s="54">
        <v>41365</v>
      </c>
      <c r="V240">
        <v>1562.17</v>
      </c>
      <c r="W240" s="59"/>
      <c r="X240" s="40"/>
      <c r="Y240" s="40"/>
      <c r="Z240" s="44"/>
      <c r="AA240" s="44"/>
      <c r="AB240" s="44"/>
      <c r="AC240" s="44"/>
      <c r="AD240" s="44"/>
    </row>
    <row r="241" spans="1:30" x14ac:dyDescent="0.2">
      <c r="A241" s="11">
        <f t="shared" si="25"/>
        <v>238</v>
      </c>
      <c r="B241" s="15">
        <f t="shared" si="26"/>
        <v>0.94444444444444153</v>
      </c>
      <c r="C241" s="17">
        <v>4.0870070747002531E-3</v>
      </c>
      <c r="D241" s="17">
        <v>2.4613299486996615E-2</v>
      </c>
      <c r="E241" s="16">
        <v>1.4694878821528528</v>
      </c>
      <c r="F241" s="16">
        <v>-0.40687890194311388</v>
      </c>
      <c r="G241" s="29">
        <v>0</v>
      </c>
      <c r="H241" s="16">
        <v>0</v>
      </c>
      <c r="I241" s="16">
        <f t="shared" si="27"/>
        <v>-1.2765038973724434</v>
      </c>
      <c r="J241" s="17">
        <f t="shared" si="28"/>
        <v>5.0341721726455072E-3</v>
      </c>
      <c r="K241" s="19">
        <f t="shared" si="29"/>
        <v>-2.8533711601679648E-3</v>
      </c>
      <c r="L241" s="18">
        <f t="shared" si="30"/>
        <v>1568.7199716486684</v>
      </c>
      <c r="M241" s="31"/>
      <c r="N241" s="36"/>
      <c r="O241" s="38"/>
      <c r="P241" s="37"/>
      <c r="Q241" s="37"/>
      <c r="R241" s="37"/>
      <c r="S241" s="37"/>
      <c r="T241" s="37">
        <f t="shared" si="31"/>
        <v>217</v>
      </c>
      <c r="U241" s="54">
        <v>41366</v>
      </c>
      <c r="V241">
        <v>1570.25</v>
      </c>
      <c r="W241" s="59"/>
      <c r="X241" s="40"/>
      <c r="Y241" s="40"/>
      <c r="Z241" s="44"/>
      <c r="AA241" s="44"/>
      <c r="AB241" s="44"/>
      <c r="AC241" s="44"/>
      <c r="AD241" s="44"/>
    </row>
    <row r="242" spans="1:30" x14ac:dyDescent="0.2">
      <c r="A242" s="11">
        <f t="shared" si="25"/>
        <v>239</v>
      </c>
      <c r="B242" s="15">
        <f t="shared" si="26"/>
        <v>0.94841269841269549</v>
      </c>
      <c r="C242" s="17">
        <v>4.0870070747002531E-3</v>
      </c>
      <c r="D242" s="17">
        <v>2.4613299486996615E-2</v>
      </c>
      <c r="E242" s="16">
        <v>-0.64283797850901692</v>
      </c>
      <c r="F242" s="16">
        <v>-4.0082649877026234E-2</v>
      </c>
      <c r="G242" s="29">
        <v>0</v>
      </c>
      <c r="H242" s="16">
        <v>0</v>
      </c>
      <c r="I242" s="16">
        <f t="shared" si="27"/>
        <v>0.39475069551424069</v>
      </c>
      <c r="J242" s="17">
        <f t="shared" si="28"/>
        <v>2.3513263058517705E-3</v>
      </c>
      <c r="K242" s="19">
        <f t="shared" si="29"/>
        <v>1.7719400288451427E-3</v>
      </c>
      <c r="L242" s="18">
        <f t="shared" si="30"/>
        <v>1571.5021135268207</v>
      </c>
      <c r="M242" s="31"/>
      <c r="N242" s="36"/>
      <c r="O242" s="38"/>
      <c r="P242" s="37"/>
      <c r="Q242" s="37"/>
      <c r="R242" s="37"/>
      <c r="S242" s="37"/>
      <c r="T242" s="37">
        <f t="shared" si="31"/>
        <v>218</v>
      </c>
      <c r="U242" s="54">
        <v>41367</v>
      </c>
      <c r="V242">
        <v>1553.69</v>
      </c>
      <c r="W242" s="59"/>
      <c r="X242" s="40"/>
      <c r="Y242" s="40"/>
      <c r="Z242" s="44"/>
      <c r="AA242" s="44"/>
      <c r="AB242" s="44"/>
      <c r="AC242" s="44"/>
      <c r="AD242" s="44"/>
    </row>
    <row r="243" spans="1:30" x14ac:dyDescent="0.2">
      <c r="A243" s="11">
        <f t="shared" si="25"/>
        <v>240</v>
      </c>
      <c r="B243" s="15">
        <f t="shared" si="26"/>
        <v>0.95238095238094944</v>
      </c>
      <c r="C243" s="17">
        <v>4.0870070747002531E-3</v>
      </c>
      <c r="D243" s="17">
        <v>2.4613299486996615E-2</v>
      </c>
      <c r="E243" s="16">
        <v>2.3787609013993505</v>
      </c>
      <c r="F243" s="16">
        <v>-0.75090506142377078</v>
      </c>
      <c r="G243" s="29">
        <v>0</v>
      </c>
      <c r="H243" s="16">
        <v>0</v>
      </c>
      <c r="I243" s="16">
        <f t="shared" si="27"/>
        <v>-2.1356072885516317</v>
      </c>
      <c r="J243" s="17">
        <f t="shared" si="28"/>
        <v>1.1911341016147218E-2</v>
      </c>
      <c r="K243" s="19">
        <f t="shared" si="29"/>
        <v>-6.5105482449925702E-3</v>
      </c>
      <c r="L243" s="18">
        <f t="shared" si="30"/>
        <v>1561.3040068547839</v>
      </c>
      <c r="M243" s="31"/>
      <c r="N243" s="36"/>
      <c r="O243" s="38"/>
      <c r="P243" s="37"/>
      <c r="Q243" s="37"/>
      <c r="R243" s="37"/>
      <c r="S243" s="37"/>
      <c r="T243" s="37">
        <f t="shared" si="31"/>
        <v>219</v>
      </c>
      <c r="U243" s="54">
        <v>41368</v>
      </c>
      <c r="V243">
        <v>1559.98</v>
      </c>
      <c r="W243" s="59"/>
      <c r="X243" s="40"/>
      <c r="Y243" s="40"/>
      <c r="Z243" s="44"/>
      <c r="AA243" s="44"/>
      <c r="AB243" s="44"/>
      <c r="AC243" s="44"/>
      <c r="AD243" s="44"/>
    </row>
    <row r="244" spans="1:30" x14ac:dyDescent="0.2">
      <c r="A244" s="11">
        <f t="shared" si="25"/>
        <v>241</v>
      </c>
      <c r="B244" s="15">
        <f t="shared" si="26"/>
        <v>0.9563492063492034</v>
      </c>
      <c r="C244" s="17">
        <v>4.0870070747002531E-3</v>
      </c>
      <c r="D244" s="17">
        <v>2.4613299486996615E-2</v>
      </c>
      <c r="E244" s="16">
        <v>0.382696797009215</v>
      </c>
      <c r="F244" s="16">
        <v>-1.6230660956557015</v>
      </c>
      <c r="G244" s="29">
        <v>0</v>
      </c>
      <c r="H244" s="16">
        <v>0</v>
      </c>
      <c r="I244" s="16">
        <f t="shared" si="27"/>
        <v>-1.4710239529927445</v>
      </c>
      <c r="J244" s="17">
        <f t="shared" si="28"/>
        <v>1.365211464437207E-2</v>
      </c>
      <c r="K244" s="19">
        <f t="shared" si="29"/>
        <v>-1.0119523947227016E-2</v>
      </c>
      <c r="L244" s="18">
        <f t="shared" si="30"/>
        <v>1545.5840270742754</v>
      </c>
      <c r="M244" s="31"/>
      <c r="N244" s="36"/>
      <c r="O244" s="38"/>
      <c r="P244" s="37"/>
      <c r="Q244" s="37"/>
      <c r="R244" s="37"/>
      <c r="S244" s="37"/>
      <c r="T244" s="37">
        <f t="shared" si="31"/>
        <v>220</v>
      </c>
      <c r="U244" s="54">
        <v>41369</v>
      </c>
      <c r="V244">
        <v>1553.28</v>
      </c>
      <c r="W244" s="59"/>
      <c r="X244" s="40"/>
      <c r="Y244" s="40"/>
      <c r="Z244" s="44"/>
      <c r="AA244" s="44"/>
      <c r="AB244" s="44"/>
      <c r="AC244" s="44"/>
      <c r="AD244" s="44"/>
    </row>
    <row r="245" spans="1:30" x14ac:dyDescent="0.2">
      <c r="A245" s="11">
        <f t="shared" si="25"/>
        <v>242</v>
      </c>
      <c r="B245" s="15">
        <f t="shared" si="26"/>
        <v>0.96031746031745735</v>
      </c>
      <c r="C245" s="17">
        <v>4.0870070747002531E-3</v>
      </c>
      <c r="D245" s="17">
        <v>2.4613299486996615E-2</v>
      </c>
      <c r="E245" s="16">
        <v>-1.1552688296512779</v>
      </c>
      <c r="F245" s="16">
        <v>-0.37924293639255791</v>
      </c>
      <c r="G245" s="29">
        <v>0</v>
      </c>
      <c r="H245" s="16">
        <v>0</v>
      </c>
      <c r="I245" s="16">
        <f t="shared" si="27"/>
        <v>0.47886142773954266</v>
      </c>
      <c r="J245" s="17">
        <f t="shared" si="28"/>
        <v>6.844007146982644E-3</v>
      </c>
      <c r="K245" s="19">
        <f t="shared" si="29"/>
        <v>3.5150807835761179E-3</v>
      </c>
      <c r="L245" s="18">
        <f t="shared" si="30"/>
        <v>1551.0264394430376</v>
      </c>
      <c r="M245" s="31"/>
      <c r="N245" s="36"/>
      <c r="O245" s="38"/>
      <c r="P245" s="37"/>
      <c r="Q245" s="37"/>
      <c r="R245" s="37"/>
      <c r="S245" s="37"/>
      <c r="T245" s="37">
        <f t="shared" si="31"/>
        <v>221</v>
      </c>
      <c r="U245" s="54">
        <v>41372</v>
      </c>
      <c r="V245">
        <v>1563.07</v>
      </c>
      <c r="W245" s="59"/>
      <c r="X245" s="40"/>
      <c r="Y245" s="40"/>
      <c r="Z245" s="44"/>
      <c r="AA245" s="44"/>
      <c r="AB245" s="44"/>
      <c r="AC245" s="44"/>
      <c r="AD245" s="44"/>
    </row>
    <row r="246" spans="1:30" x14ac:dyDescent="0.2">
      <c r="A246" s="11">
        <f t="shared" si="25"/>
        <v>243</v>
      </c>
      <c r="B246" s="15">
        <f t="shared" si="26"/>
        <v>0.9642857142857113</v>
      </c>
      <c r="C246" s="17">
        <v>4.0870070747002531E-3</v>
      </c>
      <c r="D246" s="17">
        <v>2.4613299486996615E-2</v>
      </c>
      <c r="E246" s="16">
        <v>0.88444061477866709</v>
      </c>
      <c r="F246" s="16">
        <v>-2.8708815012594178</v>
      </c>
      <c r="G246" s="29">
        <v>1</v>
      </c>
      <c r="H246" s="16">
        <v>0.19398422957651523</v>
      </c>
      <c r="I246" s="16">
        <f t="shared" si="27"/>
        <v>-2.7390969880304414</v>
      </c>
      <c r="J246" s="17">
        <f t="shared" si="28"/>
        <v>1.0717038660020299E-2</v>
      </c>
      <c r="K246" s="19">
        <f t="shared" si="29"/>
        <v>-1.4270556790893493E-2</v>
      </c>
      <c r="L246" s="18">
        <f t="shared" si="30"/>
        <v>1856.3841745491995</v>
      </c>
      <c r="M246" s="31"/>
      <c r="N246" s="36"/>
      <c r="O246" s="38"/>
      <c r="P246" s="37"/>
      <c r="Q246" s="37"/>
      <c r="R246" s="37"/>
      <c r="S246" s="37"/>
      <c r="T246" s="37">
        <f t="shared" si="31"/>
        <v>222</v>
      </c>
      <c r="U246" s="54">
        <v>41373</v>
      </c>
      <c r="V246">
        <v>1568.61</v>
      </c>
      <c r="W246" s="59"/>
      <c r="X246" s="40"/>
      <c r="Y246" s="40"/>
      <c r="Z246" s="44"/>
      <c r="AA246" s="44"/>
      <c r="AB246" s="44"/>
      <c r="AC246" s="44"/>
      <c r="AD246" s="44"/>
    </row>
    <row r="247" spans="1:30" x14ac:dyDescent="0.2">
      <c r="A247" s="11">
        <f t="shared" si="25"/>
        <v>244</v>
      </c>
      <c r="B247" s="15">
        <f t="shared" si="26"/>
        <v>0.96825396825396526</v>
      </c>
      <c r="C247" s="17">
        <v>4.0870070747002531E-3</v>
      </c>
      <c r="D247" s="17">
        <v>2.4613299486996615E-2</v>
      </c>
      <c r="E247" s="16">
        <v>-2.7019967937288083</v>
      </c>
      <c r="F247" s="16">
        <v>-0.87445085426712232</v>
      </c>
      <c r="G247" s="29">
        <v>0</v>
      </c>
      <c r="H247" s="16">
        <v>0</v>
      </c>
      <c r="I247" s="16">
        <f t="shared" si="27"/>
        <v>1.129394984165309</v>
      </c>
      <c r="J247" s="17">
        <f t="shared" si="28"/>
        <v>4.3925406872585544E-4</v>
      </c>
      <c r="K247" s="19">
        <f t="shared" si="29"/>
        <v>7.3614802010378332E-3</v>
      </c>
      <c r="L247" s="18">
        <f t="shared" si="30"/>
        <v>1870.1003335707771</v>
      </c>
      <c r="M247" s="31"/>
      <c r="N247" s="36"/>
      <c r="O247" s="38"/>
      <c r="P247" s="37"/>
      <c r="Q247" s="37"/>
      <c r="R247" s="37"/>
      <c r="S247" s="37"/>
      <c r="T247" s="37">
        <f t="shared" si="31"/>
        <v>223</v>
      </c>
      <c r="U247" s="54">
        <v>41374</v>
      </c>
      <c r="V247">
        <v>1587.73</v>
      </c>
      <c r="W247" s="59"/>
      <c r="X247" s="40"/>
      <c r="Y247" s="40"/>
      <c r="Z247" s="44"/>
      <c r="AA247" s="44"/>
      <c r="AB247" s="44"/>
      <c r="AC247" s="44"/>
      <c r="AD247" s="44"/>
    </row>
    <row r="248" spans="1:30" x14ac:dyDescent="0.2">
      <c r="A248" s="11">
        <f t="shared" si="25"/>
        <v>245</v>
      </c>
      <c r="B248" s="15">
        <f t="shared" si="26"/>
        <v>0.97222222222221921</v>
      </c>
      <c r="C248" s="17">
        <v>4.0870070747002531E-3</v>
      </c>
      <c r="D248" s="17">
        <v>2.4613299486996615E-2</v>
      </c>
      <c r="E248" s="16">
        <v>6.5786064628866658E-2</v>
      </c>
      <c r="F248" s="16">
        <v>-5.1500487593410379E-4</v>
      </c>
      <c r="G248" s="29">
        <v>0</v>
      </c>
      <c r="H248" s="16">
        <v>0</v>
      </c>
      <c r="I248" s="16">
        <f t="shared" si="27"/>
        <v>-4.3862586934508931E-2</v>
      </c>
      <c r="J248" s="17">
        <f t="shared" si="28"/>
        <v>0</v>
      </c>
      <c r="K248" s="19">
        <f t="shared" si="29"/>
        <v>-4.1210660400717381E-5</v>
      </c>
      <c r="L248" s="18">
        <f t="shared" si="30"/>
        <v>1870.0232670890064</v>
      </c>
      <c r="M248" s="31"/>
      <c r="N248" s="36"/>
      <c r="O248" s="38"/>
      <c r="P248" s="37"/>
      <c r="Q248" s="37"/>
      <c r="R248" s="37"/>
      <c r="S248" s="37"/>
      <c r="T248" s="37">
        <f t="shared" si="31"/>
        <v>224</v>
      </c>
      <c r="U248" s="54">
        <v>41375</v>
      </c>
      <c r="V248">
        <v>1593.37</v>
      </c>
      <c r="W248" s="59"/>
      <c r="X248" s="40"/>
      <c r="Y248" s="40"/>
      <c r="Z248" s="44"/>
      <c r="AA248" s="44"/>
      <c r="AB248" s="44"/>
      <c r="AC248" s="44"/>
      <c r="AD248" s="44"/>
    </row>
    <row r="249" spans="1:30" x14ac:dyDescent="0.2">
      <c r="A249" s="11">
        <f t="shared" si="25"/>
        <v>246</v>
      </c>
      <c r="B249" s="15">
        <f t="shared" si="26"/>
        <v>0.97619047619047317</v>
      </c>
      <c r="C249" s="17">
        <v>4.0870070747002531E-3</v>
      </c>
      <c r="D249" s="17">
        <v>2.4613299486996615E-2</v>
      </c>
      <c r="E249" s="16">
        <v>0.34267148455466345</v>
      </c>
      <c r="F249" s="16">
        <v>-0.74142050471699716</v>
      </c>
      <c r="G249" s="29">
        <v>0</v>
      </c>
      <c r="H249" s="16">
        <v>0</v>
      </c>
      <c r="I249" s="16">
        <f t="shared" si="27"/>
        <v>-0.78289750038377526</v>
      </c>
      <c r="J249" s="17">
        <f t="shared" si="28"/>
        <v>0</v>
      </c>
      <c r="K249" s="19">
        <f t="shared" si="29"/>
        <v>1.7570649187355629E-5</v>
      </c>
      <c r="L249" s="18">
        <f t="shared" si="30"/>
        <v>1870.0561249004704</v>
      </c>
      <c r="M249" s="31"/>
      <c r="N249" s="36"/>
      <c r="O249" s="38"/>
      <c r="P249" s="37"/>
      <c r="Q249" s="37"/>
      <c r="R249" s="37"/>
      <c r="S249" s="37"/>
      <c r="T249" s="37">
        <f t="shared" si="31"/>
        <v>225</v>
      </c>
      <c r="U249" s="54">
        <v>41376</v>
      </c>
      <c r="V249">
        <v>1588.85</v>
      </c>
      <c r="W249" s="59"/>
      <c r="X249" s="40"/>
      <c r="Y249" s="40"/>
      <c r="Z249" s="44"/>
      <c r="AA249" s="44"/>
      <c r="AB249" s="44"/>
      <c r="AC249" s="44"/>
      <c r="AD249" s="44"/>
    </row>
    <row r="250" spans="1:30" x14ac:dyDescent="0.2">
      <c r="A250" s="11">
        <f t="shared" si="25"/>
        <v>247</v>
      </c>
      <c r="B250" s="15">
        <f t="shared" si="26"/>
        <v>0.98015873015872712</v>
      </c>
      <c r="C250" s="17">
        <v>4.0870070747002531E-3</v>
      </c>
      <c r="D250" s="17">
        <v>2.4613299486996615E-2</v>
      </c>
      <c r="E250" s="16">
        <v>-1.0435357352151504</v>
      </c>
      <c r="F250" s="16">
        <v>2.0076591672185069</v>
      </c>
      <c r="G250" s="29">
        <v>0</v>
      </c>
      <c r="H250" s="16">
        <v>0</v>
      </c>
      <c r="I250" s="16">
        <f t="shared" si="27"/>
        <v>2.1963900267804455</v>
      </c>
      <c r="J250" s="17">
        <f t="shared" si="28"/>
        <v>2.3139500150091551E-4</v>
      </c>
      <c r="K250" s="19">
        <f t="shared" si="29"/>
        <v>1.7570649187355629E-5</v>
      </c>
      <c r="L250" s="18">
        <f t="shared" si="30"/>
        <v>1870.0889832892726</v>
      </c>
      <c r="M250" s="31"/>
      <c r="N250" s="36"/>
      <c r="O250" s="38"/>
      <c r="P250" s="37"/>
      <c r="Q250" s="37"/>
      <c r="R250" s="37"/>
      <c r="S250" s="37"/>
      <c r="T250" s="37">
        <f t="shared" si="31"/>
        <v>226</v>
      </c>
      <c r="U250" s="54">
        <v>41379</v>
      </c>
      <c r="V250">
        <v>1552.36</v>
      </c>
      <c r="W250" s="59"/>
      <c r="X250" s="40"/>
      <c r="Y250" s="40"/>
      <c r="Z250" s="44"/>
      <c r="AA250" s="44"/>
      <c r="AB250" s="44"/>
      <c r="AC250" s="44"/>
      <c r="AD250" s="44"/>
    </row>
    <row r="251" spans="1:30" x14ac:dyDescent="0.2">
      <c r="A251" s="11">
        <f t="shared" si="25"/>
        <v>248</v>
      </c>
      <c r="B251" s="15">
        <f t="shared" si="26"/>
        <v>0.98412698412698107</v>
      </c>
      <c r="C251" s="17">
        <v>4.0870070747002531E-3</v>
      </c>
      <c r="D251" s="17">
        <v>2.4613299486996615E-2</v>
      </c>
      <c r="E251" s="16">
        <v>1.0296065031234634</v>
      </c>
      <c r="F251" s="16">
        <v>-7.6416792596326194E-2</v>
      </c>
      <c r="G251" s="29">
        <v>0</v>
      </c>
      <c r="H251" s="16">
        <v>0</v>
      </c>
      <c r="I251" s="16">
        <f t="shared" si="27"/>
        <v>-0.73778745780249944</v>
      </c>
      <c r="J251" s="17">
        <f t="shared" si="28"/>
        <v>1.2726891981681139E-3</v>
      </c>
      <c r="K251" s="19">
        <f t="shared" si="29"/>
        <v>-6.8986986173250801E-4</v>
      </c>
      <c r="L251" s="18">
        <f t="shared" si="30"/>
        <v>1868.7993101654017</v>
      </c>
      <c r="M251" s="31"/>
      <c r="N251" s="36"/>
      <c r="O251" s="38"/>
      <c r="P251" s="37"/>
      <c r="Q251" s="37"/>
      <c r="R251" s="37"/>
      <c r="S251" s="37"/>
      <c r="T251" s="37">
        <f t="shared" si="31"/>
        <v>227</v>
      </c>
      <c r="U251" s="54">
        <v>41380</v>
      </c>
      <c r="V251">
        <v>1574.57</v>
      </c>
      <c r="W251" s="59"/>
      <c r="X251" s="40"/>
      <c r="Y251" s="40"/>
      <c r="Z251" s="44"/>
      <c r="AA251" s="44"/>
      <c r="AB251" s="44"/>
      <c r="AC251" s="44"/>
      <c r="AD251" s="44"/>
    </row>
    <row r="252" spans="1:30" x14ac:dyDescent="0.2">
      <c r="A252" s="11">
        <f t="shared" si="25"/>
        <v>249</v>
      </c>
      <c r="B252" s="15">
        <f t="shared" si="26"/>
        <v>0.98809523809523503</v>
      </c>
      <c r="C252" s="17">
        <v>4.0870070747002531E-3</v>
      </c>
      <c r="D252" s="17">
        <v>2.4613299486996615E-2</v>
      </c>
      <c r="E252" s="16">
        <v>-1.2147778615686202</v>
      </c>
      <c r="F252" s="16">
        <v>0.34086565364071519</v>
      </c>
      <c r="G252" s="29">
        <v>0</v>
      </c>
      <c r="H252" s="16">
        <v>0</v>
      </c>
      <c r="I252" s="16">
        <f t="shared" si="27"/>
        <v>1.0586305996644403</v>
      </c>
      <c r="J252" s="17">
        <f t="shared" si="28"/>
        <v>0</v>
      </c>
      <c r="K252" s="19">
        <f t="shared" si="29"/>
        <v>2.3941052347366955E-3</v>
      </c>
      <c r="L252" s="18">
        <f t="shared" si="30"/>
        <v>1873.2787723889276</v>
      </c>
      <c r="M252" s="31"/>
      <c r="N252" s="36"/>
      <c r="O252" s="38"/>
      <c r="P252" s="37"/>
      <c r="Q252" s="37"/>
      <c r="R252" s="37"/>
      <c r="S252" s="37"/>
      <c r="T252" s="37">
        <f t="shared" si="31"/>
        <v>228</v>
      </c>
      <c r="U252" s="54">
        <v>41381</v>
      </c>
      <c r="V252">
        <v>1552.01</v>
      </c>
      <c r="W252" s="59"/>
      <c r="X252" s="40"/>
      <c r="Y252" s="40"/>
      <c r="Z252" s="44"/>
      <c r="AA252" s="44"/>
      <c r="AB252" s="44"/>
      <c r="AC252" s="44"/>
      <c r="AD252" s="44"/>
    </row>
    <row r="253" spans="1:30" x14ac:dyDescent="0.2">
      <c r="A253" s="11">
        <f t="shared" si="25"/>
        <v>250</v>
      </c>
      <c r="B253" s="15">
        <f t="shared" si="26"/>
        <v>0.99206349206348898</v>
      </c>
      <c r="C253" s="17">
        <v>4.0870070747002531E-3</v>
      </c>
      <c r="D253" s="17">
        <v>2.4613299486996615E-2</v>
      </c>
      <c r="E253" s="16">
        <v>0.86713886750541225</v>
      </c>
      <c r="F253" s="16">
        <v>1.4756144230245851</v>
      </c>
      <c r="G253" s="29">
        <v>0</v>
      </c>
      <c r="H253" s="16">
        <v>0</v>
      </c>
      <c r="I253" s="16">
        <f t="shared" si="27"/>
        <v>0.53438184954464596</v>
      </c>
      <c r="J253" s="17">
        <f t="shared" si="28"/>
        <v>0</v>
      </c>
      <c r="K253" s="19">
        <f t="shared" si="29"/>
        <v>1.7570649187355629E-5</v>
      </c>
      <c r="L253" s="18">
        <f t="shared" si="30"/>
        <v>1873.3116874022355</v>
      </c>
      <c r="M253" s="31"/>
      <c r="N253" s="36"/>
      <c r="O253" s="38"/>
      <c r="P253" s="37"/>
      <c r="Q253" s="37"/>
      <c r="R253" s="37"/>
      <c r="S253" s="37"/>
      <c r="T253" s="37">
        <f t="shared" si="31"/>
        <v>229</v>
      </c>
      <c r="U253" s="54">
        <v>41382</v>
      </c>
      <c r="V253">
        <v>1541.61</v>
      </c>
      <c r="W253" s="59"/>
      <c r="X253" s="40"/>
      <c r="Y253" s="40"/>
      <c r="Z253" s="44"/>
      <c r="AA253" s="44"/>
      <c r="AB253" s="44"/>
      <c r="AC253" s="44"/>
      <c r="AD253" s="44"/>
    </row>
    <row r="254" spans="1:30" x14ac:dyDescent="0.2">
      <c r="A254" s="11">
        <f t="shared" si="25"/>
        <v>251</v>
      </c>
      <c r="B254" s="15">
        <f t="shared" si="26"/>
        <v>0.99603174603174294</v>
      </c>
      <c r="C254" s="17">
        <v>4.0870070747002531E-3</v>
      </c>
      <c r="D254" s="17">
        <v>2.4613299486996615E-2</v>
      </c>
      <c r="E254" s="16">
        <v>-0.17622437256783055</v>
      </c>
      <c r="F254" s="16">
        <v>1.4786693733574761</v>
      </c>
      <c r="G254" s="29">
        <v>0</v>
      </c>
      <c r="H254" s="16">
        <v>0</v>
      </c>
      <c r="I254" s="16">
        <f t="shared" si="27"/>
        <v>1.2262026773118917</v>
      </c>
      <c r="J254" s="17">
        <f t="shared" si="28"/>
        <v>0</v>
      </c>
      <c r="K254" s="19">
        <f t="shared" si="29"/>
        <v>1.7570649187355629E-5</v>
      </c>
      <c r="L254" s="18">
        <f t="shared" si="30"/>
        <v>1873.3446029938868</v>
      </c>
      <c r="M254" s="31"/>
      <c r="N254" s="36"/>
      <c r="O254" s="38"/>
      <c r="P254" s="37"/>
      <c r="Q254" s="37"/>
      <c r="R254" s="37"/>
      <c r="S254" s="37"/>
      <c r="T254" s="37">
        <f t="shared" si="31"/>
        <v>230</v>
      </c>
      <c r="U254" s="54">
        <v>41383</v>
      </c>
      <c r="V254">
        <v>1555.25</v>
      </c>
      <c r="W254" s="59"/>
      <c r="X254" s="40"/>
      <c r="Y254" s="40"/>
      <c r="Z254" s="44"/>
      <c r="AA254" s="44"/>
      <c r="AB254" s="44"/>
      <c r="AC254" s="44"/>
      <c r="AD254" s="44"/>
    </row>
    <row r="255" spans="1:30" x14ac:dyDescent="0.2">
      <c r="A255" s="11">
        <f t="shared" si="25"/>
        <v>252</v>
      </c>
      <c r="B255" s="15">
        <f t="shared" si="26"/>
        <v>0.99999999999999689</v>
      </c>
      <c r="C255" s="17">
        <v>4.0870070747002531E-3</v>
      </c>
      <c r="D255" s="17">
        <v>2.4613299486996615E-2</v>
      </c>
      <c r="E255" s="16">
        <v>-2.9077570573138997E-3</v>
      </c>
      <c r="F255" s="16">
        <v>-1.0616017809889369</v>
      </c>
      <c r="G255" s="29">
        <v>0</v>
      </c>
      <c r="H255" s="16">
        <v>0</v>
      </c>
      <c r="I255" s="16">
        <f t="shared" si="27"/>
        <v>-0.79481034635275927</v>
      </c>
      <c r="J255" s="17">
        <f t="shared" si="28"/>
        <v>0</v>
      </c>
      <c r="K255" s="19">
        <f t="shared" si="29"/>
        <v>1.7570649187355629E-5</v>
      </c>
      <c r="L255" s="18">
        <f t="shared" si="30"/>
        <v>1873.3775191638915</v>
      </c>
      <c r="M255" s="31"/>
      <c r="N255" s="36"/>
      <c r="O255" s="38"/>
      <c r="P255" s="37"/>
      <c r="Q255" s="37"/>
      <c r="R255" s="37"/>
      <c r="S255" s="37"/>
      <c r="T255" s="37">
        <f t="shared" si="31"/>
        <v>231</v>
      </c>
      <c r="U255" s="54">
        <v>41386</v>
      </c>
      <c r="V255">
        <v>1562.5</v>
      </c>
      <c r="W255" s="59"/>
      <c r="X255" s="40"/>
      <c r="Y255" s="40"/>
      <c r="Z255" s="44"/>
      <c r="AA255" s="44"/>
      <c r="AB255" s="44"/>
      <c r="AC255" s="44"/>
      <c r="AD255" s="44"/>
    </row>
    <row r="256" spans="1:30" x14ac:dyDescent="0.2">
      <c r="A256" s="11">
        <f t="shared" si="25"/>
        <v>253</v>
      </c>
      <c r="B256" s="15">
        <f t="shared" si="26"/>
        <v>1.0039682539682508</v>
      </c>
      <c r="C256" s="17">
        <v>4.0870070747002531E-3</v>
      </c>
      <c r="D256" s="17">
        <v>2.4613299486996615E-2</v>
      </c>
      <c r="E256" s="16">
        <v>-0.86988209118108661</v>
      </c>
      <c r="F256" s="16">
        <v>-1.2951851903162432</v>
      </c>
      <c r="G256" s="29">
        <v>0</v>
      </c>
      <c r="H256" s="16">
        <v>0</v>
      </c>
      <c r="I256" s="16">
        <f t="shared" si="27"/>
        <v>-0.39715681817461601</v>
      </c>
      <c r="J256" s="17">
        <f t="shared" ref="J256:J294" si="32">MAX((SQRT(J255)+Eta*SQRT(dt)*E256/2)^2+Kappa*(Theta-J255)*dt-Eta*Eta*dt/4,0)</f>
        <v>0</v>
      </c>
      <c r="K256" s="19">
        <f t="shared" ref="K256:K294" si="33">(C256-D256-Lambda*(EXP(Alpha+Delta^2/2)-1)-MAX((SQRT($J255)-0),0)^2/2)*dt+SQRT(MAX((SQRT($J255)-0),0)^2*dt)*I256</f>
        <v>1.7570649187355629E-5</v>
      </c>
      <c r="L256" s="18">
        <f t="shared" ref="L256:L294" si="34">EXP(K256)*EXP(H256)*L255</f>
        <v>1873.4104359122598</v>
      </c>
      <c r="T256" s="37"/>
      <c r="U256" s="54"/>
      <c r="W256" s="59"/>
    </row>
    <row r="257" spans="1:23" x14ac:dyDescent="0.2">
      <c r="A257" s="11">
        <f t="shared" si="25"/>
        <v>254</v>
      </c>
      <c r="B257" s="15">
        <f t="shared" si="26"/>
        <v>1.0079365079365048</v>
      </c>
      <c r="C257" s="17">
        <v>4.0870070747002531E-3</v>
      </c>
      <c r="D257" s="17">
        <v>2.4613299486996615E-2</v>
      </c>
      <c r="E257" s="16">
        <v>-0.70432254738032718</v>
      </c>
      <c r="F257" s="16">
        <v>0.41671364878731409</v>
      </c>
      <c r="G257" s="29">
        <v>0</v>
      </c>
      <c r="H257" s="16">
        <v>0</v>
      </c>
      <c r="I257" s="16">
        <f t="shared" si="27"/>
        <v>0.77820960156420504</v>
      </c>
      <c r="J257" s="17">
        <f t="shared" si="32"/>
        <v>0</v>
      </c>
      <c r="K257" s="19">
        <f t="shared" si="33"/>
        <v>1.7570649187355629E-5</v>
      </c>
      <c r="L257" s="18">
        <f t="shared" si="34"/>
        <v>1873.4433532390017</v>
      </c>
      <c r="T257" s="37"/>
      <c r="U257" s="54"/>
      <c r="W257" s="59"/>
    </row>
    <row r="258" spans="1:23" x14ac:dyDescent="0.2">
      <c r="A258" s="11">
        <f t="shared" si="25"/>
        <v>255</v>
      </c>
      <c r="B258" s="15">
        <f t="shared" si="26"/>
        <v>1.0119047619047588</v>
      </c>
      <c r="C258" s="17">
        <v>4.0870070747002531E-3</v>
      </c>
      <c r="D258" s="17">
        <v>2.4613299486996615E-2</v>
      </c>
      <c r="E258" s="16">
        <v>-1.4981033624702558</v>
      </c>
      <c r="F258" s="16">
        <v>0.33120221416731382</v>
      </c>
      <c r="G258" s="29">
        <v>0</v>
      </c>
      <c r="H258" s="16">
        <v>0</v>
      </c>
      <c r="I258" s="16">
        <f t="shared" si="27"/>
        <v>1.2386196826919489</v>
      </c>
      <c r="J258" s="17">
        <f t="shared" si="32"/>
        <v>1.044659114365379E-3</v>
      </c>
      <c r="K258" s="19">
        <f t="shared" si="33"/>
        <v>1.7570649187355629E-5</v>
      </c>
      <c r="L258" s="18">
        <f t="shared" si="34"/>
        <v>1873.4762711441274</v>
      </c>
      <c r="T258" s="37"/>
      <c r="U258" s="54"/>
      <c r="W258" s="59"/>
    </row>
    <row r="259" spans="1:23" x14ac:dyDescent="0.2">
      <c r="A259" s="11">
        <f t="shared" si="25"/>
        <v>256</v>
      </c>
      <c r="B259" s="15">
        <f t="shared" si="26"/>
        <v>1.0158730158730127</v>
      </c>
      <c r="C259" s="17">
        <v>4.0870070747002531E-3</v>
      </c>
      <c r="D259" s="17">
        <v>2.4613299486996615E-2</v>
      </c>
      <c r="E259" s="16">
        <v>-0.92526309039095234</v>
      </c>
      <c r="F259" s="16">
        <v>0.117987272419145</v>
      </c>
      <c r="G259" s="29">
        <v>0</v>
      </c>
      <c r="H259" s="16">
        <v>0</v>
      </c>
      <c r="I259" s="16">
        <f t="shared" si="27"/>
        <v>0.70002860393689448</v>
      </c>
      <c r="J259" s="17">
        <f t="shared" si="32"/>
        <v>0</v>
      </c>
      <c r="K259" s="19">
        <f t="shared" si="33"/>
        <v>1.4407865230024208E-3</v>
      </c>
      <c r="L259" s="18">
        <f t="shared" si="34"/>
        <v>1876.1774959836473</v>
      </c>
      <c r="T259" s="37"/>
      <c r="U259" s="54"/>
      <c r="W259" s="59"/>
    </row>
    <row r="260" spans="1:23" x14ac:dyDescent="0.2">
      <c r="A260" s="11">
        <f t="shared" ref="A260:A318" si="35">A259+1</f>
        <v>257</v>
      </c>
      <c r="B260" s="15">
        <f t="shared" ref="B260:B318" si="36">B259+dt</f>
        <v>1.0198412698412667</v>
      </c>
      <c r="C260" s="17">
        <v>4.0870070747002531E-3</v>
      </c>
      <c r="D260" s="17">
        <v>2.4613299486996615E-2</v>
      </c>
      <c r="E260" s="16">
        <v>0.84610602338169305</v>
      </c>
      <c r="F260" s="16">
        <v>0.79611501110325456</v>
      </c>
      <c r="G260" s="29">
        <v>0</v>
      </c>
      <c r="H260" s="16">
        <v>0</v>
      </c>
      <c r="I260" s="16">
        <f t="shared" ref="I260:I318" si="37">Rho*E260+F260*(1-Rho^2)^0.5</f>
        <v>3.8317618218577154E-2</v>
      </c>
      <c r="J260" s="17">
        <f t="shared" si="32"/>
        <v>0</v>
      </c>
      <c r="K260" s="19">
        <f t="shared" si="33"/>
        <v>1.7570649187355629E-5</v>
      </c>
      <c r="L260" s="18">
        <f t="shared" si="34"/>
        <v>1876.2104619298582</v>
      </c>
      <c r="T260" s="37"/>
      <c r="U260" s="54"/>
      <c r="W260" s="59"/>
    </row>
    <row r="261" spans="1:23" x14ac:dyDescent="0.2">
      <c r="A261" s="11">
        <f t="shared" si="35"/>
        <v>258</v>
      </c>
      <c r="B261" s="15">
        <f t="shared" si="36"/>
        <v>1.0238095238095206</v>
      </c>
      <c r="C261" s="17">
        <v>4.0870070747002531E-3</v>
      </c>
      <c r="D261" s="17">
        <v>2.4613299486996615E-2</v>
      </c>
      <c r="E261" s="16">
        <v>0.78025710891793998</v>
      </c>
      <c r="F261" s="16">
        <v>1.1799494995442545</v>
      </c>
      <c r="G261" s="29">
        <v>0</v>
      </c>
      <c r="H261" s="16">
        <v>0</v>
      </c>
      <c r="I261" s="16">
        <f t="shared" si="37"/>
        <v>0.36990296293807845</v>
      </c>
      <c r="J261" s="17">
        <f t="shared" si="32"/>
        <v>0</v>
      </c>
      <c r="K261" s="19">
        <f t="shared" si="33"/>
        <v>1.7570649187355629E-5</v>
      </c>
      <c r="L261" s="18">
        <f t="shared" si="34"/>
        <v>1876.2434284553071</v>
      </c>
      <c r="T261" s="37"/>
      <c r="U261" s="54"/>
      <c r="W261" s="59"/>
    </row>
    <row r="262" spans="1:23" x14ac:dyDescent="0.2">
      <c r="A262" s="11">
        <f t="shared" si="35"/>
        <v>259</v>
      </c>
      <c r="B262" s="15">
        <f t="shared" si="36"/>
        <v>1.0277777777777746</v>
      </c>
      <c r="C262" s="17">
        <v>4.0870070747002531E-3</v>
      </c>
      <c r="D262" s="17">
        <v>2.4613299486996615E-2</v>
      </c>
      <c r="E262" s="16">
        <v>0.58132551184648407</v>
      </c>
      <c r="F262" s="16">
        <v>-1.3088244031376042</v>
      </c>
      <c r="G262" s="29">
        <v>0</v>
      </c>
      <c r="H262" s="16">
        <v>0</v>
      </c>
      <c r="I262" s="16">
        <f t="shared" si="37"/>
        <v>-1.3664534814107219</v>
      </c>
      <c r="J262" s="17">
        <f t="shared" si="32"/>
        <v>0</v>
      </c>
      <c r="K262" s="19">
        <f t="shared" si="33"/>
        <v>1.7570649187355629E-5</v>
      </c>
      <c r="L262" s="18">
        <f t="shared" si="34"/>
        <v>1876.2763955600044</v>
      </c>
      <c r="T262" s="37"/>
      <c r="U262" s="54"/>
      <c r="W262" s="59"/>
    </row>
    <row r="263" spans="1:23" x14ac:dyDescent="0.2">
      <c r="A263" s="11">
        <f t="shared" si="35"/>
        <v>260</v>
      </c>
      <c r="B263" s="15">
        <f t="shared" si="36"/>
        <v>1.0317460317460285</v>
      </c>
      <c r="C263" s="17">
        <v>4.0870070747002531E-3</v>
      </c>
      <c r="D263" s="17">
        <v>2.4613299486996615E-2</v>
      </c>
      <c r="E263" s="16">
        <v>-0.36707226981615898</v>
      </c>
      <c r="F263" s="16">
        <v>-0.64385838752983082</v>
      </c>
      <c r="G263" s="29">
        <v>0</v>
      </c>
      <c r="H263" s="16">
        <v>0</v>
      </c>
      <c r="I263" s="16">
        <f t="shared" si="37"/>
        <v>-0.24062836515359551</v>
      </c>
      <c r="J263" s="17">
        <f t="shared" si="32"/>
        <v>0</v>
      </c>
      <c r="K263" s="19">
        <f t="shared" si="33"/>
        <v>1.7570649187355629E-5</v>
      </c>
      <c r="L263" s="18">
        <f t="shared" si="34"/>
        <v>1876.3093632439602</v>
      </c>
      <c r="T263" s="37"/>
      <c r="U263" s="54"/>
      <c r="W263" s="59"/>
    </row>
    <row r="264" spans="1:23" x14ac:dyDescent="0.2">
      <c r="A264" s="11">
        <f t="shared" si="35"/>
        <v>261</v>
      </c>
      <c r="B264" s="15">
        <f t="shared" si="36"/>
        <v>1.0357142857142825</v>
      </c>
      <c r="C264" s="17">
        <v>4.0870070747002531E-3</v>
      </c>
      <c r="D264" s="17">
        <v>2.4613299486996615E-2</v>
      </c>
      <c r="E264" s="16">
        <v>-0.75676945753772273</v>
      </c>
      <c r="F264" s="16">
        <v>1.0198347288780991</v>
      </c>
      <c r="G264" s="29">
        <v>0</v>
      </c>
      <c r="H264" s="16">
        <v>0</v>
      </c>
      <c r="I264" s="16">
        <f t="shared" si="37"/>
        <v>1.2655125139822938</v>
      </c>
      <c r="J264" s="17">
        <f t="shared" si="32"/>
        <v>0</v>
      </c>
      <c r="K264" s="19">
        <f t="shared" si="33"/>
        <v>1.7570649187355629E-5</v>
      </c>
      <c r="L264" s="18">
        <f t="shared" si="34"/>
        <v>1876.3423315071848</v>
      </c>
      <c r="T264" s="37"/>
      <c r="U264" s="54"/>
      <c r="W264" s="59"/>
    </row>
    <row r="265" spans="1:23" x14ac:dyDescent="0.2">
      <c r="A265" s="11">
        <f t="shared" si="35"/>
        <v>262</v>
      </c>
      <c r="B265" s="15">
        <f t="shared" si="36"/>
        <v>1.0396825396825364</v>
      </c>
      <c r="C265" s="17">
        <v>4.0870070747002531E-3</v>
      </c>
      <c r="D265" s="17">
        <v>2.4613299486996615E-2</v>
      </c>
      <c r="E265" s="16">
        <v>7.5310244483938388E-2</v>
      </c>
      <c r="F265" s="16">
        <v>-0.53794100830157721</v>
      </c>
      <c r="G265" s="29">
        <v>0</v>
      </c>
      <c r="H265" s="16">
        <v>0</v>
      </c>
      <c r="I265" s="16">
        <f t="shared" si="37"/>
        <v>-0.45349498250157583</v>
      </c>
      <c r="J265" s="17">
        <f t="shared" si="32"/>
        <v>0</v>
      </c>
      <c r="K265" s="19">
        <f t="shared" si="33"/>
        <v>1.7570649187355629E-5</v>
      </c>
      <c r="L265" s="18">
        <f t="shared" si="34"/>
        <v>1876.3753003496884</v>
      </c>
      <c r="T265" s="37"/>
      <c r="U265" s="54"/>
      <c r="W265" s="59"/>
    </row>
    <row r="266" spans="1:23" x14ac:dyDescent="0.2">
      <c r="A266" s="11">
        <f t="shared" si="35"/>
        <v>263</v>
      </c>
      <c r="B266" s="15">
        <f t="shared" si="36"/>
        <v>1.0436507936507904</v>
      </c>
      <c r="C266" s="17">
        <v>4.0870070747002531E-3</v>
      </c>
      <c r="D266" s="17">
        <v>2.4613299486996615E-2</v>
      </c>
      <c r="E266" s="16">
        <v>-0.53153555108841799</v>
      </c>
      <c r="F266" s="16">
        <v>0.24441497899988837</v>
      </c>
      <c r="G266" s="29">
        <v>0</v>
      </c>
      <c r="H266" s="16">
        <v>0</v>
      </c>
      <c r="I266" s="16">
        <f t="shared" si="37"/>
        <v>0.53470962697990565</v>
      </c>
      <c r="J266" s="17">
        <f t="shared" si="32"/>
        <v>0</v>
      </c>
      <c r="K266" s="19">
        <f t="shared" si="33"/>
        <v>1.7570649187355629E-5</v>
      </c>
      <c r="L266" s="18">
        <f t="shared" si="34"/>
        <v>1876.4082697714809</v>
      </c>
      <c r="T266" s="37"/>
      <c r="U266" s="54"/>
      <c r="W266" s="59"/>
    </row>
    <row r="267" spans="1:23" x14ac:dyDescent="0.2">
      <c r="A267" s="11">
        <f t="shared" si="35"/>
        <v>264</v>
      </c>
      <c r="B267" s="15">
        <f t="shared" si="36"/>
        <v>1.0476190476190443</v>
      </c>
      <c r="C267" s="17">
        <v>4.0870070747002531E-3</v>
      </c>
      <c r="D267" s="17">
        <v>2.4613299486996615E-2</v>
      </c>
      <c r="E267" s="16">
        <v>0.7050173539214829</v>
      </c>
      <c r="F267" s="16">
        <v>-1.2010958156475178</v>
      </c>
      <c r="G267" s="29">
        <v>0</v>
      </c>
      <c r="H267" s="16">
        <v>0</v>
      </c>
      <c r="I267" s="16">
        <f t="shared" si="37"/>
        <v>-1.3673474922043221</v>
      </c>
      <c r="J267" s="17">
        <f t="shared" si="32"/>
        <v>0</v>
      </c>
      <c r="K267" s="19">
        <f t="shared" si="33"/>
        <v>1.7570649187355629E-5</v>
      </c>
      <c r="L267" s="18">
        <f t="shared" si="34"/>
        <v>1876.4412397725728</v>
      </c>
      <c r="T267" s="37"/>
      <c r="U267" s="54"/>
      <c r="W267" s="59"/>
    </row>
    <row r="268" spans="1:23" x14ac:dyDescent="0.2">
      <c r="A268" s="11">
        <f t="shared" si="35"/>
        <v>265</v>
      </c>
      <c r="B268" s="15">
        <f t="shared" si="36"/>
        <v>1.0515873015872983</v>
      </c>
      <c r="C268" s="17">
        <v>4.0870070747002531E-3</v>
      </c>
      <c r="D268" s="17">
        <v>2.4613299486996615E-2</v>
      </c>
      <c r="E268" s="16">
        <v>2.7895661045286588</v>
      </c>
      <c r="F268" s="16">
        <v>0.43824853848016859</v>
      </c>
      <c r="G268" s="29">
        <v>0</v>
      </c>
      <c r="H268" s="16">
        <v>0</v>
      </c>
      <c r="I268" s="16">
        <f t="shared" si="37"/>
        <v>-1.5146367477504776</v>
      </c>
      <c r="J268" s="17">
        <f t="shared" si="32"/>
        <v>4.9424847043360197E-3</v>
      </c>
      <c r="K268" s="19">
        <f t="shared" si="33"/>
        <v>1.7570649187355629E-5</v>
      </c>
      <c r="L268" s="18">
        <f t="shared" si="34"/>
        <v>1876.4742103529738</v>
      </c>
      <c r="T268" s="37"/>
      <c r="U268" s="54"/>
      <c r="W268" s="59"/>
    </row>
    <row r="269" spans="1:23" x14ac:dyDescent="0.2">
      <c r="A269" s="11">
        <f t="shared" si="35"/>
        <v>266</v>
      </c>
      <c r="B269" s="15">
        <f t="shared" si="36"/>
        <v>1.0555555555555522</v>
      </c>
      <c r="C269" s="17">
        <v>4.0870070747002531E-3</v>
      </c>
      <c r="D269" s="17">
        <v>2.4613299486996615E-2</v>
      </c>
      <c r="E269" s="16">
        <v>0.95883767976884893</v>
      </c>
      <c r="F269" s="16">
        <v>1.0872844027868847</v>
      </c>
      <c r="G269" s="29">
        <v>0</v>
      </c>
      <c r="H269" s="16">
        <v>0</v>
      </c>
      <c r="I269" s="16">
        <f t="shared" si="37"/>
        <v>0.1823391713950856</v>
      </c>
      <c r="J269" s="17">
        <f t="shared" si="32"/>
        <v>8.6133708020456421E-3</v>
      </c>
      <c r="K269" s="19">
        <f t="shared" si="33"/>
        <v>8.1528243263231687E-4</v>
      </c>
      <c r="L269" s="18">
        <f t="shared" si="34"/>
        <v>1878.0046906140235</v>
      </c>
      <c r="T269" s="37"/>
      <c r="U269" s="54"/>
      <c r="W269" s="59"/>
    </row>
    <row r="270" spans="1:23" x14ac:dyDescent="0.2">
      <c r="A270" s="11">
        <f t="shared" si="35"/>
        <v>267</v>
      </c>
      <c r="B270" s="15">
        <f t="shared" si="36"/>
        <v>1.0595238095238062</v>
      </c>
      <c r="C270" s="17">
        <v>4.0870070747002531E-3</v>
      </c>
      <c r="D270" s="17">
        <v>2.4613299486996615E-2</v>
      </c>
      <c r="E270" s="16">
        <v>1.7661260932344793</v>
      </c>
      <c r="F270" s="16">
        <v>0.39351507802064606</v>
      </c>
      <c r="G270" s="29">
        <v>0</v>
      </c>
      <c r="H270" s="16">
        <v>0</v>
      </c>
      <c r="I270" s="16">
        <f t="shared" si="37"/>
        <v>-0.87184779212831498</v>
      </c>
      <c r="J270" s="17">
        <f t="shared" si="32"/>
        <v>1.8940019590357075E-2</v>
      </c>
      <c r="K270" s="19">
        <f t="shared" si="33"/>
        <v>-5.0966642000368316E-3</v>
      </c>
      <c r="L270" s="18">
        <f t="shared" si="34"/>
        <v>1868.4574814659127</v>
      </c>
      <c r="T270" s="37"/>
      <c r="U270" s="54"/>
      <c r="W270" s="59"/>
    </row>
    <row r="271" spans="1:23" x14ac:dyDescent="0.2">
      <c r="A271" s="11">
        <f t="shared" si="35"/>
        <v>268</v>
      </c>
      <c r="B271" s="15">
        <f t="shared" si="36"/>
        <v>1.0634920634920602</v>
      </c>
      <c r="C271" s="17">
        <v>4.0870070747002531E-3</v>
      </c>
      <c r="D271" s="17">
        <v>2.4613299486996615E-2</v>
      </c>
      <c r="E271" s="16">
        <v>-0.362406972600886</v>
      </c>
      <c r="F271" s="16">
        <v>-0.86302256233525509</v>
      </c>
      <c r="G271" s="29">
        <v>0</v>
      </c>
      <c r="H271" s="16">
        <v>0</v>
      </c>
      <c r="I271" s="16">
        <f t="shared" si="37"/>
        <v>-0.40819420737949097</v>
      </c>
      <c r="J271" s="17">
        <f t="shared" si="32"/>
        <v>1.5781700495453157E-2</v>
      </c>
      <c r="K271" s="19">
        <f t="shared" si="33"/>
        <v>-3.5588149505182908E-3</v>
      </c>
      <c r="L271" s="18">
        <f t="shared" si="34"/>
        <v>1861.8198051828638</v>
      </c>
      <c r="T271" s="37"/>
      <c r="U271" s="54"/>
      <c r="W271" s="59"/>
    </row>
    <row r="272" spans="1:23" x14ac:dyDescent="0.2">
      <c r="A272" s="11">
        <f t="shared" si="35"/>
        <v>269</v>
      </c>
      <c r="B272" s="15">
        <f t="shared" si="36"/>
        <v>1.0674603174603141</v>
      </c>
      <c r="C272" s="17">
        <v>4.0870070747002531E-3</v>
      </c>
      <c r="D272" s="17">
        <v>2.4613299486996615E-2</v>
      </c>
      <c r="E272" s="16">
        <v>1.308869088399961</v>
      </c>
      <c r="F272" s="16">
        <v>1.2898564033086191</v>
      </c>
      <c r="G272" s="29">
        <v>0</v>
      </c>
      <c r="H272" s="16">
        <v>0</v>
      </c>
      <c r="I272" s="16">
        <f t="shared" si="37"/>
        <v>0.10304396504923252</v>
      </c>
      <c r="J272" s="17">
        <f t="shared" si="32"/>
        <v>2.5119826439764705E-2</v>
      </c>
      <c r="K272" s="19">
        <f t="shared" si="33"/>
        <v>8.0171123016546588E-4</v>
      </c>
      <c r="L272" s="18">
        <f t="shared" si="34"/>
        <v>1863.3130455230178</v>
      </c>
      <c r="T272" s="37"/>
      <c r="U272" s="54"/>
      <c r="W272" s="59"/>
    </row>
    <row r="273" spans="1:23" x14ac:dyDescent="0.2">
      <c r="A273" s="11">
        <f t="shared" si="35"/>
        <v>270</v>
      </c>
      <c r="B273" s="15">
        <f t="shared" si="36"/>
        <v>1.0714285714285681</v>
      </c>
      <c r="C273" s="17">
        <v>4.0870070747002531E-3</v>
      </c>
      <c r="D273" s="17">
        <v>2.4613299486996615E-2</v>
      </c>
      <c r="E273" s="16">
        <v>-0.57239413704829134</v>
      </c>
      <c r="F273" s="16">
        <v>0.79511854659840053</v>
      </c>
      <c r="G273" s="29">
        <v>0</v>
      </c>
      <c r="H273" s="16">
        <v>0</v>
      </c>
      <c r="I273" s="16">
        <f t="shared" si="37"/>
        <v>0.97501482040530152</v>
      </c>
      <c r="J273" s="17">
        <f t="shared" si="32"/>
        <v>1.9909807973869254E-2</v>
      </c>
      <c r="K273" s="19">
        <f t="shared" si="33"/>
        <v>9.7023555699990525E-3</v>
      </c>
      <c r="L273" s="18">
        <f t="shared" si="34"/>
        <v>1881.4795576996419</v>
      </c>
      <c r="T273" s="37"/>
      <c r="U273" s="54"/>
      <c r="W273" s="59"/>
    </row>
    <row r="274" spans="1:23" x14ac:dyDescent="0.2">
      <c r="A274" s="11">
        <f t="shared" si="35"/>
        <v>271</v>
      </c>
      <c r="B274" s="15">
        <f t="shared" si="36"/>
        <v>1.075396825396822</v>
      </c>
      <c r="C274" s="17">
        <v>4.0870070747002531E-3</v>
      </c>
      <c r="D274" s="17">
        <v>2.4613299486996615E-2</v>
      </c>
      <c r="E274" s="16">
        <v>-1.1699423158908453</v>
      </c>
      <c r="F274" s="16">
        <v>-1.8212596612111329</v>
      </c>
      <c r="G274" s="29">
        <v>0</v>
      </c>
      <c r="H274" s="16">
        <v>0</v>
      </c>
      <c r="I274" s="16">
        <f t="shared" si="37"/>
        <v>-0.59367465962406252</v>
      </c>
      <c r="J274" s="17">
        <f t="shared" si="32"/>
        <v>1.1505851934174029E-2</v>
      </c>
      <c r="K274" s="19">
        <f t="shared" si="33"/>
        <v>-5.2988683333825629E-3</v>
      </c>
      <c r="L274" s="18">
        <f t="shared" si="34"/>
        <v>1871.5362127550318</v>
      </c>
      <c r="T274" s="37"/>
      <c r="U274" s="54"/>
      <c r="W274" s="59"/>
    </row>
    <row r="275" spans="1:23" x14ac:dyDescent="0.2">
      <c r="A275" s="11">
        <f t="shared" si="35"/>
        <v>272</v>
      </c>
      <c r="B275" s="15">
        <f t="shared" si="36"/>
        <v>1.079365079365076</v>
      </c>
      <c r="C275" s="17">
        <v>4.0870070747002531E-3</v>
      </c>
      <c r="D275" s="17">
        <v>2.4613299486996615E-2</v>
      </c>
      <c r="E275" s="16">
        <v>-0.31545039318382945</v>
      </c>
      <c r="F275" s="16">
        <v>0.95211797444033786</v>
      </c>
      <c r="G275" s="29">
        <v>0</v>
      </c>
      <c r="H275" s="16">
        <v>0</v>
      </c>
      <c r="I275" s="16">
        <f t="shared" si="37"/>
        <v>0.92303630487619182</v>
      </c>
      <c r="J275" s="17">
        <f t="shared" si="32"/>
        <v>9.2032990579146278E-3</v>
      </c>
      <c r="K275" s="19">
        <f t="shared" si="33"/>
        <v>6.2317725845286547E-3</v>
      </c>
      <c r="L275" s="18">
        <f t="shared" si="34"/>
        <v>1883.235616967683</v>
      </c>
      <c r="T275" s="37"/>
      <c r="U275" s="54"/>
      <c r="W275" s="59"/>
    </row>
    <row r="276" spans="1:23" x14ac:dyDescent="0.2">
      <c r="A276" s="11">
        <f t="shared" si="35"/>
        <v>273</v>
      </c>
      <c r="B276" s="15">
        <f t="shared" si="36"/>
        <v>1.0833333333333299</v>
      </c>
      <c r="C276" s="17">
        <v>4.0870070747002531E-3</v>
      </c>
      <c r="D276" s="17">
        <v>2.4613299486996615E-2</v>
      </c>
      <c r="E276" s="16">
        <v>2.0924085224191704</v>
      </c>
      <c r="F276" s="16">
        <v>-0.15912236402510949</v>
      </c>
      <c r="G276" s="29">
        <v>0</v>
      </c>
      <c r="H276" s="16">
        <v>0</v>
      </c>
      <c r="I276" s="16">
        <f t="shared" si="37"/>
        <v>-1.5022325839037127</v>
      </c>
      <c r="J276" s="17">
        <f t="shared" si="32"/>
        <v>2.23678622491028E-2</v>
      </c>
      <c r="K276" s="19">
        <f t="shared" si="33"/>
        <v>-9.0790764963421863E-3</v>
      </c>
      <c r="L276" s="18">
        <f t="shared" si="34"/>
        <v>1866.2149595828516</v>
      </c>
      <c r="T276" s="37"/>
      <c r="U276" s="54"/>
      <c r="W276" s="59"/>
    </row>
    <row r="277" spans="1:23" x14ac:dyDescent="0.2">
      <c r="A277" s="11">
        <f t="shared" si="35"/>
        <v>274</v>
      </c>
      <c r="B277" s="15">
        <f t="shared" si="36"/>
        <v>1.0873015873015839</v>
      </c>
      <c r="C277" s="17">
        <v>4.0870070747002531E-3</v>
      </c>
      <c r="D277" s="17">
        <v>2.4613299486996615E-2</v>
      </c>
      <c r="E277" s="16">
        <v>0.62713791128269303</v>
      </c>
      <c r="F277" s="16">
        <v>6.996697307379883E-2</v>
      </c>
      <c r="G277" s="29">
        <v>0</v>
      </c>
      <c r="H277" s="16">
        <v>0</v>
      </c>
      <c r="I277" s="16">
        <f t="shared" si="37"/>
        <v>-0.36194680206211016</v>
      </c>
      <c r="J277" s="17">
        <f t="shared" si="32"/>
        <v>2.7004932391797014E-2</v>
      </c>
      <c r="K277" s="19">
        <f t="shared" si="33"/>
        <v>-3.436828357571216E-3</v>
      </c>
      <c r="L277" s="18">
        <f t="shared" si="34"/>
        <v>1859.8121081415613</v>
      </c>
      <c r="T277" s="37"/>
      <c r="U277" s="54"/>
      <c r="W277" s="59"/>
    </row>
    <row r="278" spans="1:23" x14ac:dyDescent="0.2">
      <c r="A278" s="11">
        <f t="shared" si="35"/>
        <v>275</v>
      </c>
      <c r="B278" s="15">
        <f t="shared" si="36"/>
        <v>1.0912698412698378</v>
      </c>
      <c r="C278" s="17">
        <v>4.0870070747002531E-3</v>
      </c>
      <c r="D278" s="17">
        <v>2.4613299486996615E-2</v>
      </c>
      <c r="E278" s="16">
        <v>-0.15914218569189281</v>
      </c>
      <c r="F278" s="16">
        <v>0.70577593958578821</v>
      </c>
      <c r="G278" s="29">
        <v>0</v>
      </c>
      <c r="H278" s="16">
        <v>0</v>
      </c>
      <c r="I278" s="16">
        <f t="shared" si="37"/>
        <v>0.63485714151462735</v>
      </c>
      <c r="J278" s="17">
        <f t="shared" si="32"/>
        <v>2.5001390432240134E-2</v>
      </c>
      <c r="K278" s="19">
        <f t="shared" si="33"/>
        <v>6.5359853687957017E-3</v>
      </c>
      <c r="L278" s="18">
        <f t="shared" si="34"/>
        <v>1872.007624311613</v>
      </c>
      <c r="T278" s="37"/>
      <c r="U278" s="54"/>
      <c r="W278" s="59"/>
    </row>
    <row r="279" spans="1:23" x14ac:dyDescent="0.2">
      <c r="A279" s="11">
        <f t="shared" si="35"/>
        <v>276</v>
      </c>
      <c r="B279" s="15">
        <f t="shared" si="36"/>
        <v>1.0952380952380918</v>
      </c>
      <c r="C279" s="17">
        <v>4.0870070747002531E-3</v>
      </c>
      <c r="D279" s="17">
        <v>2.4613299486996615E-2</v>
      </c>
      <c r="E279" s="16">
        <v>-0.56712625738161948</v>
      </c>
      <c r="F279" s="16">
        <v>0.2614958978146969</v>
      </c>
      <c r="G279" s="29">
        <v>0</v>
      </c>
      <c r="H279" s="16">
        <v>0</v>
      </c>
      <c r="I279" s="16">
        <f t="shared" si="37"/>
        <v>0.5710497056474525</v>
      </c>
      <c r="J279" s="17">
        <f t="shared" si="32"/>
        <v>1.9843138763940671E-2</v>
      </c>
      <c r="K279" s="19">
        <f t="shared" si="33"/>
        <v>5.655914096204917E-3</v>
      </c>
      <c r="L279" s="18">
        <f t="shared" si="34"/>
        <v>1882.625537319077</v>
      </c>
      <c r="T279" s="37"/>
      <c r="U279" s="54"/>
      <c r="W279" s="59"/>
    </row>
    <row r="280" spans="1:23" x14ac:dyDescent="0.2">
      <c r="A280" s="11">
        <f t="shared" si="35"/>
        <v>277</v>
      </c>
      <c r="B280" s="15">
        <f t="shared" si="36"/>
        <v>1.0992063492063457</v>
      </c>
      <c r="C280" s="17">
        <v>4.0870070747002531E-3</v>
      </c>
      <c r="D280" s="17">
        <v>2.4613299486996615E-2</v>
      </c>
      <c r="E280" s="16">
        <v>3.455418344431728E-2</v>
      </c>
      <c r="F280" s="16">
        <v>-0.20205293613802597</v>
      </c>
      <c r="G280" s="29">
        <v>0</v>
      </c>
      <c r="H280" s="16">
        <v>0</v>
      </c>
      <c r="I280" s="16">
        <f t="shared" si="37"/>
        <v>-0.17447654595133261</v>
      </c>
      <c r="J280" s="17">
        <f t="shared" si="32"/>
        <v>1.9494724072336763E-2</v>
      </c>
      <c r="K280" s="19">
        <f t="shared" si="33"/>
        <v>-1.5700537976704309E-3</v>
      </c>
      <c r="L280" s="18">
        <f t="shared" si="34"/>
        <v>1879.6720331315669</v>
      </c>
      <c r="T280" s="37"/>
      <c r="U280" s="54"/>
      <c r="W280" s="59"/>
    </row>
    <row r="281" spans="1:23" x14ac:dyDescent="0.2">
      <c r="A281" s="11">
        <f t="shared" si="35"/>
        <v>278</v>
      </c>
      <c r="B281" s="15">
        <f t="shared" si="36"/>
        <v>1.1031746031745997</v>
      </c>
      <c r="C281" s="17">
        <v>4.0870070747002531E-3</v>
      </c>
      <c r="D281" s="17">
        <v>2.4613299486996615E-2</v>
      </c>
      <c r="E281" s="16">
        <v>-0.57572584858428011</v>
      </c>
      <c r="F281" s="16">
        <v>0.81359877686440119</v>
      </c>
      <c r="G281" s="29">
        <v>0</v>
      </c>
      <c r="H281" s="16">
        <v>0</v>
      </c>
      <c r="I281" s="16">
        <f t="shared" si="37"/>
        <v>0.99108606099158103</v>
      </c>
      <c r="J281" s="17">
        <f t="shared" si="32"/>
        <v>1.4856336157973469E-2</v>
      </c>
      <c r="K281" s="19">
        <f t="shared" si="33"/>
        <v>8.695942787597279E-3</v>
      </c>
      <c r="L281" s="18">
        <f t="shared" si="34"/>
        <v>1896.088829901601</v>
      </c>
      <c r="T281" s="37"/>
      <c r="U281" s="54"/>
      <c r="W281" s="59"/>
    </row>
    <row r="282" spans="1:23" x14ac:dyDescent="0.2">
      <c r="A282" s="11">
        <f t="shared" si="35"/>
        <v>279</v>
      </c>
      <c r="B282" s="15">
        <f t="shared" si="36"/>
        <v>1.1071428571428537</v>
      </c>
      <c r="C282" s="17">
        <v>4.0870070747002531E-3</v>
      </c>
      <c r="D282" s="17">
        <v>2.4613299486996615E-2</v>
      </c>
      <c r="E282" s="16">
        <v>0.9106796498952342</v>
      </c>
      <c r="F282" s="16">
        <v>-1.2860123155313508</v>
      </c>
      <c r="G282" s="29">
        <v>0</v>
      </c>
      <c r="H282" s="16">
        <v>0</v>
      </c>
      <c r="I282" s="16">
        <f t="shared" si="37"/>
        <v>-1.5669934786742483</v>
      </c>
      <c r="J282" s="17">
        <f t="shared" si="32"/>
        <v>2.0740716597241349E-2</v>
      </c>
      <c r="K282" s="19">
        <f t="shared" si="33"/>
        <v>-1.2043489378958619E-2</v>
      </c>
      <c r="L282" s="18">
        <f t="shared" si="34"/>
        <v>1873.3902635485181</v>
      </c>
      <c r="T282" s="37"/>
      <c r="U282" s="54"/>
      <c r="W282" s="59"/>
    </row>
    <row r="283" spans="1:23" x14ac:dyDescent="0.2">
      <c r="A283" s="11">
        <f t="shared" si="35"/>
        <v>280</v>
      </c>
      <c r="B283" s="15">
        <f t="shared" si="36"/>
        <v>1.1111111111111076</v>
      </c>
      <c r="C283" s="17">
        <v>4.0870070747002531E-3</v>
      </c>
      <c r="D283" s="17">
        <v>2.4613299486996615E-2</v>
      </c>
      <c r="E283" s="16">
        <v>0.87235730079282858</v>
      </c>
      <c r="F283" s="16">
        <v>-0.39320417431028837</v>
      </c>
      <c r="G283" s="29">
        <v>0</v>
      </c>
      <c r="H283" s="16">
        <v>0</v>
      </c>
      <c r="I283" s="16">
        <f t="shared" si="37"/>
        <v>-0.87161497194951409</v>
      </c>
      <c r="J283" s="17">
        <f t="shared" si="32"/>
        <v>2.7332056529143337E-2</v>
      </c>
      <c r="K283" s="19">
        <f t="shared" si="33"/>
        <v>-7.9310285692594396E-3</v>
      </c>
      <c r="L283" s="18">
        <f t="shared" si="34"/>
        <v>1858.5911156529389</v>
      </c>
      <c r="T283" s="37"/>
      <c r="U283" s="54"/>
      <c r="W283" s="59"/>
    </row>
    <row r="284" spans="1:23" x14ac:dyDescent="0.2">
      <c r="A284" s="11">
        <f t="shared" si="35"/>
        <v>281</v>
      </c>
      <c r="B284" s="15">
        <f t="shared" si="36"/>
        <v>1.1150793650793616</v>
      </c>
      <c r="C284" s="17">
        <v>4.0870070747002531E-3</v>
      </c>
      <c r="D284" s="17">
        <v>2.4613299486996615E-2</v>
      </c>
      <c r="E284" s="16">
        <v>-1.801436838502279</v>
      </c>
      <c r="F284" s="16">
        <v>-0.68892479515747151</v>
      </c>
      <c r="G284" s="29">
        <v>0</v>
      </c>
      <c r="H284" s="16">
        <v>0</v>
      </c>
      <c r="I284" s="16">
        <f t="shared" si="37"/>
        <v>0.67347867145958273</v>
      </c>
      <c r="J284" s="17">
        <f t="shared" si="32"/>
        <v>1.3178326892653728E-2</v>
      </c>
      <c r="K284" s="19">
        <f t="shared" si="33"/>
        <v>6.977242987836434E-3</v>
      </c>
      <c r="L284" s="18">
        <f t="shared" si="34"/>
        <v>1871.6043027739768</v>
      </c>
      <c r="T284" s="37"/>
      <c r="U284" s="54"/>
      <c r="W284" s="59"/>
    </row>
    <row r="285" spans="1:23" x14ac:dyDescent="0.2">
      <c r="A285" s="11">
        <f t="shared" si="35"/>
        <v>282</v>
      </c>
      <c r="B285" s="15">
        <f t="shared" si="36"/>
        <v>1.1190476190476155</v>
      </c>
      <c r="C285" s="17">
        <v>4.0870070747002531E-3</v>
      </c>
      <c r="D285" s="17">
        <v>2.4613299486996615E-2</v>
      </c>
      <c r="E285" s="16">
        <v>-0.60004611304736</v>
      </c>
      <c r="F285" s="16">
        <v>9.1057725775091025E-2</v>
      </c>
      <c r="G285" s="29">
        <v>0</v>
      </c>
      <c r="H285" s="16">
        <v>0</v>
      </c>
      <c r="I285" s="16">
        <f t="shared" si="37"/>
        <v>0.46489164455517168</v>
      </c>
      <c r="J285" s="17">
        <f t="shared" si="32"/>
        <v>9.1934092741088463E-3</v>
      </c>
      <c r="K285" s="19">
        <f t="shared" si="33"/>
        <v>3.353298537403588E-3</v>
      </c>
      <c r="L285" s="18">
        <f t="shared" si="34"/>
        <v>1877.8908852481284</v>
      </c>
      <c r="T285" s="37"/>
      <c r="U285" s="54"/>
      <c r="W285" s="59"/>
    </row>
    <row r="286" spans="1:23" x14ac:dyDescent="0.2">
      <c r="A286" s="11">
        <f t="shared" si="35"/>
        <v>283</v>
      </c>
      <c r="B286" s="15">
        <f t="shared" si="36"/>
        <v>1.1230158730158695</v>
      </c>
      <c r="C286" s="17">
        <v>4.0870070747002531E-3</v>
      </c>
      <c r="D286" s="17">
        <v>2.4613299486996615E-2</v>
      </c>
      <c r="E286" s="16">
        <v>-0.18366845432639531</v>
      </c>
      <c r="F286" s="16">
        <v>0.18137740495715401</v>
      </c>
      <c r="G286" s="29">
        <v>0</v>
      </c>
      <c r="H286" s="16">
        <v>0</v>
      </c>
      <c r="I286" s="16">
        <f t="shared" si="37"/>
        <v>0.25750479981291641</v>
      </c>
      <c r="J286" s="17">
        <f t="shared" si="32"/>
        <v>7.7140073287062013E-3</v>
      </c>
      <c r="K286" s="19">
        <f t="shared" si="33"/>
        <v>1.5546626460339597E-3</v>
      </c>
      <c r="L286" s="18">
        <f t="shared" si="34"/>
        <v>1880.81264264581</v>
      </c>
      <c r="T286" s="37"/>
      <c r="U286" s="54"/>
      <c r="W286" s="59"/>
    </row>
    <row r="287" spans="1:23" x14ac:dyDescent="0.2">
      <c r="A287" s="11">
        <f t="shared" si="35"/>
        <v>284</v>
      </c>
      <c r="B287" s="15">
        <f t="shared" si="36"/>
        <v>1.1269841269841234</v>
      </c>
      <c r="C287" s="17">
        <v>4.0870070747002531E-3</v>
      </c>
      <c r="D287" s="17">
        <v>2.4613299486996615E-2</v>
      </c>
      <c r="E287" s="16">
        <v>1.3944112119970598</v>
      </c>
      <c r="F287" s="16">
        <v>-1.0654734276371349</v>
      </c>
      <c r="G287" s="29">
        <v>0</v>
      </c>
      <c r="H287" s="16">
        <v>0</v>
      </c>
      <c r="I287" s="16">
        <f t="shared" si="37"/>
        <v>-1.7211630387203232</v>
      </c>
      <c r="J287" s="17">
        <f t="shared" si="32"/>
        <v>1.5018007935260121E-2</v>
      </c>
      <c r="K287" s="19">
        <f t="shared" si="33"/>
        <v>-9.5204713570585901E-3</v>
      </c>
      <c r="L287" s="18">
        <f t="shared" si="34"/>
        <v>1862.991387735713</v>
      </c>
      <c r="T287" s="37"/>
      <c r="U287" s="54"/>
      <c r="W287" s="59"/>
    </row>
    <row r="288" spans="1:23" x14ac:dyDescent="0.2">
      <c r="A288" s="11">
        <f t="shared" si="35"/>
        <v>285</v>
      </c>
      <c r="B288" s="15">
        <f t="shared" si="36"/>
        <v>1.1309523809523774</v>
      </c>
      <c r="C288" s="17">
        <v>4.0870070747002531E-3</v>
      </c>
      <c r="D288" s="17">
        <v>2.4613299486996615E-2</v>
      </c>
      <c r="E288" s="16">
        <v>-0.43148138716482021</v>
      </c>
      <c r="F288" s="16">
        <v>0.14542000898871266</v>
      </c>
      <c r="G288" s="29">
        <v>0</v>
      </c>
      <c r="H288" s="16">
        <v>0</v>
      </c>
      <c r="I288" s="16">
        <f t="shared" si="37"/>
        <v>0.39429105986008789</v>
      </c>
      <c r="J288" s="17">
        <f t="shared" si="32"/>
        <v>1.1753318379144024E-2</v>
      </c>
      <c r="K288" s="19">
        <f t="shared" si="33"/>
        <v>3.0316200540858665E-3</v>
      </c>
      <c r="L288" s="18">
        <f t="shared" si="34"/>
        <v>1868.647839561519</v>
      </c>
      <c r="T288" s="37"/>
      <c r="U288" s="54"/>
      <c r="W288" s="59"/>
    </row>
    <row r="289" spans="1:23" x14ac:dyDescent="0.2">
      <c r="A289" s="11">
        <f t="shared" si="35"/>
        <v>286</v>
      </c>
      <c r="B289" s="15">
        <f t="shared" si="36"/>
        <v>1.1349206349206313</v>
      </c>
      <c r="C289" s="17">
        <v>4.0870070747002531E-3</v>
      </c>
      <c r="D289" s="17">
        <v>2.4613299486996615E-2</v>
      </c>
      <c r="E289" s="16">
        <v>-0.50185620877968951</v>
      </c>
      <c r="F289" s="16">
        <v>1.8461316015397107</v>
      </c>
      <c r="G289" s="29">
        <v>0</v>
      </c>
      <c r="H289" s="16">
        <v>0</v>
      </c>
      <c r="I289" s="16">
        <f t="shared" si="37"/>
        <v>1.717183537585381</v>
      </c>
      <c r="J289" s="17">
        <f t="shared" si="32"/>
        <v>8.4655664997535622E-3</v>
      </c>
      <c r="K289" s="19">
        <f t="shared" si="33"/>
        <v>1.172151441924007E-2</v>
      </c>
      <c r="L289" s="18">
        <f t="shared" si="34"/>
        <v>1890.6800956033076</v>
      </c>
      <c r="T289" s="37"/>
      <c r="U289" s="54"/>
      <c r="W289" s="59"/>
    </row>
    <row r="290" spans="1:23" x14ac:dyDescent="0.2">
      <c r="A290" s="11">
        <f t="shared" si="35"/>
        <v>287</v>
      </c>
      <c r="B290" s="15">
        <f t="shared" si="36"/>
        <v>1.1388888888888853</v>
      </c>
      <c r="C290" s="17">
        <v>4.0870070747002531E-3</v>
      </c>
      <c r="D290" s="17">
        <v>2.4613299486996615E-2</v>
      </c>
      <c r="E290" s="16">
        <v>0.44555682181489847</v>
      </c>
      <c r="F290" s="16">
        <v>1.6220374172028151</v>
      </c>
      <c r="G290" s="29">
        <v>0</v>
      </c>
      <c r="H290" s="16">
        <v>0</v>
      </c>
      <c r="I290" s="16">
        <f t="shared" si="37"/>
        <v>0.92288346594240522</v>
      </c>
      <c r="J290" s="17">
        <f t="shared" si="32"/>
        <v>1.0214587180896786E-2</v>
      </c>
      <c r="K290" s="19">
        <f t="shared" si="33"/>
        <v>5.3497986452495814E-3</v>
      </c>
      <c r="L290" s="18">
        <f t="shared" si="34"/>
        <v>1900.8219576887673</v>
      </c>
      <c r="T290" s="37"/>
      <c r="U290" s="54"/>
      <c r="W290" s="59"/>
    </row>
    <row r="291" spans="1:23" x14ac:dyDescent="0.2">
      <c r="A291" s="11">
        <f t="shared" si="35"/>
        <v>288</v>
      </c>
      <c r="B291" s="15">
        <f t="shared" si="36"/>
        <v>1.1428571428571392</v>
      </c>
      <c r="C291" s="17">
        <v>4.0870070747002531E-3</v>
      </c>
      <c r="D291" s="17">
        <v>2.4613299486996615E-2</v>
      </c>
      <c r="E291" s="16">
        <v>0.98505098525600809</v>
      </c>
      <c r="F291" s="16">
        <v>-0.45677669378384095</v>
      </c>
      <c r="G291" s="29">
        <v>0</v>
      </c>
      <c r="H291" s="16">
        <v>0</v>
      </c>
      <c r="I291" s="16">
        <f t="shared" si="37"/>
        <v>-0.99380208207528176</v>
      </c>
      <c r="J291" s="17">
        <f t="shared" si="32"/>
        <v>1.560793638642489E-2</v>
      </c>
      <c r="K291" s="19">
        <f t="shared" si="33"/>
        <v>-6.3298742308787979E-3</v>
      </c>
      <c r="L291" s="18">
        <f t="shared" si="34"/>
        <v>1888.8279939494307</v>
      </c>
      <c r="T291" s="37"/>
      <c r="U291" s="54"/>
      <c r="W291" s="59"/>
    </row>
    <row r="292" spans="1:23" x14ac:dyDescent="0.2">
      <c r="A292" s="11">
        <f t="shared" si="35"/>
        <v>289</v>
      </c>
      <c r="B292" s="15">
        <f t="shared" si="36"/>
        <v>1.1468253968253932</v>
      </c>
      <c r="C292" s="17">
        <v>4.0870070747002531E-3</v>
      </c>
      <c r="D292" s="17">
        <v>2.4613299486996615E-2</v>
      </c>
      <c r="E292" s="16">
        <v>-0.14928309796490391</v>
      </c>
      <c r="F292" s="16">
        <v>-0.66948169689380999</v>
      </c>
      <c r="G292" s="29">
        <v>0</v>
      </c>
      <c r="H292" s="16">
        <v>0</v>
      </c>
      <c r="I292" s="16">
        <f t="shared" si="37"/>
        <v>-0.40378911561718367</v>
      </c>
      <c r="J292" s="17">
        <f t="shared" si="32"/>
        <v>1.4041906649049019E-2</v>
      </c>
      <c r="K292" s="19">
        <f t="shared" si="33"/>
        <v>-3.1912012846663259E-3</v>
      </c>
      <c r="L292" s="18">
        <f t="shared" si="34"/>
        <v>1882.8099710969316</v>
      </c>
      <c r="T292" s="37"/>
      <c r="U292" s="54"/>
      <c r="W292" s="59"/>
    </row>
    <row r="293" spans="1:23" x14ac:dyDescent="0.2">
      <c r="A293" s="11">
        <f t="shared" si="35"/>
        <v>290</v>
      </c>
      <c r="B293" s="15">
        <f t="shared" si="36"/>
        <v>1.1507936507936471</v>
      </c>
      <c r="C293" s="17">
        <v>4.0870070747002531E-3</v>
      </c>
      <c r="D293" s="17">
        <v>2.4613299486996615E-2</v>
      </c>
      <c r="E293" s="16">
        <v>-0.73556987371870786</v>
      </c>
      <c r="F293" s="16">
        <v>0.10787926171381221</v>
      </c>
      <c r="G293" s="29">
        <v>0</v>
      </c>
      <c r="H293" s="16">
        <v>0</v>
      </c>
      <c r="I293" s="16">
        <f t="shared" si="37"/>
        <v>0.56707987377142288</v>
      </c>
      <c r="J293" s="17">
        <f t="shared" si="32"/>
        <v>9.2112370448557516E-3</v>
      </c>
      <c r="K293" s="19">
        <f t="shared" si="33"/>
        <v>4.2227948716496233E-3</v>
      </c>
      <c r="L293" s="18">
        <f t="shared" si="34"/>
        <v>1890.7775021721072</v>
      </c>
      <c r="T293" s="37"/>
      <c r="U293" s="54"/>
      <c r="W293" s="59"/>
    </row>
    <row r="294" spans="1:23" x14ac:dyDescent="0.2">
      <c r="A294" s="11">
        <f t="shared" si="35"/>
        <v>291</v>
      </c>
      <c r="B294" s="15">
        <f t="shared" si="36"/>
        <v>1.1547619047619011</v>
      </c>
      <c r="C294" s="17">
        <v>4.0870070747002531E-3</v>
      </c>
      <c r="D294" s="17">
        <v>2.4613299486996615E-2</v>
      </c>
      <c r="E294" s="16">
        <v>-0.79386260911819406</v>
      </c>
      <c r="F294" s="16">
        <v>-0.68819607971289276</v>
      </c>
      <c r="G294" s="29">
        <v>0</v>
      </c>
      <c r="H294" s="16">
        <v>0</v>
      </c>
      <c r="I294" s="16">
        <f t="shared" si="37"/>
        <v>8.1493892427776382E-3</v>
      </c>
      <c r="J294" s="17">
        <f t="shared" si="32"/>
        <v>5.0431980359267846E-3</v>
      </c>
      <c r="K294" s="19">
        <f t="shared" si="33"/>
        <v>4.8564522299131616E-5</v>
      </c>
      <c r="L294" s="18">
        <f t="shared" si="34"/>
        <v>1890.8693291080219</v>
      </c>
      <c r="T294" s="37"/>
      <c r="U294" s="54"/>
      <c r="W294" s="59"/>
    </row>
    <row r="295" spans="1:23" x14ac:dyDescent="0.2">
      <c r="A295" s="11">
        <f t="shared" si="35"/>
        <v>292</v>
      </c>
      <c r="B295" s="15">
        <f t="shared" si="36"/>
        <v>1.1587301587301551</v>
      </c>
      <c r="C295" s="17">
        <v>4.0870070747002531E-3</v>
      </c>
      <c r="D295" s="17">
        <v>2.4613299486996615E-2</v>
      </c>
      <c r="E295" s="16">
        <v>-1.7619229109252725</v>
      </c>
      <c r="F295" s="16">
        <v>-7.3082293071171242E-2</v>
      </c>
      <c r="G295" s="29">
        <v>0</v>
      </c>
      <c r="H295" s="16">
        <v>0</v>
      </c>
      <c r="I295" s="16">
        <f t="shared" si="37"/>
        <v>1.1095547956320568</v>
      </c>
      <c r="J295" s="17">
        <f t="shared" ref="J295:J300" si="38">MAX((SQRT(J294)+Eta*SQRT(dt)*E295/2)^2+Kappa*(Theta-J294)*dt-Eta*Eta*dt/4,0)</f>
        <v>3.5454129604429053E-5</v>
      </c>
      <c r="K295" s="19">
        <f t="shared" ref="K295:K300" si="39">(C295-D295-Lambda*(EXP(Alpha+Delta^2/2)-1)-MAX((SQRT($J294)-0),0)^2/2)*dt+SQRT(MAX((SQRT($J294)-0),0)^2*dt)*I295</f>
        <v>4.9712182464154622E-3</v>
      </c>
      <c r="L295" s="18">
        <f t="shared" ref="L295:L300" si="40">EXP(K295)*EXP(H295)*L294</f>
        <v>1900.2926565205005</v>
      </c>
      <c r="T295" s="37"/>
      <c r="U295" s="54"/>
      <c r="W295" s="59"/>
    </row>
    <row r="296" spans="1:23" x14ac:dyDescent="0.2">
      <c r="A296" s="11">
        <f t="shared" si="35"/>
        <v>293</v>
      </c>
      <c r="B296" s="15">
        <f t="shared" si="36"/>
        <v>1.162698412698409</v>
      </c>
      <c r="C296" s="17">
        <v>4.0870070747002531E-3</v>
      </c>
      <c r="D296" s="17">
        <v>2.4613299486996615E-2</v>
      </c>
      <c r="E296" s="16">
        <v>0.36861080459304107</v>
      </c>
      <c r="F296" s="16">
        <v>-7.1957594008539516E-2</v>
      </c>
      <c r="G296" s="29">
        <v>0</v>
      </c>
      <c r="H296" s="16">
        <v>0</v>
      </c>
      <c r="I296" s="16">
        <f t="shared" si="37"/>
        <v>-0.29760820757221634</v>
      </c>
      <c r="J296" s="17">
        <f t="shared" si="38"/>
        <v>0</v>
      </c>
      <c r="K296" s="19">
        <f t="shared" si="39"/>
        <v>-9.4128956826262838E-5</v>
      </c>
      <c r="L296" s="18">
        <f t="shared" si="40"/>
        <v>1900.1137923733575</v>
      </c>
      <c r="T296" s="37"/>
      <c r="U296" s="54"/>
      <c r="W296" s="59"/>
    </row>
    <row r="297" spans="1:23" x14ac:dyDescent="0.2">
      <c r="A297" s="11">
        <f t="shared" si="35"/>
        <v>294</v>
      </c>
      <c r="B297" s="15">
        <f t="shared" si="36"/>
        <v>1.166666666666663</v>
      </c>
      <c r="C297" s="17">
        <v>4.0870070747002531E-3</v>
      </c>
      <c r="D297" s="17">
        <v>2.4613299486996615E-2</v>
      </c>
      <c r="E297" s="16">
        <v>-1.074810680996501</v>
      </c>
      <c r="F297" s="16">
        <v>1.8732104593057777</v>
      </c>
      <c r="G297" s="29">
        <v>0</v>
      </c>
      <c r="H297" s="16">
        <v>0</v>
      </c>
      <c r="I297" s="16">
        <f t="shared" si="37"/>
        <v>2.1161549812203084</v>
      </c>
      <c r="J297" s="17">
        <f t="shared" si="38"/>
        <v>2.780300862396417E-4</v>
      </c>
      <c r="K297" s="19">
        <f t="shared" si="39"/>
        <v>1.7570649187355629E-5</v>
      </c>
      <c r="L297" s="18">
        <f t="shared" si="40"/>
        <v>1900.14717889953</v>
      </c>
      <c r="T297" s="37"/>
      <c r="U297" s="54"/>
      <c r="W297" s="59"/>
    </row>
    <row r="298" spans="1:23" x14ac:dyDescent="0.2">
      <c r="A298" s="80">
        <f t="shared" si="35"/>
        <v>295</v>
      </c>
      <c r="B298" s="81">
        <f t="shared" si="36"/>
        <v>1.1706349206349169</v>
      </c>
      <c r="C298" s="17">
        <v>4.0870070747002531E-3</v>
      </c>
      <c r="D298" s="17">
        <v>2.4613299486996615E-2</v>
      </c>
      <c r="E298" s="16">
        <v>1.7753781678235399</v>
      </c>
      <c r="F298" s="16">
        <v>0.63009121692902059</v>
      </c>
      <c r="G298" s="29">
        <v>0</v>
      </c>
      <c r="H298" s="16">
        <v>0</v>
      </c>
      <c r="I298" s="16">
        <f t="shared" si="37"/>
        <v>-0.70041185494603864</v>
      </c>
      <c r="J298" s="17">
        <f t="shared" si="38"/>
        <v>3.5314044609404734E-3</v>
      </c>
      <c r="K298" s="19">
        <f t="shared" si="39"/>
        <v>-7.1867821789762664E-4</v>
      </c>
      <c r="L298" s="18">
        <f t="shared" si="40"/>
        <v>1898.7820751051925</v>
      </c>
      <c r="T298" s="37"/>
      <c r="U298" s="54"/>
      <c r="W298" s="59"/>
    </row>
    <row r="299" spans="1:23" x14ac:dyDescent="0.2">
      <c r="A299" s="11">
        <f t="shared" si="35"/>
        <v>296</v>
      </c>
      <c r="B299" s="15">
        <f t="shared" si="36"/>
        <v>1.1746031746031709</v>
      </c>
      <c r="C299" s="17">
        <v>4.0870070747002531E-3</v>
      </c>
      <c r="D299" s="17">
        <v>2.4613299486996615E-2</v>
      </c>
      <c r="E299" s="16">
        <v>-0.69004945436266207</v>
      </c>
      <c r="F299" s="16">
        <v>-0.2115585331694998</v>
      </c>
      <c r="G299" s="29">
        <v>0</v>
      </c>
      <c r="H299" s="16">
        <v>0</v>
      </c>
      <c r="I299" s="16">
        <f t="shared" si="37"/>
        <v>0.29725874383641537</v>
      </c>
      <c r="J299" s="17">
        <f t="shared" si="38"/>
        <v>1.1426354033526251E-3</v>
      </c>
      <c r="K299" s="19">
        <f t="shared" si="39"/>
        <v>1.1233407862330613E-3</v>
      </c>
      <c r="L299" s="18">
        <f t="shared" si="40"/>
        <v>1900.916252934401</v>
      </c>
      <c r="T299" s="37"/>
      <c r="U299" s="54"/>
      <c r="W299" s="59"/>
    </row>
    <row r="300" spans="1:23" x14ac:dyDescent="0.2">
      <c r="A300" s="11">
        <f t="shared" si="35"/>
        <v>297</v>
      </c>
      <c r="B300" s="15">
        <f t="shared" si="36"/>
        <v>1.1785714285714248</v>
      </c>
      <c r="C300" s="17">
        <v>4.0870070747002531E-3</v>
      </c>
      <c r="D300" s="17">
        <v>2.4613299486996615E-2</v>
      </c>
      <c r="E300" s="16">
        <v>-5.619482280152166E-2</v>
      </c>
      <c r="F300" s="16">
        <v>0.28326388596174606</v>
      </c>
      <c r="G300" s="29">
        <v>0</v>
      </c>
      <c r="H300" s="16">
        <v>0</v>
      </c>
      <c r="I300" s="16">
        <f t="shared" si="37"/>
        <v>0.249727015414032</v>
      </c>
      <c r="J300" s="17">
        <f t="shared" si="38"/>
        <v>5.0475103342512921E-4</v>
      </c>
      <c r="K300" s="19">
        <f t="shared" si="39"/>
        <v>5.470677135996203E-4</v>
      </c>
      <c r="L300" s="18">
        <f t="shared" si="40"/>
        <v>1901.9564673505561</v>
      </c>
      <c r="T300" s="37"/>
      <c r="U300" s="54"/>
      <c r="W300" s="59"/>
    </row>
    <row r="301" spans="1:23" x14ac:dyDescent="0.2">
      <c r="A301" s="11">
        <f t="shared" si="35"/>
        <v>298</v>
      </c>
      <c r="B301" s="15">
        <f t="shared" si="36"/>
        <v>1.1825396825396788</v>
      </c>
      <c r="C301" s="17">
        <v>4.0870070747002531E-3</v>
      </c>
      <c r="D301" s="17">
        <v>2.4613299486996615E-2</v>
      </c>
      <c r="E301" s="16">
        <v>-0.28912966034307619</v>
      </c>
      <c r="F301" s="16">
        <v>-0.82680813482507642</v>
      </c>
      <c r="G301" s="29">
        <v>0</v>
      </c>
      <c r="H301" s="16">
        <v>0</v>
      </c>
      <c r="I301" s="16">
        <f t="shared" si="37"/>
        <v>-0.4294421054190809</v>
      </c>
      <c r="J301" s="17">
        <f t="shared" ref="J301:J303" si="41">MAX((SQRT(J300)+Eta*SQRT(dt)*E301/2)^2+Kappa*(Theta-J300)*dt-Eta*Eta*dt/4,0)</f>
        <v>0</v>
      </c>
      <c r="K301" s="19">
        <f t="shared" ref="K301:K303" si="42">(C301-D301-Lambda*(EXP(Alpha+Delta^2/2)-1)-MAX((SQRT($J300)-0),0)^2/2)*dt+SQRT(MAX((SQRT($J300)-0),0)^2*dt)*I301</f>
        <v>-5.9120602201079254E-4</v>
      </c>
      <c r="L301" s="18">
        <f t="shared" ref="L301:L303" si="43">EXP(K301)*EXP(H301)*L300</f>
        <v>1900.8323515582113</v>
      </c>
      <c r="T301" s="37"/>
      <c r="U301" s="54"/>
      <c r="W301" s="59"/>
    </row>
    <row r="302" spans="1:23" x14ac:dyDescent="0.2">
      <c r="A302" s="11">
        <f t="shared" si="35"/>
        <v>299</v>
      </c>
      <c r="B302" s="15">
        <f t="shared" si="36"/>
        <v>1.1865079365079327</v>
      </c>
      <c r="C302" s="17">
        <v>4.0870070747002531E-3</v>
      </c>
      <c r="D302" s="17">
        <v>2.4613299486996615E-2</v>
      </c>
      <c r="E302" s="16">
        <v>-1.4218753611668622</v>
      </c>
      <c r="F302" s="16">
        <v>1.5315825103093108</v>
      </c>
      <c r="G302" s="29">
        <v>0</v>
      </c>
      <c r="H302" s="16">
        <v>0</v>
      </c>
      <c r="I302" s="16">
        <f t="shared" si="37"/>
        <v>2.0891280928501281</v>
      </c>
      <c r="J302" s="17">
        <f t="shared" si="41"/>
        <v>8.8797915793573871E-4</v>
      </c>
      <c r="K302" s="19">
        <f t="shared" si="42"/>
        <v>1.7570649187355629E-5</v>
      </c>
      <c r="L302" s="18">
        <f t="shared" si="43"/>
        <v>1900.8657507100461</v>
      </c>
      <c r="T302" s="37"/>
      <c r="U302" s="54"/>
      <c r="W302" s="59"/>
    </row>
    <row r="303" spans="1:23" x14ac:dyDescent="0.2">
      <c r="A303" s="11">
        <f t="shared" si="35"/>
        <v>300</v>
      </c>
      <c r="B303" s="15">
        <f t="shared" si="36"/>
        <v>1.1904761904761867</v>
      </c>
      <c r="C303" s="17">
        <v>4.0870070747002531E-3</v>
      </c>
      <c r="D303" s="17">
        <v>2.4613299486996615E-2</v>
      </c>
      <c r="E303" s="16">
        <v>-0.18025068812454828</v>
      </c>
      <c r="F303" s="16">
        <v>-0.69984108882160756</v>
      </c>
      <c r="G303" s="29">
        <v>0</v>
      </c>
      <c r="H303" s="16">
        <v>0</v>
      </c>
      <c r="I303" s="16">
        <f t="shared" si="37"/>
        <v>-0.40610826546614043</v>
      </c>
      <c r="J303" s="17">
        <f t="shared" si="41"/>
        <v>8.7451408155295044E-5</v>
      </c>
      <c r="K303" s="19">
        <f t="shared" si="42"/>
        <v>-7.4652109771011809E-4</v>
      </c>
      <c r="L303" s="18">
        <f t="shared" si="43"/>
        <v>1899.4472438617483</v>
      </c>
      <c r="T303" s="37"/>
      <c r="U303" s="54"/>
      <c r="W303" s="59"/>
    </row>
    <row r="304" spans="1:23" x14ac:dyDescent="0.2">
      <c r="A304" s="11">
        <f t="shared" si="35"/>
        <v>301</v>
      </c>
      <c r="B304" s="15">
        <f t="shared" si="36"/>
        <v>1.1944444444444406</v>
      </c>
      <c r="C304" s="17">
        <v>4.0870070747002531E-3</v>
      </c>
      <c r="D304" s="17">
        <v>2.4613299486996615E-2</v>
      </c>
      <c r="E304" s="16">
        <v>0.6044508920529682</v>
      </c>
      <c r="F304" s="16">
        <v>-0.47691856750200151</v>
      </c>
      <c r="G304" s="29">
        <v>0</v>
      </c>
      <c r="H304" s="16">
        <v>0</v>
      </c>
      <c r="I304" s="16">
        <f t="shared" si="37"/>
        <v>-0.75739114463318602</v>
      </c>
      <c r="J304" s="17">
        <f t="shared" ref="J304:J318" si="44">MAX((SQRT(J303)+Eta*SQRT(dt)*E304/2)^2+Kappa*(Theta-J303)*dt-Eta*Eta*dt/4,0)</f>
        <v>1.0911120010095008E-4</v>
      </c>
      <c r="K304" s="19">
        <f t="shared" ref="K304:K318" si="45">(C304-D304-Lambda*(EXP(Alpha+Delta^2/2)-1)-MAX((SQRT($J303)-0),0)^2/2)*dt+SQRT(MAX((SQRT($J303)-0),0)^2*dt)*I304</f>
        <v>-4.2877593802824942E-4</v>
      </c>
      <c r="L304" s="18">
        <f t="shared" ref="L304:L318" si="46">EXP(K304)*EXP(H304)*L303</f>
        <v>1898.6329811686264</v>
      </c>
      <c r="T304" s="37"/>
      <c r="U304" s="54"/>
      <c r="W304" s="59"/>
    </row>
    <row r="305" spans="1:23" x14ac:dyDescent="0.2">
      <c r="A305" s="11">
        <f t="shared" si="35"/>
        <v>302</v>
      </c>
      <c r="B305" s="15">
        <f t="shared" si="36"/>
        <v>1.1984126984126946</v>
      </c>
      <c r="C305" s="17">
        <v>4.0870070747002531E-3</v>
      </c>
      <c r="D305" s="17">
        <v>2.4613299486996615E-2</v>
      </c>
      <c r="E305" s="16">
        <v>0.16032252005897454</v>
      </c>
      <c r="F305" s="16">
        <v>-0.11540202568487219</v>
      </c>
      <c r="G305" s="29">
        <v>0</v>
      </c>
      <c r="H305" s="16">
        <v>0</v>
      </c>
      <c r="I305" s="16">
        <f t="shared" si="37"/>
        <v>-0.19256164478593427</v>
      </c>
      <c r="J305" s="17">
        <f t="shared" si="44"/>
        <v>0</v>
      </c>
      <c r="K305" s="19">
        <f t="shared" si="45"/>
        <v>-1.0935388412318303E-4</v>
      </c>
      <c r="L305" s="18">
        <f t="shared" si="46"/>
        <v>1898.4253696293822</v>
      </c>
      <c r="T305" s="37"/>
      <c r="U305" s="54"/>
      <c r="W305" s="59"/>
    </row>
    <row r="306" spans="1:23" x14ac:dyDescent="0.2">
      <c r="A306" s="11">
        <f t="shared" si="35"/>
        <v>303</v>
      </c>
      <c r="B306" s="15">
        <f t="shared" si="36"/>
        <v>1.2023809523809486</v>
      </c>
      <c r="C306" s="17">
        <v>4.0870070747002531E-3</v>
      </c>
      <c r="D306" s="17">
        <v>2.4613299486996615E-2</v>
      </c>
      <c r="E306" s="16">
        <v>1.8828671766387555</v>
      </c>
      <c r="F306" s="16">
        <v>0.30471930700164013</v>
      </c>
      <c r="G306" s="29">
        <v>0</v>
      </c>
      <c r="H306" s="16">
        <v>0</v>
      </c>
      <c r="I306" s="16">
        <f t="shared" si="37"/>
        <v>-1.0156397561899211</v>
      </c>
      <c r="J306" s="17">
        <f t="shared" si="44"/>
        <v>1.9603625214881749E-3</v>
      </c>
      <c r="K306" s="19">
        <f t="shared" si="45"/>
        <v>1.7570649187355629E-5</v>
      </c>
      <c r="L306" s="18">
        <f t="shared" si="46"/>
        <v>1898.4587264886104</v>
      </c>
      <c r="T306" s="37"/>
      <c r="U306" s="54"/>
      <c r="W306" s="59"/>
    </row>
    <row r="307" spans="1:23" x14ac:dyDescent="0.2">
      <c r="A307" s="11">
        <f t="shared" si="35"/>
        <v>304</v>
      </c>
      <c r="B307" s="15">
        <f t="shared" si="36"/>
        <v>1.2063492063492025</v>
      </c>
      <c r="C307" s="17">
        <v>4.0870070747002531E-3</v>
      </c>
      <c r="D307" s="17">
        <v>2.4613299486996615E-2</v>
      </c>
      <c r="E307" s="16">
        <v>0.88486927612200306</v>
      </c>
      <c r="F307" s="16">
        <v>-0.58205683680314624</v>
      </c>
      <c r="G307" s="29">
        <v>0</v>
      </c>
      <c r="H307" s="16">
        <v>0</v>
      </c>
      <c r="I307" s="16">
        <f t="shared" si="37"/>
        <v>-1.0216176670115298</v>
      </c>
      <c r="J307" s="17">
        <f t="shared" si="44"/>
        <v>4.0481427076634749E-3</v>
      </c>
      <c r="K307" s="19">
        <f t="shared" si="45"/>
        <v>-2.8357379845965155E-3</v>
      </c>
      <c r="L307" s="18">
        <f t="shared" si="46"/>
        <v>1893.0828208980483</v>
      </c>
      <c r="T307" s="37"/>
      <c r="U307" s="54"/>
      <c r="W307" s="59"/>
    </row>
    <row r="308" spans="1:23" x14ac:dyDescent="0.2">
      <c r="A308" s="11">
        <f t="shared" si="35"/>
        <v>305</v>
      </c>
      <c r="B308" s="15">
        <f t="shared" si="36"/>
        <v>1.2103174603174565</v>
      </c>
      <c r="C308" s="17">
        <v>4.0870070747002531E-3</v>
      </c>
      <c r="D308" s="17">
        <v>2.4613299486996615E-2</v>
      </c>
      <c r="E308" s="16">
        <v>-0.18184659641879411</v>
      </c>
      <c r="F308" s="16">
        <v>-4.6537104317828148E-2</v>
      </c>
      <c r="G308" s="29">
        <v>0</v>
      </c>
      <c r="H308" s="16">
        <v>0</v>
      </c>
      <c r="I308" s="16">
        <f t="shared" si="37"/>
        <v>8.5250978148848022E-2</v>
      </c>
      <c r="J308" s="17">
        <f t="shared" si="44"/>
        <v>2.9075720821497989E-3</v>
      </c>
      <c r="K308" s="19">
        <f t="shared" si="45"/>
        <v>3.5122448048390291E-4</v>
      </c>
      <c r="L308" s="18">
        <f t="shared" si="46"/>
        <v>1893.7478347060594</v>
      </c>
      <c r="T308" s="37"/>
      <c r="U308" s="54"/>
      <c r="W308" s="59"/>
    </row>
    <row r="309" spans="1:23" x14ac:dyDescent="0.2">
      <c r="A309" s="11">
        <f t="shared" si="35"/>
        <v>306</v>
      </c>
      <c r="B309" s="15">
        <f t="shared" si="36"/>
        <v>1.2142857142857104</v>
      </c>
      <c r="C309" s="17">
        <v>4.0870070747002531E-3</v>
      </c>
      <c r="D309" s="17">
        <v>2.4613299486996615E-2</v>
      </c>
      <c r="E309" s="16">
        <v>5.3221365594656476E-2</v>
      </c>
      <c r="F309" s="16">
        <v>-0.93001148864953975</v>
      </c>
      <c r="G309" s="29">
        <v>0</v>
      </c>
      <c r="H309" s="16">
        <v>0</v>
      </c>
      <c r="I309" s="16">
        <f t="shared" si="37"/>
        <v>-0.73314593602620959</v>
      </c>
      <c r="J309" s="17">
        <f t="shared" si="44"/>
        <v>2.5160940763743079E-3</v>
      </c>
      <c r="K309" s="19">
        <f t="shared" si="45"/>
        <v>-2.4785197753901321E-3</v>
      </c>
      <c r="L309" s="18">
        <f t="shared" si="46"/>
        <v>1889.0599551490586</v>
      </c>
      <c r="T309" s="37"/>
      <c r="U309" s="54"/>
      <c r="W309" s="59"/>
    </row>
    <row r="310" spans="1:23" x14ac:dyDescent="0.2">
      <c r="A310" s="11">
        <f t="shared" si="35"/>
        <v>307</v>
      </c>
      <c r="B310" s="15">
        <f t="shared" si="36"/>
        <v>1.2182539682539644</v>
      </c>
      <c r="C310" s="17">
        <v>4.0870070747002531E-3</v>
      </c>
      <c r="D310" s="17">
        <v>2.4613299486996615E-2</v>
      </c>
      <c r="E310" s="16">
        <v>-0.52420694474998764</v>
      </c>
      <c r="F310" s="16">
        <v>0.85160067766899528</v>
      </c>
      <c r="G310" s="29">
        <v>0</v>
      </c>
      <c r="H310" s="16">
        <v>0</v>
      </c>
      <c r="I310" s="16">
        <f t="shared" si="37"/>
        <v>0.98555915380205694</v>
      </c>
      <c r="J310" s="17">
        <f t="shared" si="44"/>
        <v>7.6993943413227719E-4</v>
      </c>
      <c r="K310" s="19">
        <f t="shared" si="45"/>
        <v>3.1267738303961245E-3</v>
      </c>
      <c r="L310" s="18">
        <f t="shared" si="46"/>
        <v>1894.975862413032</v>
      </c>
      <c r="T310" s="37"/>
      <c r="U310" s="54"/>
      <c r="W310" s="59"/>
    </row>
    <row r="311" spans="1:23" x14ac:dyDescent="0.2">
      <c r="A311" s="11">
        <f t="shared" si="35"/>
        <v>308</v>
      </c>
      <c r="B311" s="15">
        <f t="shared" si="36"/>
        <v>1.2222222222222183</v>
      </c>
      <c r="C311" s="17">
        <v>4.0870070747002531E-3</v>
      </c>
      <c r="D311" s="17">
        <v>2.4613299486996615E-2</v>
      </c>
      <c r="E311" s="16">
        <v>1.1168157025552341</v>
      </c>
      <c r="F311" s="16">
        <v>-1.2106762669513162</v>
      </c>
      <c r="G311" s="29">
        <v>0</v>
      </c>
      <c r="H311" s="16">
        <v>0</v>
      </c>
      <c r="I311" s="16">
        <f t="shared" si="37"/>
        <v>-1.6466830403893646</v>
      </c>
      <c r="J311" s="17">
        <f t="shared" si="44"/>
        <v>2.7543317513340844E-3</v>
      </c>
      <c r="K311" s="19">
        <f t="shared" si="45"/>
        <v>-2.8622700402027071E-3</v>
      </c>
      <c r="L311" s="18">
        <f t="shared" si="46"/>
        <v>1889.5596847543718</v>
      </c>
      <c r="T311" s="37"/>
      <c r="U311" s="54"/>
      <c r="W311" s="59"/>
    </row>
    <row r="312" spans="1:23" x14ac:dyDescent="0.2">
      <c r="A312" s="11">
        <f t="shared" si="35"/>
        <v>309</v>
      </c>
      <c r="B312" s="15">
        <f t="shared" si="36"/>
        <v>1.2261904761904723</v>
      </c>
      <c r="C312" s="17">
        <v>4.0870070747002531E-3</v>
      </c>
      <c r="D312" s="17">
        <v>2.4613299486996615E-2</v>
      </c>
      <c r="E312" s="16">
        <v>1.1013144577506853</v>
      </c>
      <c r="F312" s="16">
        <v>-0.67374398068229291</v>
      </c>
      <c r="G312" s="29">
        <v>0</v>
      </c>
      <c r="H312" s="16">
        <v>0</v>
      </c>
      <c r="I312" s="16">
        <f t="shared" si="37"/>
        <v>-1.2334711129987976</v>
      </c>
      <c r="J312" s="17">
        <f t="shared" si="44"/>
        <v>6.1298784469907717E-3</v>
      </c>
      <c r="K312" s="19">
        <f t="shared" si="45"/>
        <v>-4.0657967865030762E-3</v>
      </c>
      <c r="L312" s="18">
        <f t="shared" si="46"/>
        <v>1881.8927157907754</v>
      </c>
      <c r="T312" s="37"/>
      <c r="U312" s="54"/>
      <c r="W312" s="59"/>
    </row>
    <row r="313" spans="1:23" x14ac:dyDescent="0.2">
      <c r="A313" s="11">
        <f t="shared" si="35"/>
        <v>310</v>
      </c>
      <c r="B313" s="15">
        <f t="shared" si="36"/>
        <v>1.2301587301587262</v>
      </c>
      <c r="C313" s="17">
        <v>4.0870070747002531E-3</v>
      </c>
      <c r="D313" s="17">
        <v>2.4613299486996615E-2</v>
      </c>
      <c r="E313" s="16">
        <v>-0.36781776854332782</v>
      </c>
      <c r="F313" s="16">
        <v>-1.4216623096606593</v>
      </c>
      <c r="G313" s="29">
        <v>0</v>
      </c>
      <c r="H313" s="16">
        <v>0</v>
      </c>
      <c r="I313" s="16">
        <f t="shared" si="37"/>
        <v>-0.82387742858312152</v>
      </c>
      <c r="J313" s="17">
        <f t="shared" si="44"/>
        <v>4.1395160237007282E-3</v>
      </c>
      <c r="K313" s="19">
        <f t="shared" si="45"/>
        <v>-4.0579795470496978E-3</v>
      </c>
      <c r="L313" s="18">
        <f t="shared" si="46"/>
        <v>1874.271507452461</v>
      </c>
      <c r="T313" s="37"/>
      <c r="U313" s="54"/>
      <c r="W313" s="59"/>
    </row>
    <row r="314" spans="1:23" x14ac:dyDescent="0.2">
      <c r="A314" s="11">
        <f t="shared" si="35"/>
        <v>311</v>
      </c>
      <c r="B314" s="15">
        <f t="shared" si="36"/>
        <v>1.2341269841269802</v>
      </c>
      <c r="C314" s="17">
        <v>4.0870070747002531E-3</v>
      </c>
      <c r="D314" s="17">
        <v>2.4613299486996615E-2</v>
      </c>
      <c r="E314" s="16">
        <v>2.0040368026750017</v>
      </c>
      <c r="F314" s="16">
        <v>0.69328542123073067</v>
      </c>
      <c r="G314" s="29">
        <v>0</v>
      </c>
      <c r="H314" s="16">
        <v>0</v>
      </c>
      <c r="I314" s="16">
        <f t="shared" si="37"/>
        <v>-0.80409838155224611</v>
      </c>
      <c r="J314" s="17">
        <f t="shared" si="44"/>
        <v>1.3258096976842314E-2</v>
      </c>
      <c r="K314" s="19">
        <f t="shared" si="45"/>
        <v>-3.2496377322380299E-3</v>
      </c>
      <c r="L314" s="18">
        <f t="shared" si="46"/>
        <v>1868.1906896201126</v>
      </c>
      <c r="T314" s="37"/>
      <c r="U314" s="54"/>
      <c r="W314" s="59"/>
    </row>
    <row r="315" spans="1:23" x14ac:dyDescent="0.2">
      <c r="A315" s="11">
        <f t="shared" si="35"/>
        <v>312</v>
      </c>
      <c r="B315" s="15">
        <f t="shared" si="36"/>
        <v>1.2380952380952341</v>
      </c>
      <c r="C315" s="17">
        <v>4.0870070747002531E-3</v>
      </c>
      <c r="D315" s="17">
        <v>2.4613299486996615E-2</v>
      </c>
      <c r="E315" s="16">
        <v>-0.46947480810629866</v>
      </c>
      <c r="F315" s="16">
        <v>0.18218488262270338</v>
      </c>
      <c r="G315" s="29">
        <v>0</v>
      </c>
      <c r="H315" s="16">
        <v>0</v>
      </c>
      <c r="I315" s="16">
        <f t="shared" si="37"/>
        <v>0.44699182750499811</v>
      </c>
      <c r="J315" s="17">
        <f t="shared" si="44"/>
        <v>9.9613123315571393E-3</v>
      </c>
      <c r="K315" s="19">
        <f t="shared" si="45"/>
        <v>3.2334656977588412E-3</v>
      </c>
      <c r="L315" s="18">
        <f t="shared" si="46"/>
        <v>1874.2411969141112</v>
      </c>
      <c r="T315" s="37"/>
      <c r="U315" s="54"/>
      <c r="W315" s="59"/>
    </row>
    <row r="316" spans="1:23" x14ac:dyDescent="0.2">
      <c r="A316" s="11">
        <f t="shared" si="35"/>
        <v>313</v>
      </c>
      <c r="B316" s="15">
        <f t="shared" si="36"/>
        <v>1.2420634920634881</v>
      </c>
      <c r="C316" s="17">
        <v>4.0870070747002531E-3</v>
      </c>
      <c r="D316" s="17">
        <v>2.4613299486996615E-2</v>
      </c>
      <c r="E316" s="16">
        <v>0.18322660713454375</v>
      </c>
      <c r="F316" s="16">
        <v>-2.1053780565293394</v>
      </c>
      <c r="G316" s="29">
        <v>0</v>
      </c>
      <c r="H316" s="16">
        <v>0</v>
      </c>
      <c r="I316" s="16">
        <f t="shared" si="37"/>
        <v>-1.7011750328372119</v>
      </c>
      <c r="J316" s="17">
        <f t="shared" si="44"/>
        <v>1.0383826393031939E-2</v>
      </c>
      <c r="K316" s="19">
        <f t="shared" si="45"/>
        <v>-1.0697839566429243E-2</v>
      </c>
      <c r="L316" s="18">
        <f t="shared" si="46"/>
        <v>1854.2977314776381</v>
      </c>
      <c r="T316" s="37"/>
      <c r="U316" s="54"/>
      <c r="W316" s="59"/>
    </row>
    <row r="317" spans="1:23" x14ac:dyDescent="0.2">
      <c r="A317" s="11">
        <f t="shared" si="35"/>
        <v>314</v>
      </c>
      <c r="B317" s="15">
        <f t="shared" si="36"/>
        <v>1.246031746031742</v>
      </c>
      <c r="C317" s="17">
        <v>4.0870070747002531E-3</v>
      </c>
      <c r="D317" s="17">
        <v>2.4613299486996615E-2</v>
      </c>
      <c r="E317" s="16">
        <v>-0.20908813796750883</v>
      </c>
      <c r="F317" s="16">
        <v>-1.1991580770610426</v>
      </c>
      <c r="G317" s="29">
        <v>0</v>
      </c>
      <c r="H317" s="16">
        <v>0</v>
      </c>
      <c r="I317" s="16">
        <f t="shared" si="37"/>
        <v>-0.76178777698855182</v>
      </c>
      <c r="J317" s="17">
        <f t="shared" si="44"/>
        <v>8.7110022147707643E-3</v>
      </c>
      <c r="K317" s="19">
        <f t="shared" si="45"/>
        <v>-4.8930724885874206E-3</v>
      </c>
      <c r="L317" s="18">
        <f t="shared" si="46"/>
        <v>1845.2466800459399</v>
      </c>
      <c r="T317" s="37"/>
      <c r="U317" s="54"/>
      <c r="W317" s="59"/>
    </row>
    <row r="318" spans="1:23" x14ac:dyDescent="0.2">
      <c r="A318" s="11">
        <f t="shared" si="35"/>
        <v>315</v>
      </c>
      <c r="B318" s="15">
        <f t="shared" si="36"/>
        <v>1.249999999999996</v>
      </c>
      <c r="C318" s="17">
        <v>4.0870070747002531E-3</v>
      </c>
      <c r="D318" s="17">
        <v>2.4613299486996615E-2</v>
      </c>
      <c r="E318" s="16">
        <v>-0.98425135406308528</v>
      </c>
      <c r="F318" s="16">
        <v>3.011278142699632</v>
      </c>
      <c r="G318" s="29">
        <v>0</v>
      </c>
      <c r="H318" s="16">
        <v>0</v>
      </c>
      <c r="I318" s="16">
        <f t="shared" si="37"/>
        <v>2.9104266319448202</v>
      </c>
      <c r="J318" s="17">
        <f t="shared" si="44"/>
        <v>3.9514990787446226E-3</v>
      </c>
      <c r="K318" s="19">
        <f t="shared" si="45"/>
        <v>1.7111880130467053E-2</v>
      </c>
      <c r="L318" s="18">
        <f t="shared" si="46"/>
        <v>1877.0940269220307</v>
      </c>
      <c r="T318" s="37"/>
      <c r="U318" s="54"/>
      <c r="W318" s="59"/>
    </row>
    <row r="319" spans="1:23" x14ac:dyDescent="0.2">
      <c r="A319" s="11"/>
      <c r="B319" s="15"/>
      <c r="C319" s="17"/>
      <c r="D319" s="17"/>
      <c r="E319" s="16"/>
      <c r="F319" s="16"/>
      <c r="G319" s="29"/>
      <c r="H319" s="16"/>
      <c r="I319" s="16"/>
      <c r="J319" s="17"/>
      <c r="K319" s="19"/>
      <c r="L319" s="18"/>
      <c r="T319" s="37"/>
      <c r="U319" s="54"/>
      <c r="W319" s="59"/>
    </row>
    <row r="320" spans="1:23" x14ac:dyDescent="0.2">
      <c r="A320" s="11"/>
      <c r="B320" s="15"/>
      <c r="C320" s="17"/>
      <c r="D320" s="17"/>
      <c r="E320" s="16"/>
      <c r="F320" s="16"/>
      <c r="G320" s="29"/>
      <c r="H320" s="16"/>
      <c r="I320" s="16"/>
      <c r="J320" s="17"/>
      <c r="K320" s="19"/>
      <c r="L320" s="18"/>
      <c r="T320" s="37"/>
      <c r="U320" s="54"/>
      <c r="W320" s="59"/>
    </row>
    <row r="321" spans="1:23" x14ac:dyDescent="0.2">
      <c r="A321" s="11"/>
      <c r="B321" s="15"/>
      <c r="C321" s="17"/>
      <c r="D321" s="17"/>
      <c r="E321" s="16"/>
      <c r="F321" s="16"/>
      <c r="G321" s="29"/>
      <c r="H321" s="16"/>
      <c r="I321" s="16"/>
      <c r="J321" s="17"/>
      <c r="K321" s="19"/>
      <c r="L321" s="18"/>
      <c r="T321" s="37"/>
      <c r="U321" s="54"/>
      <c r="W321" s="59"/>
    </row>
    <row r="322" spans="1:23" x14ac:dyDescent="0.2">
      <c r="A322" s="11"/>
      <c r="B322" s="15"/>
      <c r="C322" s="17"/>
      <c r="D322" s="17"/>
      <c r="E322" s="16"/>
      <c r="F322" s="16"/>
      <c r="G322" s="29"/>
      <c r="H322" s="16"/>
      <c r="I322" s="16"/>
      <c r="J322" s="17"/>
      <c r="K322" s="19"/>
      <c r="L322" s="18"/>
      <c r="T322" s="37"/>
      <c r="U322" s="54"/>
      <c r="W322" s="59"/>
    </row>
    <row r="323" spans="1:23" x14ac:dyDescent="0.2">
      <c r="A323" s="11"/>
      <c r="B323" s="15"/>
      <c r="C323" s="17"/>
      <c r="D323" s="17"/>
      <c r="E323" s="16"/>
      <c r="F323" s="16"/>
      <c r="G323" s="29"/>
      <c r="H323" s="16"/>
      <c r="I323" s="16"/>
      <c r="J323" s="17"/>
      <c r="K323" s="19"/>
      <c r="L323" s="18"/>
      <c r="T323" s="37"/>
      <c r="U323" s="54"/>
      <c r="W323" s="59"/>
    </row>
    <row r="324" spans="1:23" x14ac:dyDescent="0.2">
      <c r="A324" s="11"/>
      <c r="B324" s="15"/>
      <c r="C324" s="17"/>
      <c r="D324" s="17"/>
      <c r="E324" s="16"/>
      <c r="F324" s="16"/>
      <c r="G324" s="29"/>
      <c r="H324" s="16"/>
      <c r="I324" s="16"/>
      <c r="J324" s="17"/>
      <c r="K324" s="19"/>
      <c r="L324" s="18"/>
      <c r="T324" s="37"/>
      <c r="U324" s="54"/>
      <c r="W324" s="59"/>
    </row>
    <row r="325" spans="1:23" x14ac:dyDescent="0.2">
      <c r="A325" s="11"/>
      <c r="B325" s="15"/>
      <c r="C325" s="17"/>
      <c r="D325" s="17"/>
      <c r="E325" s="16"/>
      <c r="F325" s="16"/>
      <c r="G325" s="29"/>
      <c r="H325" s="16"/>
      <c r="I325" s="16"/>
      <c r="J325" s="17"/>
      <c r="K325" s="19"/>
      <c r="L325" s="18"/>
      <c r="T325" s="37"/>
      <c r="U325" s="54"/>
      <c r="W325" s="59"/>
    </row>
    <row r="326" spans="1:23" x14ac:dyDescent="0.2">
      <c r="A326" s="11"/>
      <c r="B326" s="15"/>
      <c r="C326" s="17"/>
      <c r="D326" s="17"/>
      <c r="E326" s="16"/>
      <c r="F326" s="16"/>
      <c r="G326" s="29"/>
      <c r="H326" s="16"/>
      <c r="I326" s="16"/>
      <c r="J326" s="17"/>
      <c r="K326" s="19"/>
      <c r="L326" s="18"/>
      <c r="T326" s="37"/>
      <c r="U326" s="54"/>
      <c r="W326" s="59"/>
    </row>
    <row r="327" spans="1:23" x14ac:dyDescent="0.2">
      <c r="A327" s="11"/>
      <c r="B327" s="15"/>
      <c r="C327" s="17"/>
      <c r="D327" s="17"/>
      <c r="E327" s="16"/>
      <c r="F327" s="16"/>
      <c r="G327" s="29"/>
      <c r="H327" s="16"/>
      <c r="I327" s="16"/>
      <c r="J327" s="17"/>
      <c r="K327" s="19"/>
      <c r="L327" s="18"/>
      <c r="T327" s="37"/>
      <c r="U327" s="54"/>
      <c r="W327" s="59"/>
    </row>
    <row r="328" spans="1:23" x14ac:dyDescent="0.2">
      <c r="A328" s="11"/>
      <c r="B328" s="15"/>
      <c r="C328" s="17"/>
      <c r="D328" s="17"/>
      <c r="E328" s="16"/>
      <c r="F328" s="16"/>
      <c r="G328" s="29"/>
      <c r="H328" s="16"/>
      <c r="I328" s="16"/>
      <c r="J328" s="17"/>
      <c r="K328" s="19"/>
      <c r="L328" s="18"/>
      <c r="T328" s="37"/>
      <c r="U328" s="54"/>
      <c r="W328" s="59"/>
    </row>
    <row r="329" spans="1:23" x14ac:dyDescent="0.2">
      <c r="A329" s="11"/>
      <c r="B329" s="15"/>
      <c r="C329" s="17"/>
      <c r="D329" s="17"/>
      <c r="E329" s="16"/>
      <c r="F329" s="16"/>
      <c r="G329" s="29"/>
      <c r="H329" s="16"/>
      <c r="I329" s="16"/>
      <c r="J329" s="17"/>
      <c r="K329" s="19"/>
      <c r="L329" s="18"/>
      <c r="T329" s="37"/>
      <c r="U329" s="54"/>
      <c r="W329" s="59"/>
    </row>
    <row r="330" spans="1:23" x14ac:dyDescent="0.2">
      <c r="A330" s="11"/>
      <c r="B330" s="15"/>
      <c r="C330" s="17"/>
      <c r="D330" s="17"/>
      <c r="E330" s="16"/>
      <c r="F330" s="16"/>
      <c r="G330" s="29"/>
      <c r="H330" s="16"/>
      <c r="I330" s="16"/>
      <c r="J330" s="17"/>
      <c r="K330" s="19"/>
      <c r="L330" s="18"/>
      <c r="T330" s="37"/>
      <c r="U330" s="54"/>
      <c r="W330" s="59"/>
    </row>
    <row r="331" spans="1:23" x14ac:dyDescent="0.2">
      <c r="A331" s="11"/>
      <c r="B331" s="15"/>
      <c r="C331" s="17"/>
      <c r="D331" s="17"/>
      <c r="E331" s="16"/>
      <c r="F331" s="16"/>
      <c r="G331" s="29"/>
      <c r="H331" s="16"/>
      <c r="I331" s="16"/>
      <c r="J331" s="17"/>
      <c r="K331" s="19"/>
      <c r="L331" s="18"/>
      <c r="T331" s="37"/>
      <c r="U331" s="54"/>
      <c r="W331" s="59"/>
    </row>
    <row r="332" spans="1:23" x14ac:dyDescent="0.2">
      <c r="A332" s="11"/>
      <c r="B332" s="15"/>
      <c r="C332" s="17"/>
      <c r="D332" s="17"/>
      <c r="E332" s="16"/>
      <c r="F332" s="16"/>
      <c r="G332" s="29"/>
      <c r="H332" s="16"/>
      <c r="I332" s="16"/>
      <c r="J332" s="17"/>
      <c r="K332" s="19"/>
      <c r="L332" s="18"/>
      <c r="T332" s="37"/>
      <c r="U332" s="54"/>
      <c r="W332" s="59"/>
    </row>
    <row r="333" spans="1:23" x14ac:dyDescent="0.2">
      <c r="A333" s="11"/>
      <c r="B333" s="15"/>
      <c r="C333" s="17"/>
      <c r="D333" s="17"/>
      <c r="E333" s="16"/>
      <c r="F333" s="16"/>
      <c r="G333" s="29"/>
      <c r="H333" s="16"/>
      <c r="I333" s="16"/>
      <c r="J333" s="17"/>
      <c r="K333" s="19"/>
      <c r="L333" s="18"/>
      <c r="T333" s="37"/>
      <c r="U333" s="54"/>
      <c r="W333" s="59"/>
    </row>
    <row r="334" spans="1:23" x14ac:dyDescent="0.2">
      <c r="A334" s="11"/>
      <c r="B334" s="15"/>
      <c r="C334" s="17"/>
      <c r="D334" s="17"/>
      <c r="E334" s="16"/>
      <c r="F334" s="16"/>
      <c r="G334" s="29"/>
      <c r="H334" s="16"/>
      <c r="I334" s="16"/>
      <c r="J334" s="17"/>
      <c r="K334" s="19"/>
      <c r="L334" s="18"/>
      <c r="T334" s="37"/>
      <c r="U334" s="54"/>
      <c r="W334" s="59"/>
    </row>
    <row r="335" spans="1:23" x14ac:dyDescent="0.2">
      <c r="A335" s="11"/>
      <c r="B335" s="15"/>
      <c r="C335" s="17"/>
      <c r="D335" s="17"/>
      <c r="E335" s="16"/>
      <c r="F335" s="16"/>
      <c r="G335" s="29"/>
      <c r="H335" s="16"/>
      <c r="I335" s="16"/>
      <c r="J335" s="17"/>
      <c r="K335" s="19"/>
      <c r="L335" s="18"/>
      <c r="T335" s="37"/>
      <c r="U335" s="54"/>
      <c r="W335" s="59"/>
    </row>
    <row r="336" spans="1:23" x14ac:dyDescent="0.2">
      <c r="A336" s="11"/>
      <c r="B336" s="15"/>
      <c r="C336" s="17"/>
      <c r="D336" s="17"/>
      <c r="E336" s="16"/>
      <c r="F336" s="16"/>
      <c r="G336" s="29"/>
      <c r="H336" s="16"/>
      <c r="I336" s="16"/>
      <c r="J336" s="17"/>
      <c r="K336" s="19"/>
      <c r="L336" s="18"/>
      <c r="T336" s="37"/>
      <c r="U336" s="54"/>
      <c r="W336" s="59"/>
    </row>
    <row r="337" spans="1:23" x14ac:dyDescent="0.2">
      <c r="A337" s="11"/>
      <c r="B337" s="15"/>
      <c r="C337" s="17"/>
      <c r="D337" s="17"/>
      <c r="E337" s="16"/>
      <c r="F337" s="16"/>
      <c r="G337" s="29"/>
      <c r="H337" s="16"/>
      <c r="I337" s="16"/>
      <c r="J337" s="17"/>
      <c r="K337" s="19"/>
      <c r="L337" s="18"/>
      <c r="T337" s="37"/>
      <c r="U337" s="54"/>
      <c r="W337" s="59"/>
    </row>
    <row r="338" spans="1:23" x14ac:dyDescent="0.2">
      <c r="A338" s="11"/>
      <c r="B338" s="15"/>
      <c r="C338" s="17"/>
      <c r="D338" s="17"/>
      <c r="E338" s="16"/>
      <c r="F338" s="16"/>
      <c r="G338" s="29"/>
      <c r="H338" s="16"/>
      <c r="I338" s="16"/>
      <c r="J338" s="17"/>
      <c r="K338" s="19"/>
      <c r="L338" s="18"/>
      <c r="T338" s="37"/>
      <c r="U338" s="54"/>
      <c r="W338" s="59"/>
    </row>
    <row r="339" spans="1:23" x14ac:dyDescent="0.2">
      <c r="A339" s="11"/>
      <c r="B339" s="15"/>
      <c r="C339" s="17"/>
      <c r="D339" s="17"/>
      <c r="E339" s="16"/>
      <c r="F339" s="16"/>
      <c r="G339" s="29"/>
      <c r="H339" s="16"/>
      <c r="I339" s="16"/>
      <c r="J339" s="17"/>
      <c r="K339" s="19"/>
      <c r="L339" s="18"/>
      <c r="T339" s="37"/>
      <c r="U339" s="54"/>
      <c r="W339" s="59"/>
    </row>
    <row r="340" spans="1:23" x14ac:dyDescent="0.2">
      <c r="A340" s="11"/>
      <c r="B340" s="15"/>
      <c r="C340" s="17"/>
      <c r="D340" s="17"/>
      <c r="E340" s="16"/>
      <c r="F340" s="16"/>
      <c r="G340" s="29"/>
      <c r="H340" s="16"/>
      <c r="I340" s="16"/>
      <c r="J340" s="17"/>
      <c r="K340" s="19"/>
      <c r="L340" s="18"/>
      <c r="T340" s="37"/>
      <c r="U340" s="54"/>
      <c r="W340" s="59"/>
    </row>
    <row r="341" spans="1:23" x14ac:dyDescent="0.2">
      <c r="A341" s="11"/>
      <c r="B341" s="15"/>
      <c r="C341" s="17"/>
      <c r="D341" s="17"/>
      <c r="E341" s="16"/>
      <c r="F341" s="16"/>
      <c r="G341" s="29"/>
      <c r="H341" s="16"/>
      <c r="I341" s="16"/>
      <c r="J341" s="17"/>
      <c r="K341" s="19"/>
      <c r="L341" s="18"/>
      <c r="T341" s="37"/>
      <c r="U341" s="54"/>
      <c r="W341" s="59"/>
    </row>
    <row r="342" spans="1:23" x14ac:dyDescent="0.2">
      <c r="A342" s="11"/>
      <c r="B342" s="15"/>
      <c r="C342" s="17"/>
      <c r="D342" s="17"/>
      <c r="E342" s="16"/>
      <c r="F342" s="16"/>
      <c r="G342" s="29"/>
      <c r="H342" s="16"/>
      <c r="I342" s="16"/>
      <c r="J342" s="17"/>
      <c r="K342" s="19"/>
      <c r="L342" s="18"/>
      <c r="T342" s="37"/>
      <c r="U342" s="54"/>
      <c r="W342" s="59"/>
    </row>
    <row r="343" spans="1:23" x14ac:dyDescent="0.2">
      <c r="A343" s="11"/>
      <c r="B343" s="15"/>
      <c r="C343" s="17"/>
      <c r="D343" s="17"/>
      <c r="E343" s="16"/>
      <c r="F343" s="16"/>
      <c r="G343" s="29"/>
      <c r="H343" s="16"/>
      <c r="I343" s="16"/>
      <c r="J343" s="17"/>
      <c r="K343" s="19"/>
      <c r="L343" s="18"/>
      <c r="T343" s="37"/>
      <c r="U343" s="54"/>
      <c r="W343" s="59"/>
    </row>
    <row r="344" spans="1:23" x14ac:dyDescent="0.2">
      <c r="A344" s="11"/>
      <c r="B344" s="15"/>
      <c r="C344" s="17"/>
      <c r="D344" s="17"/>
      <c r="E344" s="16"/>
      <c r="F344" s="16"/>
      <c r="G344" s="29"/>
      <c r="H344" s="16"/>
      <c r="I344" s="16"/>
      <c r="J344" s="17"/>
      <c r="K344" s="19"/>
      <c r="L344" s="18"/>
      <c r="T344" s="37"/>
      <c r="U344" s="54"/>
      <c r="W344" s="59"/>
    </row>
    <row r="345" spans="1:23" x14ac:dyDescent="0.2">
      <c r="A345" s="11"/>
      <c r="B345" s="15"/>
      <c r="C345" s="17"/>
      <c r="D345" s="17"/>
      <c r="E345" s="16"/>
      <c r="F345" s="16"/>
      <c r="G345" s="29"/>
      <c r="H345" s="16"/>
      <c r="I345" s="16"/>
      <c r="J345" s="17"/>
      <c r="K345" s="19"/>
      <c r="L345" s="18"/>
      <c r="T345" s="37"/>
      <c r="U345" s="54"/>
      <c r="W345" s="59"/>
    </row>
    <row r="346" spans="1:23" x14ac:dyDescent="0.2">
      <c r="A346" s="11"/>
      <c r="B346" s="15"/>
      <c r="C346" s="17"/>
      <c r="D346" s="17"/>
      <c r="E346" s="16"/>
      <c r="F346" s="16"/>
      <c r="G346" s="29"/>
      <c r="H346" s="16"/>
      <c r="I346" s="16"/>
      <c r="J346" s="17"/>
      <c r="K346" s="19"/>
      <c r="L346" s="18"/>
      <c r="T346" s="37"/>
      <c r="U346" s="54"/>
      <c r="W346" s="59"/>
    </row>
    <row r="347" spans="1:23" x14ac:dyDescent="0.2">
      <c r="A347" s="11"/>
      <c r="B347" s="15"/>
      <c r="C347" s="17"/>
      <c r="D347" s="17"/>
      <c r="E347" s="16"/>
      <c r="F347" s="16"/>
      <c r="G347" s="29"/>
      <c r="H347" s="16"/>
      <c r="I347" s="16"/>
      <c r="J347" s="17"/>
      <c r="K347" s="19"/>
      <c r="L347" s="18"/>
      <c r="T347" s="37"/>
      <c r="U347" s="54"/>
      <c r="W347" s="59"/>
    </row>
    <row r="348" spans="1:23" x14ac:dyDescent="0.2">
      <c r="A348" s="11"/>
      <c r="B348" s="15"/>
      <c r="C348" s="17"/>
      <c r="D348" s="17"/>
      <c r="E348" s="16"/>
      <c r="F348" s="16"/>
      <c r="G348" s="29"/>
      <c r="H348" s="16"/>
      <c r="I348" s="16"/>
      <c r="J348" s="17"/>
      <c r="K348" s="19"/>
      <c r="L348" s="18"/>
      <c r="T348" s="37"/>
      <c r="U348" s="54"/>
      <c r="W348" s="59"/>
    </row>
    <row r="349" spans="1:23" x14ac:dyDescent="0.2">
      <c r="A349" s="11"/>
      <c r="B349" s="15"/>
      <c r="C349" s="17"/>
      <c r="D349" s="17"/>
      <c r="E349" s="16"/>
      <c r="F349" s="16"/>
      <c r="G349" s="29"/>
      <c r="H349" s="16"/>
      <c r="I349" s="16"/>
      <c r="J349" s="17"/>
      <c r="K349" s="19"/>
      <c r="L349" s="18"/>
      <c r="T349" s="37"/>
      <c r="U349" s="54"/>
      <c r="W349" s="59"/>
    </row>
    <row r="350" spans="1:23" x14ac:dyDescent="0.2">
      <c r="A350" s="11"/>
      <c r="B350" s="15"/>
      <c r="C350" s="17"/>
      <c r="D350" s="17"/>
      <c r="E350" s="16"/>
      <c r="F350" s="16"/>
      <c r="G350" s="29"/>
      <c r="H350" s="16"/>
      <c r="I350" s="16"/>
      <c r="J350" s="17"/>
      <c r="K350" s="19"/>
      <c r="L350" s="18"/>
      <c r="T350" s="37"/>
      <c r="U350" s="54"/>
      <c r="W350" s="59"/>
    </row>
    <row r="351" spans="1:23" x14ac:dyDescent="0.2">
      <c r="A351" s="11"/>
      <c r="B351" s="15"/>
      <c r="C351" s="17"/>
      <c r="D351" s="17"/>
      <c r="E351" s="16"/>
      <c r="F351" s="16"/>
      <c r="G351" s="29"/>
      <c r="H351" s="16"/>
      <c r="I351" s="16"/>
      <c r="J351" s="17"/>
      <c r="K351" s="19"/>
      <c r="L351" s="18"/>
      <c r="T351" s="37"/>
      <c r="U351" s="54"/>
      <c r="W351" s="59"/>
    </row>
    <row r="352" spans="1:23" x14ac:dyDescent="0.2">
      <c r="A352" s="11"/>
      <c r="B352" s="15"/>
      <c r="C352" s="17"/>
      <c r="D352" s="17"/>
      <c r="E352" s="16"/>
      <c r="F352" s="16"/>
      <c r="G352" s="29"/>
      <c r="H352" s="16"/>
      <c r="I352" s="16"/>
      <c r="J352" s="17"/>
      <c r="K352" s="19"/>
      <c r="L352" s="18"/>
      <c r="T352" s="37"/>
      <c r="U352" s="54"/>
      <c r="W352" s="59"/>
    </row>
    <row r="353" spans="1:23" x14ac:dyDescent="0.2">
      <c r="A353" s="11"/>
      <c r="B353" s="15"/>
      <c r="C353" s="17"/>
      <c r="D353" s="17"/>
      <c r="E353" s="16"/>
      <c r="F353" s="16"/>
      <c r="G353" s="29"/>
      <c r="H353" s="16"/>
      <c r="I353" s="16"/>
      <c r="J353" s="17"/>
      <c r="K353" s="19"/>
      <c r="L353" s="18"/>
      <c r="T353" s="37"/>
      <c r="U353" s="54"/>
      <c r="W353" s="59"/>
    </row>
    <row r="354" spans="1:23" x14ac:dyDescent="0.2">
      <c r="A354" s="11"/>
      <c r="B354" s="15"/>
      <c r="C354" s="17"/>
      <c r="D354" s="17"/>
      <c r="E354" s="16"/>
      <c r="F354" s="16"/>
      <c r="G354" s="29"/>
      <c r="H354" s="16"/>
      <c r="I354" s="16"/>
      <c r="J354" s="17"/>
      <c r="K354" s="19"/>
      <c r="L354" s="18"/>
      <c r="T354" s="37"/>
      <c r="U354" s="54"/>
      <c r="W354" s="59"/>
    </row>
    <row r="355" spans="1:23" x14ac:dyDescent="0.2">
      <c r="A355" s="11"/>
      <c r="B355" s="15"/>
      <c r="C355" s="17"/>
      <c r="D355" s="17"/>
      <c r="E355" s="16"/>
      <c r="F355" s="16"/>
      <c r="G355" s="29"/>
      <c r="H355" s="16"/>
      <c r="I355" s="16"/>
      <c r="J355" s="17"/>
      <c r="K355" s="19"/>
      <c r="L355" s="18"/>
      <c r="T355" s="37"/>
      <c r="U355" s="54"/>
      <c r="W355" s="59"/>
    </row>
    <row r="356" spans="1:23" x14ac:dyDescent="0.2">
      <c r="A356" s="11"/>
      <c r="B356" s="15"/>
      <c r="C356" s="17"/>
      <c r="D356" s="17"/>
      <c r="E356" s="16"/>
      <c r="F356" s="16"/>
      <c r="G356" s="29"/>
      <c r="H356" s="16"/>
      <c r="I356" s="16"/>
      <c r="J356" s="17"/>
      <c r="K356" s="19"/>
      <c r="L356" s="18"/>
      <c r="T356" s="37"/>
      <c r="U356" s="54"/>
      <c r="W356" s="59"/>
    </row>
    <row r="357" spans="1:23" x14ac:dyDescent="0.2">
      <c r="A357" s="11"/>
      <c r="B357" s="15"/>
      <c r="C357" s="17"/>
      <c r="D357" s="17"/>
      <c r="E357" s="16"/>
      <c r="F357" s="16"/>
      <c r="G357" s="29"/>
      <c r="H357" s="16"/>
      <c r="I357" s="16"/>
      <c r="J357" s="17"/>
      <c r="K357" s="19"/>
      <c r="L357" s="18"/>
      <c r="T357" s="37"/>
      <c r="U357" s="54"/>
      <c r="W357" s="59"/>
    </row>
    <row r="358" spans="1:23" x14ac:dyDescent="0.2">
      <c r="A358" s="11"/>
      <c r="B358" s="15"/>
      <c r="C358" s="17"/>
      <c r="D358" s="17"/>
      <c r="E358" s="16"/>
      <c r="F358" s="16"/>
      <c r="G358" s="29"/>
      <c r="H358" s="16"/>
      <c r="I358" s="16"/>
      <c r="J358" s="17"/>
      <c r="K358" s="19"/>
      <c r="L358" s="18"/>
      <c r="T358" s="37"/>
      <c r="U358" s="54"/>
      <c r="W358" s="59"/>
    </row>
    <row r="359" spans="1:23" x14ac:dyDescent="0.2">
      <c r="A359" s="11"/>
      <c r="B359" s="15"/>
      <c r="C359" s="17"/>
      <c r="D359" s="17"/>
      <c r="E359" s="16"/>
      <c r="F359" s="16"/>
      <c r="G359" s="29"/>
      <c r="H359" s="16"/>
      <c r="I359" s="16"/>
      <c r="J359" s="17"/>
      <c r="K359" s="19"/>
      <c r="L359" s="18"/>
      <c r="T359" s="37"/>
      <c r="U359" s="54"/>
      <c r="W359" s="59"/>
    </row>
    <row r="360" spans="1:23" x14ac:dyDescent="0.2">
      <c r="A360" s="11"/>
      <c r="B360" s="15"/>
      <c r="C360" s="17"/>
      <c r="D360" s="17"/>
      <c r="E360" s="16"/>
      <c r="F360" s="16"/>
      <c r="G360" s="29"/>
      <c r="H360" s="16"/>
      <c r="I360" s="16"/>
      <c r="J360" s="17"/>
      <c r="K360" s="19"/>
      <c r="L360" s="18"/>
      <c r="T360" s="37"/>
      <c r="U360" s="54"/>
      <c r="W360" s="59"/>
    </row>
    <row r="361" spans="1:23" x14ac:dyDescent="0.2">
      <c r="A361" s="11"/>
      <c r="B361" s="15"/>
      <c r="C361" s="17"/>
      <c r="D361" s="17"/>
      <c r="E361" s="16"/>
      <c r="F361" s="16"/>
      <c r="G361" s="29"/>
      <c r="H361" s="16"/>
      <c r="I361" s="16"/>
      <c r="J361" s="17"/>
      <c r="K361" s="19"/>
      <c r="L361" s="18"/>
      <c r="T361" s="37"/>
      <c r="U361" s="54"/>
      <c r="W361" s="59"/>
    </row>
    <row r="362" spans="1:23" x14ac:dyDescent="0.2">
      <c r="A362" s="11"/>
      <c r="B362" s="15"/>
      <c r="C362" s="17"/>
      <c r="D362" s="17"/>
      <c r="E362" s="16"/>
      <c r="F362" s="16"/>
      <c r="G362" s="29"/>
      <c r="H362" s="16"/>
      <c r="I362" s="16"/>
      <c r="J362" s="17"/>
      <c r="K362" s="19"/>
      <c r="L362" s="18"/>
      <c r="T362" s="37"/>
      <c r="U362" s="54"/>
      <c r="W362" s="59"/>
    </row>
    <row r="363" spans="1:23" x14ac:dyDescent="0.2">
      <c r="A363" s="11"/>
      <c r="B363" s="15"/>
      <c r="C363" s="17"/>
      <c r="D363" s="17"/>
      <c r="E363" s="16"/>
      <c r="F363" s="16"/>
      <c r="G363" s="29"/>
      <c r="H363" s="16"/>
      <c r="I363" s="16"/>
      <c r="J363" s="17"/>
      <c r="K363" s="19"/>
      <c r="L363" s="18"/>
      <c r="T363" s="37"/>
      <c r="U363" s="54"/>
      <c r="W363" s="59"/>
    </row>
    <row r="364" spans="1:23" x14ac:dyDescent="0.2">
      <c r="A364" s="11"/>
      <c r="B364" s="15"/>
      <c r="C364" s="17"/>
      <c r="D364" s="17"/>
      <c r="E364" s="16"/>
      <c r="F364" s="16"/>
      <c r="G364" s="29"/>
      <c r="H364" s="16"/>
      <c r="I364" s="16"/>
      <c r="J364" s="17"/>
      <c r="K364" s="19"/>
      <c r="L364" s="18"/>
      <c r="T364" s="37"/>
      <c r="U364" s="54"/>
      <c r="W364" s="59"/>
    </row>
    <row r="365" spans="1:23" x14ac:dyDescent="0.2">
      <c r="A365" s="11"/>
      <c r="B365" s="15"/>
      <c r="C365" s="17"/>
      <c r="D365" s="17"/>
      <c r="E365" s="16"/>
      <c r="F365" s="16"/>
      <c r="G365" s="29"/>
      <c r="H365" s="16"/>
      <c r="I365" s="16"/>
      <c r="J365" s="17"/>
      <c r="K365" s="19"/>
      <c r="L365" s="18"/>
      <c r="T365" s="37"/>
      <c r="U365" s="54"/>
      <c r="W365" s="59"/>
    </row>
    <row r="366" spans="1:23" x14ac:dyDescent="0.2">
      <c r="A366" s="11"/>
      <c r="B366" s="15"/>
      <c r="C366" s="17"/>
      <c r="D366" s="17"/>
      <c r="E366" s="16"/>
      <c r="F366" s="16"/>
      <c r="G366" s="29"/>
      <c r="H366" s="16"/>
      <c r="I366" s="16"/>
      <c r="J366" s="17"/>
      <c r="K366" s="19"/>
      <c r="L366" s="18"/>
      <c r="T366" s="37"/>
      <c r="U366" s="54"/>
      <c r="W366" s="59"/>
    </row>
    <row r="367" spans="1:23" x14ac:dyDescent="0.2">
      <c r="A367" s="11"/>
      <c r="B367" s="15"/>
      <c r="C367" s="17"/>
      <c r="D367" s="17"/>
      <c r="E367" s="16"/>
      <c r="F367" s="16"/>
      <c r="G367" s="29"/>
      <c r="H367" s="16"/>
      <c r="I367" s="16"/>
      <c r="J367" s="17"/>
      <c r="K367" s="19"/>
      <c r="L367" s="18"/>
      <c r="T367" s="37"/>
      <c r="U367" s="54"/>
      <c r="W367" s="59"/>
    </row>
    <row r="368" spans="1:23" x14ac:dyDescent="0.2">
      <c r="A368" s="11"/>
      <c r="B368" s="15"/>
      <c r="C368" s="17"/>
      <c r="D368" s="17"/>
      <c r="E368" s="16"/>
      <c r="F368" s="16"/>
      <c r="G368" s="29"/>
      <c r="H368" s="16"/>
      <c r="I368" s="16"/>
      <c r="J368" s="17"/>
      <c r="K368" s="19"/>
      <c r="L368" s="18"/>
      <c r="T368" s="37"/>
      <c r="U368" s="54"/>
      <c r="W368" s="59"/>
    </row>
    <row r="369" spans="1:23" x14ac:dyDescent="0.2">
      <c r="A369" s="11"/>
      <c r="B369" s="15"/>
      <c r="C369" s="17"/>
      <c r="D369" s="17"/>
      <c r="E369" s="16"/>
      <c r="F369" s="16"/>
      <c r="G369" s="29"/>
      <c r="H369" s="16"/>
      <c r="I369" s="16"/>
      <c r="J369" s="17"/>
      <c r="K369" s="19"/>
      <c r="L369" s="18"/>
      <c r="T369" s="37"/>
      <c r="U369" s="54"/>
      <c r="W369" s="59"/>
    </row>
    <row r="370" spans="1:23" x14ac:dyDescent="0.2">
      <c r="A370" s="11"/>
      <c r="B370" s="15"/>
      <c r="C370" s="17"/>
      <c r="D370" s="17"/>
      <c r="E370" s="16"/>
      <c r="F370" s="16"/>
      <c r="G370" s="29"/>
      <c r="H370" s="16"/>
      <c r="I370" s="16"/>
      <c r="J370" s="17"/>
      <c r="K370" s="19"/>
      <c r="L370" s="18"/>
      <c r="T370" s="37"/>
      <c r="U370" s="54"/>
      <c r="W370" s="59"/>
    </row>
    <row r="371" spans="1:23" x14ac:dyDescent="0.2">
      <c r="A371" s="11"/>
      <c r="B371" s="15"/>
      <c r="C371" s="17"/>
      <c r="D371" s="17"/>
      <c r="E371" s="16"/>
      <c r="F371" s="16"/>
      <c r="G371" s="29"/>
      <c r="H371" s="16"/>
      <c r="I371" s="16"/>
      <c r="J371" s="17"/>
      <c r="K371" s="19"/>
      <c r="L371" s="18"/>
      <c r="T371" s="37"/>
      <c r="U371" s="54"/>
      <c r="W371" s="59"/>
    </row>
    <row r="372" spans="1:23" x14ac:dyDescent="0.2">
      <c r="A372" s="11"/>
      <c r="B372" s="15"/>
      <c r="C372" s="17"/>
      <c r="D372" s="17"/>
      <c r="E372" s="16"/>
      <c r="F372" s="16"/>
      <c r="G372" s="29"/>
      <c r="H372" s="16"/>
      <c r="I372" s="16"/>
      <c r="J372" s="17"/>
      <c r="K372" s="19"/>
      <c r="L372" s="18"/>
      <c r="T372" s="37"/>
      <c r="U372" s="54"/>
      <c r="W372" s="59"/>
    </row>
    <row r="373" spans="1:23" x14ac:dyDescent="0.2">
      <c r="A373" s="11"/>
      <c r="B373" s="15"/>
      <c r="C373" s="17"/>
      <c r="D373" s="17"/>
      <c r="E373" s="16"/>
      <c r="F373" s="16"/>
      <c r="G373" s="29"/>
      <c r="H373" s="16"/>
      <c r="I373" s="16"/>
      <c r="J373" s="17"/>
      <c r="K373" s="19"/>
      <c r="L373" s="18"/>
      <c r="T373" s="37"/>
      <c r="U373" s="54"/>
      <c r="W373" s="59"/>
    </row>
    <row r="374" spans="1:23" x14ac:dyDescent="0.2">
      <c r="A374" s="11"/>
      <c r="B374" s="15"/>
      <c r="C374" s="17"/>
      <c r="D374" s="17"/>
      <c r="E374" s="16"/>
      <c r="F374" s="16"/>
      <c r="G374" s="29"/>
      <c r="H374" s="16"/>
      <c r="I374" s="16"/>
      <c r="J374" s="17"/>
      <c r="K374" s="19"/>
      <c r="L374" s="18"/>
      <c r="T374" s="37"/>
      <c r="U374" s="54"/>
      <c r="W374" s="59"/>
    </row>
    <row r="375" spans="1:23" x14ac:dyDescent="0.2">
      <c r="A375" s="11"/>
      <c r="B375" s="15"/>
      <c r="C375" s="17"/>
      <c r="D375" s="17"/>
      <c r="E375" s="16"/>
      <c r="F375" s="16"/>
      <c r="G375" s="29"/>
      <c r="H375" s="16"/>
      <c r="I375" s="16"/>
      <c r="J375" s="17"/>
      <c r="K375" s="19"/>
      <c r="L375" s="18"/>
      <c r="T375" s="37"/>
      <c r="U375" s="54"/>
      <c r="W375" s="59"/>
    </row>
    <row r="376" spans="1:23" x14ac:dyDescent="0.2">
      <c r="A376" s="11"/>
      <c r="B376" s="15"/>
      <c r="C376" s="17"/>
      <c r="D376" s="17"/>
      <c r="E376" s="16"/>
      <c r="F376" s="16"/>
      <c r="G376" s="29"/>
      <c r="H376" s="16"/>
      <c r="I376" s="16"/>
      <c r="J376" s="17"/>
      <c r="K376" s="19"/>
      <c r="L376" s="18"/>
      <c r="T376" s="37"/>
      <c r="U376" s="54"/>
      <c r="W376" s="59"/>
    </row>
    <row r="377" spans="1:23" x14ac:dyDescent="0.2">
      <c r="A377" s="11"/>
      <c r="B377" s="15"/>
      <c r="C377" s="17"/>
      <c r="D377" s="17"/>
      <c r="E377" s="16"/>
      <c r="F377" s="16"/>
      <c r="G377" s="29"/>
      <c r="H377" s="16"/>
      <c r="I377" s="16"/>
      <c r="J377" s="17"/>
      <c r="K377" s="19"/>
      <c r="L377" s="18"/>
      <c r="T377" s="37"/>
      <c r="U377" s="54"/>
      <c r="W377" s="59"/>
    </row>
    <row r="378" spans="1:23" x14ac:dyDescent="0.2">
      <c r="A378" s="11"/>
      <c r="B378" s="15"/>
      <c r="C378" s="17"/>
      <c r="D378" s="17"/>
      <c r="E378" s="16"/>
      <c r="F378" s="16"/>
      <c r="G378" s="29"/>
      <c r="H378" s="16"/>
      <c r="I378" s="16"/>
      <c r="J378" s="17"/>
      <c r="K378" s="19"/>
      <c r="L378" s="18"/>
      <c r="T378" s="37"/>
      <c r="U378" s="54"/>
      <c r="W378" s="59"/>
    </row>
    <row r="379" spans="1:23" x14ac:dyDescent="0.2">
      <c r="A379" s="11"/>
      <c r="B379" s="15"/>
      <c r="C379" s="17"/>
      <c r="D379" s="17"/>
      <c r="E379" s="16"/>
      <c r="F379" s="16"/>
      <c r="G379" s="29"/>
      <c r="H379" s="16"/>
      <c r="I379" s="16"/>
      <c r="J379" s="17"/>
      <c r="K379" s="19"/>
      <c r="L379" s="18"/>
      <c r="T379" s="37"/>
      <c r="U379" s="54"/>
      <c r="W379" s="59"/>
    </row>
    <row r="380" spans="1:23" x14ac:dyDescent="0.2">
      <c r="A380" s="11"/>
      <c r="B380" s="15"/>
      <c r="C380" s="17"/>
      <c r="D380" s="17"/>
      <c r="E380" s="16"/>
      <c r="F380" s="16"/>
      <c r="G380" s="29"/>
      <c r="H380" s="16"/>
      <c r="I380" s="16"/>
      <c r="J380" s="17"/>
      <c r="K380" s="19"/>
      <c r="L380" s="18"/>
      <c r="T380" s="37"/>
      <c r="U380" s="54"/>
      <c r="W380" s="59"/>
    </row>
    <row r="381" spans="1:23" x14ac:dyDescent="0.2">
      <c r="A381" s="11"/>
      <c r="B381" s="15"/>
      <c r="C381" s="17"/>
      <c r="D381" s="17"/>
      <c r="E381" s="16"/>
      <c r="F381" s="16"/>
      <c r="G381" s="29"/>
      <c r="H381" s="16"/>
      <c r="I381" s="16"/>
      <c r="J381" s="17"/>
      <c r="K381" s="19"/>
      <c r="L381" s="18"/>
      <c r="T381" s="37"/>
      <c r="U381" s="54"/>
      <c r="W381" s="59"/>
    </row>
    <row r="382" spans="1:23" x14ac:dyDescent="0.2">
      <c r="T382" s="37"/>
      <c r="U382" s="54"/>
      <c r="W382" s="59"/>
    </row>
    <row r="383" spans="1:23" x14ac:dyDescent="0.2">
      <c r="T383" s="37"/>
      <c r="U383" s="54"/>
      <c r="W383" s="59"/>
    </row>
    <row r="384" spans="1:23" x14ac:dyDescent="0.2">
      <c r="T384" s="37"/>
      <c r="U384" s="54"/>
      <c r="W384" s="59"/>
    </row>
    <row r="385" spans="20:23" x14ac:dyDescent="0.2">
      <c r="T385" s="37"/>
      <c r="U385" s="54"/>
      <c r="W385" s="59"/>
    </row>
    <row r="386" spans="20:23" x14ac:dyDescent="0.2">
      <c r="T386" s="37"/>
      <c r="U386" s="54"/>
      <c r="W386" s="59"/>
    </row>
    <row r="387" spans="20:23" x14ac:dyDescent="0.2">
      <c r="T387" s="37"/>
      <c r="U387" s="54"/>
      <c r="W387" s="59"/>
    </row>
    <row r="388" spans="20:23" x14ac:dyDescent="0.2">
      <c r="T388" s="37"/>
      <c r="U388" s="54"/>
      <c r="W388" s="59"/>
    </row>
    <row r="389" spans="20:23" x14ac:dyDescent="0.2">
      <c r="T389" s="37"/>
      <c r="U389" s="54"/>
      <c r="W389" s="59"/>
    </row>
    <row r="390" spans="20:23" x14ac:dyDescent="0.2">
      <c r="T390" s="37"/>
      <c r="U390" s="54"/>
      <c r="W390" s="59"/>
    </row>
    <row r="391" spans="20:23" x14ac:dyDescent="0.2">
      <c r="T391" s="37"/>
      <c r="U391" s="54"/>
      <c r="W391" s="59"/>
    </row>
    <row r="392" spans="20:23" x14ac:dyDescent="0.2">
      <c r="T392" s="37"/>
      <c r="U392" s="54"/>
      <c r="W392" s="59"/>
    </row>
    <row r="393" spans="20:23" x14ac:dyDescent="0.2">
      <c r="T393" s="37"/>
      <c r="U393" s="57"/>
      <c r="V393" s="58"/>
      <c r="W393" s="59"/>
    </row>
    <row r="394" spans="20:23" x14ac:dyDescent="0.2">
      <c r="T394" s="37"/>
      <c r="U394" s="54"/>
      <c r="W394" s="59"/>
    </row>
    <row r="395" spans="20:23" x14ac:dyDescent="0.2">
      <c r="T395" s="37"/>
      <c r="U395" s="54"/>
      <c r="W395" s="59"/>
    </row>
    <row r="396" spans="20:23" x14ac:dyDescent="0.2">
      <c r="T396" s="37"/>
      <c r="U396" s="54"/>
      <c r="W396" s="59"/>
    </row>
    <row r="397" spans="20:23" x14ac:dyDescent="0.2">
      <c r="T397" s="37"/>
      <c r="U397" s="54"/>
      <c r="W397" s="59"/>
    </row>
    <row r="398" spans="20:23" x14ac:dyDescent="0.2">
      <c r="T398" s="37"/>
      <c r="U398" s="54"/>
      <c r="W398" s="59"/>
    </row>
    <row r="399" spans="20:23" x14ac:dyDescent="0.2">
      <c r="T399" s="37"/>
      <c r="U399" s="54"/>
      <c r="W399" s="59"/>
    </row>
    <row r="400" spans="20:23" x14ac:dyDescent="0.2">
      <c r="T400" s="37"/>
      <c r="U400" s="54"/>
      <c r="W400" s="59"/>
    </row>
    <row r="401" spans="20:23" x14ac:dyDescent="0.2">
      <c r="T401" s="37"/>
      <c r="U401" s="54"/>
      <c r="W401" s="59"/>
    </row>
    <row r="402" spans="20:23" x14ac:dyDescent="0.2">
      <c r="T402" s="37"/>
      <c r="U402" s="54"/>
      <c r="W402" s="59"/>
    </row>
    <row r="403" spans="20:23" x14ac:dyDescent="0.2">
      <c r="T403" s="37"/>
      <c r="U403" s="54"/>
      <c r="W403" s="59"/>
    </row>
    <row r="404" spans="20:23" x14ac:dyDescent="0.2">
      <c r="T404" s="37"/>
      <c r="U404" s="54"/>
      <c r="W404" s="59"/>
    </row>
    <row r="405" spans="20:23" x14ac:dyDescent="0.2">
      <c r="T405" s="37"/>
      <c r="U405" s="54"/>
      <c r="W405" s="59"/>
    </row>
    <row r="406" spans="20:23" x14ac:dyDescent="0.2">
      <c r="T406" s="37"/>
      <c r="U406" s="54"/>
      <c r="W406" s="59"/>
    </row>
    <row r="407" spans="20:23" x14ac:dyDescent="0.2">
      <c r="T407" s="37"/>
      <c r="U407" s="54"/>
      <c r="W407" s="59"/>
    </row>
    <row r="408" spans="20:23" x14ac:dyDescent="0.2">
      <c r="T408" s="37"/>
      <c r="U408" s="54"/>
      <c r="W408" s="59"/>
    </row>
    <row r="409" spans="20:23" x14ac:dyDescent="0.2">
      <c r="T409" s="37"/>
      <c r="U409" s="54"/>
      <c r="W409" s="59"/>
    </row>
    <row r="410" spans="20:23" x14ac:dyDescent="0.2">
      <c r="T410" s="37"/>
      <c r="U410" s="54"/>
      <c r="W410" s="59"/>
    </row>
    <row r="411" spans="20:23" x14ac:dyDescent="0.2">
      <c r="T411" s="37"/>
      <c r="U411" s="54"/>
      <c r="W411" s="59"/>
    </row>
    <row r="412" spans="20:23" x14ac:dyDescent="0.2">
      <c r="T412" s="37"/>
      <c r="U412" s="54"/>
      <c r="W412" s="59"/>
    </row>
    <row r="413" spans="20:23" x14ac:dyDescent="0.2">
      <c r="T413" s="37"/>
      <c r="U413" s="54"/>
      <c r="W413" s="59"/>
    </row>
    <row r="414" spans="20:23" x14ac:dyDescent="0.2">
      <c r="T414" s="37"/>
      <c r="U414" s="54"/>
      <c r="W414" s="59"/>
    </row>
    <row r="415" spans="20:23" x14ac:dyDescent="0.2">
      <c r="T415" s="37"/>
      <c r="U415" s="54"/>
      <c r="W415" s="59"/>
    </row>
    <row r="416" spans="20:23" x14ac:dyDescent="0.2">
      <c r="T416" s="37"/>
      <c r="U416" s="54"/>
      <c r="W416" s="59"/>
    </row>
    <row r="417" spans="20:23" x14ac:dyDescent="0.2">
      <c r="T417" s="37"/>
      <c r="U417" s="54"/>
      <c r="W417" s="59"/>
    </row>
    <row r="418" spans="20:23" x14ac:dyDescent="0.2">
      <c r="T418" s="37"/>
      <c r="U418" s="54"/>
      <c r="W418" s="59"/>
    </row>
    <row r="419" spans="20:23" x14ac:dyDescent="0.2">
      <c r="T419" s="37"/>
      <c r="U419" s="54"/>
      <c r="W419" s="59"/>
    </row>
    <row r="420" spans="20:23" x14ac:dyDescent="0.2">
      <c r="T420" s="37"/>
      <c r="U420" s="54"/>
      <c r="W420" s="59"/>
    </row>
    <row r="421" spans="20:23" x14ac:dyDescent="0.2">
      <c r="T421" s="37"/>
      <c r="U421" s="54"/>
      <c r="W421" s="59"/>
    </row>
    <row r="422" spans="20:23" x14ac:dyDescent="0.2">
      <c r="T422" s="37"/>
      <c r="U422" s="54"/>
      <c r="W422" s="59"/>
    </row>
    <row r="423" spans="20:23" x14ac:dyDescent="0.2">
      <c r="T423" s="37"/>
      <c r="U423" s="54"/>
      <c r="W423" s="59"/>
    </row>
    <row r="424" spans="20:23" x14ac:dyDescent="0.2">
      <c r="T424" s="37"/>
      <c r="U424" s="54"/>
      <c r="W424" s="59"/>
    </row>
    <row r="425" spans="20:23" x14ac:dyDescent="0.2">
      <c r="T425" s="37"/>
      <c r="U425" s="54"/>
      <c r="W425" s="59"/>
    </row>
    <row r="426" spans="20:23" x14ac:dyDescent="0.2">
      <c r="T426" s="37"/>
      <c r="U426" s="54"/>
      <c r="W426" s="59"/>
    </row>
    <row r="427" spans="20:23" x14ac:dyDescent="0.2">
      <c r="T427" s="37"/>
      <c r="U427" s="54"/>
      <c r="W427" s="59"/>
    </row>
    <row r="428" spans="20:23" x14ac:dyDescent="0.2">
      <c r="T428" s="37"/>
      <c r="U428" s="54"/>
      <c r="W428" s="59"/>
    </row>
    <row r="429" spans="20:23" x14ac:dyDescent="0.2">
      <c r="T429" s="37"/>
      <c r="U429" s="54"/>
      <c r="W429" s="59"/>
    </row>
    <row r="430" spans="20:23" x14ac:dyDescent="0.2">
      <c r="T430" s="37"/>
      <c r="U430" s="54"/>
      <c r="W430" s="59"/>
    </row>
    <row r="431" spans="20:23" x14ac:dyDescent="0.2">
      <c r="T431" s="37"/>
      <c r="U431" s="54"/>
      <c r="W431" s="59"/>
    </row>
    <row r="432" spans="20:23" x14ac:dyDescent="0.2">
      <c r="T432" s="37"/>
      <c r="U432" s="54"/>
      <c r="W432" s="59"/>
    </row>
    <row r="433" spans="20:23" x14ac:dyDescent="0.2">
      <c r="T433" s="37"/>
      <c r="U433" s="54"/>
      <c r="W433" s="59"/>
    </row>
    <row r="434" spans="20:23" x14ac:dyDescent="0.2">
      <c r="T434" s="37"/>
      <c r="U434" s="54"/>
      <c r="W434" s="59"/>
    </row>
    <row r="435" spans="20:23" x14ac:dyDescent="0.2">
      <c r="T435" s="37"/>
      <c r="U435" s="54"/>
      <c r="W435" s="59"/>
    </row>
    <row r="436" spans="20:23" x14ac:dyDescent="0.2">
      <c r="T436" s="37"/>
      <c r="U436" s="54"/>
      <c r="W436" s="59"/>
    </row>
    <row r="437" spans="20:23" x14ac:dyDescent="0.2">
      <c r="T437" s="37"/>
      <c r="U437" s="54"/>
      <c r="W437" s="59"/>
    </row>
    <row r="438" spans="20:23" x14ac:dyDescent="0.2">
      <c r="T438" s="37"/>
      <c r="U438" s="54"/>
      <c r="W438" s="59"/>
    </row>
    <row r="439" spans="20:23" x14ac:dyDescent="0.2">
      <c r="T439" s="37"/>
      <c r="U439" s="54"/>
      <c r="W439" s="59"/>
    </row>
    <row r="440" spans="20:23" x14ac:dyDescent="0.2">
      <c r="T440" s="37"/>
      <c r="U440" s="54"/>
      <c r="W440" s="59"/>
    </row>
    <row r="441" spans="20:23" x14ac:dyDescent="0.2">
      <c r="T441" s="37"/>
      <c r="U441" s="54"/>
      <c r="W441" s="59"/>
    </row>
    <row r="442" spans="20:23" x14ac:dyDescent="0.2">
      <c r="T442" s="37"/>
      <c r="U442" s="54"/>
      <c r="W442" s="59"/>
    </row>
    <row r="443" spans="20:23" x14ac:dyDescent="0.2">
      <c r="T443" s="37"/>
      <c r="U443" s="54"/>
      <c r="W443" s="59"/>
    </row>
    <row r="444" spans="20:23" x14ac:dyDescent="0.2">
      <c r="T444" s="37"/>
      <c r="U444" s="54"/>
      <c r="W444" s="59"/>
    </row>
    <row r="445" spans="20:23" x14ac:dyDescent="0.2">
      <c r="T445" s="37"/>
      <c r="U445" s="54"/>
      <c r="W445" s="59"/>
    </row>
    <row r="446" spans="20:23" x14ac:dyDescent="0.2">
      <c r="T446" s="37"/>
      <c r="U446" s="54"/>
      <c r="W446" s="59"/>
    </row>
    <row r="447" spans="20:23" x14ac:dyDescent="0.2">
      <c r="T447" s="37"/>
      <c r="U447" s="54"/>
      <c r="W447" s="59"/>
    </row>
    <row r="448" spans="20:23" x14ac:dyDescent="0.2">
      <c r="T448" s="37"/>
      <c r="U448" s="54"/>
      <c r="W448" s="59"/>
    </row>
    <row r="449" spans="20:23" x14ac:dyDescent="0.2">
      <c r="T449" s="37"/>
      <c r="U449" s="54"/>
      <c r="W449" s="59"/>
    </row>
    <row r="450" spans="20:23" x14ac:dyDescent="0.2">
      <c r="T450" s="37"/>
      <c r="U450" s="54"/>
      <c r="W450" s="59"/>
    </row>
    <row r="451" spans="20:23" x14ac:dyDescent="0.2">
      <c r="T451" s="37"/>
      <c r="U451" s="54"/>
      <c r="W451" s="59"/>
    </row>
    <row r="452" spans="20:23" x14ac:dyDescent="0.2">
      <c r="T452" s="37"/>
      <c r="U452" s="54"/>
      <c r="W452" s="59"/>
    </row>
    <row r="453" spans="20:23" x14ac:dyDescent="0.2">
      <c r="T453" s="37"/>
      <c r="U453" s="54"/>
      <c r="W453" s="59"/>
    </row>
    <row r="454" spans="20:23" x14ac:dyDescent="0.2">
      <c r="T454" s="37"/>
      <c r="U454" s="54"/>
      <c r="W454" s="59"/>
    </row>
    <row r="455" spans="20:23" x14ac:dyDescent="0.2">
      <c r="T455" s="37"/>
      <c r="U455" s="54"/>
      <c r="W455" s="59"/>
    </row>
    <row r="456" spans="20:23" x14ac:dyDescent="0.2">
      <c r="U456" s="54"/>
    </row>
    <row r="457" spans="20:23" x14ac:dyDescent="0.2">
      <c r="U457" s="54"/>
    </row>
    <row r="458" spans="20:23" x14ac:dyDescent="0.2">
      <c r="U458" s="54"/>
    </row>
    <row r="459" spans="20:23" x14ac:dyDescent="0.2">
      <c r="U459" s="54"/>
    </row>
    <row r="460" spans="20:23" x14ac:dyDescent="0.2">
      <c r="U460" s="54"/>
    </row>
    <row r="461" spans="20:23" x14ac:dyDescent="0.2">
      <c r="U461" s="54"/>
    </row>
    <row r="462" spans="20:23" x14ac:dyDescent="0.2">
      <c r="U462" s="54"/>
    </row>
    <row r="463" spans="20:23" x14ac:dyDescent="0.2">
      <c r="U463" s="54"/>
    </row>
    <row r="464" spans="20:23" x14ac:dyDescent="0.2">
      <c r="U464" s="54"/>
    </row>
    <row r="465" spans="21:21" x14ac:dyDescent="0.2">
      <c r="U465" s="5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e">
                <anchor moveWithCells="1" sizeWithCells="1">
                  <from>
                    <xdr:col>13</xdr:col>
                    <xdr:colOff>95250</xdr:colOff>
                    <xdr:row>0</xdr:row>
                    <xdr:rowOff>76200</xdr:rowOff>
                  </from>
                  <to>
                    <xdr:col>14</xdr:col>
                    <xdr:colOff>190500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A380"/>
  <sheetViews>
    <sheetView workbookViewId="0">
      <selection activeCell="O33" sqref="O33"/>
    </sheetView>
  </sheetViews>
  <sheetFormatPr defaultRowHeight="12.75" x14ac:dyDescent="0.2"/>
  <cols>
    <col min="1" max="1" width="11.5703125" bestFit="1" customWidth="1"/>
    <col min="2" max="2" width="13.7109375" bestFit="1" customWidth="1"/>
    <col min="3" max="3" width="14.5703125" bestFit="1" customWidth="1"/>
    <col min="8" max="8" width="9.5703125" bestFit="1" customWidth="1"/>
    <col min="9" max="9" width="12.42578125" bestFit="1" customWidth="1"/>
    <col min="10" max="10" width="20.85546875" customWidth="1"/>
    <col min="11" max="12" width="10.28515625" bestFit="1" customWidth="1"/>
    <col min="13" max="13" width="14.5703125" customWidth="1"/>
  </cols>
  <sheetData>
    <row r="1" spans="1:391" x14ac:dyDescent="0.2">
      <c r="A1" t="s">
        <v>34</v>
      </c>
      <c r="B1" t="s">
        <v>35</v>
      </c>
      <c r="C1" t="s">
        <v>36</v>
      </c>
      <c r="D1" t="s">
        <v>37</v>
      </c>
      <c r="E1" s="53" t="s">
        <v>38</v>
      </c>
      <c r="F1" s="53" t="s">
        <v>39</v>
      </c>
      <c r="H1" s="53" t="s">
        <v>40</v>
      </c>
      <c r="J1" s="53" t="s">
        <v>41</v>
      </c>
      <c r="K1" s="53">
        <v>1562.5</v>
      </c>
      <c r="L1" s="53">
        <v>1562.5</v>
      </c>
      <c r="M1" s="53"/>
      <c r="Y1" s="68"/>
      <c r="Z1" s="68"/>
      <c r="AA1" s="68"/>
      <c r="AB1" s="68"/>
      <c r="AC1" s="68"/>
      <c r="AD1" s="68"/>
      <c r="AE1" s="68"/>
      <c r="AG1" s="68"/>
      <c r="AI1" s="68"/>
      <c r="AJ1" s="68"/>
      <c r="AK1" s="68"/>
      <c r="AM1" s="68"/>
      <c r="AN1" s="68"/>
      <c r="AO1" s="68"/>
      <c r="AP1" s="68"/>
      <c r="AU1" s="68"/>
      <c r="AX1" s="68"/>
      <c r="AZ1" s="68"/>
      <c r="BB1" s="68"/>
      <c r="BC1" s="68"/>
      <c r="BD1" s="68"/>
      <c r="BE1" s="68"/>
      <c r="BU1" s="68"/>
      <c r="BW1" s="68"/>
      <c r="BX1" s="68"/>
      <c r="BY1" s="68"/>
      <c r="CC1" s="68"/>
      <c r="CD1" s="68"/>
      <c r="CE1" s="68"/>
      <c r="CH1" s="68"/>
      <c r="CI1" s="68"/>
      <c r="CJ1" s="68"/>
      <c r="CL1" s="68"/>
      <c r="CM1" s="68"/>
      <c r="CR1" s="68"/>
      <c r="CS1" s="68"/>
      <c r="CT1" s="68"/>
      <c r="CU1" s="68"/>
      <c r="CV1" s="68"/>
      <c r="DA1" s="68"/>
      <c r="DB1" s="68"/>
      <c r="DD1" s="68"/>
      <c r="DE1" s="68"/>
      <c r="DG1" s="68"/>
      <c r="DH1" s="68"/>
      <c r="DI1" s="68"/>
      <c r="DL1" s="68"/>
      <c r="DM1" s="68"/>
      <c r="DN1" s="68"/>
      <c r="GF1" s="68"/>
      <c r="GG1" s="68"/>
      <c r="HG1" s="68"/>
      <c r="HH1" s="68"/>
      <c r="HI1" s="68"/>
      <c r="HP1" s="68"/>
      <c r="HQ1" s="68"/>
      <c r="HR1" s="68"/>
      <c r="HS1" s="68"/>
      <c r="IC1" s="68"/>
      <c r="ID1" s="68"/>
      <c r="II1" s="68"/>
      <c r="IJ1" s="68"/>
      <c r="IK1" s="68"/>
      <c r="IM1" s="68"/>
      <c r="IN1" s="68"/>
      <c r="IP1" s="68"/>
      <c r="IQ1" s="68"/>
      <c r="IR1" s="68"/>
      <c r="IX1" s="68"/>
      <c r="IY1" s="68"/>
      <c r="IZ1" s="68"/>
      <c r="JC1" s="68"/>
      <c r="JD1" s="68"/>
      <c r="JE1" s="68"/>
      <c r="JF1" s="68"/>
      <c r="JG1" s="68"/>
      <c r="JI1" s="68"/>
      <c r="JJ1" s="68"/>
      <c r="JK1" s="68"/>
      <c r="JL1" s="68"/>
      <c r="JM1" s="68"/>
      <c r="JN1" s="68"/>
      <c r="JO1" s="68"/>
      <c r="KK1" s="68"/>
      <c r="KL1" s="68"/>
      <c r="KN1" s="68"/>
      <c r="KO1" s="68"/>
      <c r="KQ1" s="68"/>
      <c r="KR1" s="68"/>
      <c r="KS1" s="68"/>
      <c r="KV1" s="68"/>
      <c r="KW1" s="68"/>
      <c r="KY1" s="68"/>
      <c r="KZ1" s="68"/>
      <c r="LA1" s="68"/>
      <c r="LC1" s="68"/>
      <c r="LF1" s="68"/>
      <c r="LI1" s="68"/>
      <c r="LL1" s="68"/>
      <c r="LM1" s="68"/>
    </row>
    <row r="2" spans="1:391" x14ac:dyDescent="0.2">
      <c r="A2">
        <v>-2.2026493009207901</v>
      </c>
      <c r="B2" s="69">
        <v>0.619936731921643</v>
      </c>
      <c r="C2">
        <v>1.0946437542121701</v>
      </c>
      <c r="D2">
        <v>0</v>
      </c>
      <c r="E2">
        <v>0.103003685052507</v>
      </c>
      <c r="F2">
        <v>-1.4275486341676301E-2</v>
      </c>
      <c r="G2">
        <f>SQRT(Calcs!J3)</f>
        <v>0.10471781610741841</v>
      </c>
      <c r="H2" s="84">
        <f>E2-G2</f>
        <v>-1.7141310549114164E-3</v>
      </c>
      <c r="I2" s="71">
        <f>LN(Calcs!L4/Calcs!L3)</f>
        <v>1.6880930453360289E-3</v>
      </c>
      <c r="J2" s="76">
        <f>I2-F2</f>
        <v>1.596357938701233E-2</v>
      </c>
      <c r="K2" s="72">
        <v>1539.93266867941</v>
      </c>
      <c r="L2" s="72">
        <f>EXP(F2)*L1</f>
        <v>1540.3530082394307</v>
      </c>
      <c r="M2" s="75">
        <f>K2-L2</f>
        <v>-0.42033956002069317</v>
      </c>
      <c r="N2">
        <v>8.7448367531393796E-3</v>
      </c>
      <c r="O2">
        <v>-7.3209377175846504E-4</v>
      </c>
      <c r="P2">
        <v>-8.0538646525720597E-3</v>
      </c>
      <c r="Q2">
        <v>-1.1128297689692399E-2</v>
      </c>
      <c r="R2">
        <v>-1.4562573868788901E-2</v>
      </c>
      <c r="S2">
        <v>1.1655565834784399E-3</v>
      </c>
      <c r="T2">
        <v>-9.2146005513178402E-3</v>
      </c>
      <c r="U2">
        <v>9.7337080259572006E-3</v>
      </c>
      <c r="V2">
        <v>-2.7121586704163601E-3</v>
      </c>
      <c r="W2" s="68">
        <v>5.5174141467301098E-3</v>
      </c>
      <c r="X2" s="68">
        <v>-8.7922471678912005E-3</v>
      </c>
      <c r="Y2" s="68">
        <v>-7.7309661007166301E-3</v>
      </c>
      <c r="Z2" s="68">
        <v>1.5481402124789901E-2</v>
      </c>
      <c r="AA2" s="68">
        <v>1.08838771908272E-2</v>
      </c>
      <c r="AB2" s="68">
        <v>3.5817633574542701E-3</v>
      </c>
      <c r="AC2" s="68">
        <v>-1.6042852774736199E-2</v>
      </c>
      <c r="AD2" s="68">
        <v>9.5637866387933406E-3</v>
      </c>
      <c r="AE2" s="68">
        <v>1.1273526346962199E-2</v>
      </c>
      <c r="AF2">
        <v>1.0565102194300101E-3</v>
      </c>
      <c r="AG2" s="68">
        <v>-3.3101580007050303E-5</v>
      </c>
      <c r="AH2" s="68">
        <v>4.1958792555518801E-4</v>
      </c>
      <c r="AI2" s="68">
        <v>5.3450349371563003E-5</v>
      </c>
      <c r="AJ2" s="68">
        <v>5.3450349371563003E-5</v>
      </c>
      <c r="AK2" s="68">
        <v>5.3450349371563003E-5</v>
      </c>
      <c r="AL2" s="68">
        <v>5.3450349371563003E-5</v>
      </c>
      <c r="AM2" s="68">
        <v>5.3450349371563003E-5</v>
      </c>
      <c r="AN2" s="68">
        <v>-6.3989804858677205E-4</v>
      </c>
      <c r="AO2" s="68">
        <v>-7.6718087987511403E-3</v>
      </c>
      <c r="AP2" s="68">
        <v>-8.2434974115353707E-3</v>
      </c>
      <c r="AQ2">
        <v>-1.0033142029469101E-3</v>
      </c>
      <c r="AR2">
        <v>7.04786654443259E-3</v>
      </c>
      <c r="AS2" s="68">
        <v>-1.46985343965681E-3</v>
      </c>
      <c r="AT2">
        <v>-7.9700233917484702E-3</v>
      </c>
      <c r="AU2" s="68">
        <v>-7.9435615636169292E-3</v>
      </c>
      <c r="AV2" s="68">
        <v>-8.8398498439803894E-3</v>
      </c>
      <c r="AW2">
        <v>6.3550153746629798E-3</v>
      </c>
      <c r="AX2" s="68">
        <v>-3.6593960277366199E-3</v>
      </c>
      <c r="AY2">
        <v>-1.35335692530782E-3</v>
      </c>
      <c r="AZ2" s="68">
        <v>7.7540043342613999E-3</v>
      </c>
      <c r="BA2" s="68">
        <v>-1.0127301657490101E-3</v>
      </c>
      <c r="BB2" s="68">
        <v>-6.4815782616914298E-4</v>
      </c>
      <c r="BC2" s="68">
        <v>-2.8741727269612901E-4</v>
      </c>
      <c r="BD2" s="68">
        <v>-1.4876338510737301E-3</v>
      </c>
      <c r="BE2" s="68">
        <v>5.3495552228327104E-3</v>
      </c>
      <c r="BF2">
        <v>-5.6711315237095304E-4</v>
      </c>
      <c r="BG2">
        <v>3.8302497962070001E-3</v>
      </c>
      <c r="BH2" s="68">
        <v>5.9805187547615602E-5</v>
      </c>
      <c r="BI2">
        <v>1.7943016712711501E-3</v>
      </c>
      <c r="BJ2" s="68">
        <v>5.9805187547615602E-5</v>
      </c>
      <c r="BK2" s="68">
        <v>5.9805187547615602E-5</v>
      </c>
      <c r="BL2" s="68">
        <v>5.9805187547615602E-5</v>
      </c>
      <c r="BM2" s="68">
        <v>5.9805187547615602E-5</v>
      </c>
      <c r="BN2" s="68">
        <v>5.9805187547615602E-5</v>
      </c>
      <c r="BO2" s="68">
        <v>5.9805187547615602E-5</v>
      </c>
      <c r="BP2" s="68">
        <v>5.9805187547615602E-5</v>
      </c>
      <c r="BQ2" s="68">
        <v>5.9805187547615602E-5</v>
      </c>
      <c r="BR2">
        <v>-7.6350072148007096E-4</v>
      </c>
      <c r="BS2" s="68">
        <v>-4.3465133992089599E-4</v>
      </c>
      <c r="BT2" s="68">
        <v>5.9805187547615602E-5</v>
      </c>
      <c r="BU2" s="68">
        <v>-6.72297575403397E-4</v>
      </c>
      <c r="BV2" s="68">
        <v>-3.83776897752186E-3</v>
      </c>
      <c r="BW2" s="68">
        <v>4.8329651655705701E-3</v>
      </c>
      <c r="BX2" s="68">
        <v>-1.8894001745707099E-3</v>
      </c>
      <c r="BY2" s="68">
        <v>1.2529477570647299E-2</v>
      </c>
      <c r="BZ2">
        <v>-4.2950239556692801E-3</v>
      </c>
      <c r="CA2" s="68">
        <v>1.02362329891061E-3</v>
      </c>
      <c r="CB2" s="68">
        <v>7.7737965775115502E-3</v>
      </c>
      <c r="CC2" s="68">
        <v>6.92859712936463E-3</v>
      </c>
      <c r="CD2" s="68">
        <v>2.73383744736436E-5</v>
      </c>
      <c r="CE2" s="68">
        <v>2.73383744736436E-5</v>
      </c>
      <c r="CF2" s="68">
        <v>2.73383744736436E-5</v>
      </c>
      <c r="CG2" s="68">
        <v>-3.7620865770694799E-4</v>
      </c>
      <c r="CH2" s="68">
        <v>-9.6529563063429795E-4</v>
      </c>
      <c r="CI2" s="68">
        <v>-1.62702011281603E-3</v>
      </c>
      <c r="CJ2" s="68">
        <v>4.268184439167E-3</v>
      </c>
      <c r="CK2" s="68">
        <v>2.73383744736436E-5</v>
      </c>
      <c r="CL2" s="68">
        <v>-5.3463849741773996E-4</v>
      </c>
      <c r="CM2" s="68">
        <v>4.8191204168239899E-4</v>
      </c>
      <c r="CN2" s="68">
        <v>2.73383744736436E-5</v>
      </c>
      <c r="CO2" s="68">
        <v>2.73383744736436E-5</v>
      </c>
      <c r="CP2" s="68">
        <v>2.73383744736436E-5</v>
      </c>
      <c r="CQ2" s="68">
        <v>2.73383744736436E-5</v>
      </c>
      <c r="CR2" s="68">
        <v>2.73383744736436E-5</v>
      </c>
      <c r="CS2" s="68">
        <v>5.4876100276827201E-5</v>
      </c>
      <c r="CT2" s="68">
        <v>5.4876100276827201E-5</v>
      </c>
      <c r="CU2" s="68">
        <v>5.4876100276827201E-5</v>
      </c>
      <c r="CV2" s="68">
        <v>-5.9534441835687102E-3</v>
      </c>
      <c r="CW2">
        <v>-2.1785663915082402E-3</v>
      </c>
      <c r="CX2">
        <v>-2.6390796243845399E-4</v>
      </c>
      <c r="CY2" s="68">
        <v>9.9830406139676808E-4</v>
      </c>
      <c r="CZ2" s="68">
        <v>5.0658838390477603E-3</v>
      </c>
      <c r="DA2" s="68">
        <v>-7.4783007851291798E-3</v>
      </c>
      <c r="DB2" s="68">
        <v>1.06457733159017E-2</v>
      </c>
      <c r="DC2" s="68">
        <v>2.8348220830570199E-3</v>
      </c>
      <c r="DD2" s="68">
        <v>1.4278421569281099E-4</v>
      </c>
      <c r="DE2" s="68">
        <v>5.4876100276827201E-5</v>
      </c>
      <c r="DF2" s="68">
        <v>5.4876100276827201E-5</v>
      </c>
      <c r="DG2" s="68">
        <v>5.4876100276827201E-5</v>
      </c>
      <c r="DH2" s="68">
        <v>3.4748895303875701E-5</v>
      </c>
      <c r="DI2" s="68">
        <v>1.7535235055732401E-4</v>
      </c>
      <c r="DJ2" s="68">
        <v>6.95469791268618E-4</v>
      </c>
      <c r="DK2" s="68">
        <v>5.4876100276827201E-5</v>
      </c>
      <c r="DL2" s="68">
        <v>5.4876100276827201E-5</v>
      </c>
      <c r="DM2" s="68">
        <v>5.4876100276827201E-5</v>
      </c>
      <c r="DN2" s="68">
        <v>-1.7678274481331999E-4</v>
      </c>
      <c r="DO2">
        <v>2.1188985556756099E-4</v>
      </c>
      <c r="DP2">
        <v>-1.4361144274520701E-3</v>
      </c>
      <c r="DQ2">
        <v>-2.96423361618069E-3</v>
      </c>
      <c r="DR2">
        <v>2.9267713891366199E-3</v>
      </c>
      <c r="DS2">
        <v>-1.8841848645518001E-3</v>
      </c>
      <c r="DT2">
        <v>-3.29136285590656E-3</v>
      </c>
      <c r="DU2">
        <v>3.4602587364699301E-3</v>
      </c>
      <c r="DV2">
        <v>2.7130873415351299E-3</v>
      </c>
      <c r="DW2" s="68">
        <v>4.3725105950811999E-5</v>
      </c>
      <c r="DX2">
        <v>1.03916395232722E-3</v>
      </c>
      <c r="DY2" s="68">
        <v>4.3725105950811999E-5</v>
      </c>
      <c r="DZ2" s="68">
        <v>4.3725105950811999E-5</v>
      </c>
      <c r="EA2" s="68">
        <v>4.3725105950811999E-5</v>
      </c>
      <c r="EB2">
        <v>1.2065846716692299E-3</v>
      </c>
      <c r="EC2" s="68">
        <v>4.3725105950811999E-5</v>
      </c>
      <c r="ED2" s="68">
        <v>4.3725105950811999E-5</v>
      </c>
      <c r="EE2">
        <v>-1.2676630067548001E-3</v>
      </c>
      <c r="EF2">
        <v>-7.7627984378544402E-4</v>
      </c>
      <c r="EG2">
        <v>4.57493873132854E-4</v>
      </c>
      <c r="EH2">
        <v>6.6324264894764102E-3</v>
      </c>
      <c r="EI2">
        <v>-1.0195451498220399E-3</v>
      </c>
      <c r="EJ2">
        <v>4.3740537282764802E-4</v>
      </c>
      <c r="EK2" s="68">
        <v>4.3725105950811999E-5</v>
      </c>
      <c r="EL2" s="68">
        <v>4.3725105950811999E-5</v>
      </c>
      <c r="EM2" s="68">
        <v>4.3725105950811999E-5</v>
      </c>
      <c r="EN2" s="68">
        <v>4.3725105950811999E-5</v>
      </c>
      <c r="EO2">
        <v>5.2376225087426599E-3</v>
      </c>
      <c r="EP2">
        <v>4.5209594387531603E-3</v>
      </c>
      <c r="EQ2" s="68">
        <v>4.3725105950811999E-5</v>
      </c>
      <c r="ER2" s="68">
        <v>4.3725105950811999E-5</v>
      </c>
      <c r="ES2" s="68">
        <v>4.3725105950811999E-5</v>
      </c>
      <c r="ET2" s="68">
        <v>4.3725105950811999E-5</v>
      </c>
      <c r="EU2" s="68">
        <v>4.3725105950811999E-5</v>
      </c>
      <c r="EV2">
        <v>8.8350287651973601E-4</v>
      </c>
      <c r="EW2">
        <v>-1.02325910153241E-3</v>
      </c>
      <c r="EX2">
        <v>-5.3540073353615901E-3</v>
      </c>
      <c r="EY2">
        <v>-1.9606274668253999E-3</v>
      </c>
      <c r="EZ2">
        <v>-4.5353208139479601E-3</v>
      </c>
      <c r="FA2">
        <v>-4.1814373120067898E-3</v>
      </c>
      <c r="FB2">
        <v>1.6784959636771499E-2</v>
      </c>
      <c r="FC2">
        <v>-5.0867420630721196E-3</v>
      </c>
      <c r="FD2">
        <v>-5.1136905043968599E-3</v>
      </c>
      <c r="FE2">
        <v>1.2158483736844001E-3</v>
      </c>
      <c r="FF2">
        <v>3.2682707232123799E-4</v>
      </c>
      <c r="FG2">
        <v>1.12782682714262E-3</v>
      </c>
      <c r="FH2">
        <v>-1.1123764231362699E-3</v>
      </c>
      <c r="FI2">
        <v>-4.07018593288713E-3</v>
      </c>
      <c r="FJ2">
        <v>3.36747625083944E-4</v>
      </c>
      <c r="FK2">
        <v>3.7120001726040101E-3</v>
      </c>
      <c r="FL2" s="68">
        <v>4.3725105950811999E-5</v>
      </c>
      <c r="FM2">
        <v>1.04773386305025E-4</v>
      </c>
      <c r="FN2" s="68">
        <v>4.3725105950811999E-5</v>
      </c>
      <c r="FO2" s="68">
        <v>4.3725105950811999E-5</v>
      </c>
      <c r="FP2">
        <v>1.4011502137307201E-3</v>
      </c>
      <c r="FQ2" s="68">
        <v>4.3725105950811999E-5</v>
      </c>
      <c r="FR2">
        <v>8.4594407628738803E-4</v>
      </c>
      <c r="FS2">
        <v>-2.6900982662722002E-3</v>
      </c>
      <c r="FT2">
        <v>3.8907260430250802E-3</v>
      </c>
      <c r="FU2">
        <v>5.5249522318652597E-4</v>
      </c>
      <c r="FV2">
        <v>2.3182795071671602E-3</v>
      </c>
      <c r="FW2">
        <v>8.9297591236086802E-4</v>
      </c>
      <c r="FX2" s="68">
        <v>4.3725105950811999E-5</v>
      </c>
      <c r="FY2">
        <v>2.2919775618027599E-3</v>
      </c>
      <c r="FZ2" s="68">
        <v>4.3725105950811999E-5</v>
      </c>
      <c r="GA2">
        <v>-3.2811260233358299E-3</v>
      </c>
      <c r="GB2">
        <v>-1.07883796289742E-2</v>
      </c>
      <c r="GC2">
        <v>1.09550800807814E-2</v>
      </c>
      <c r="GD2" s="68">
        <v>3.5862631896530399E-3</v>
      </c>
      <c r="GE2" s="68">
        <v>-2.82178390958219E-3</v>
      </c>
      <c r="GF2" s="68">
        <v>7.5838486022598503E-4</v>
      </c>
      <c r="GG2" s="68">
        <v>-2.50456790235871E-3</v>
      </c>
      <c r="GH2">
        <v>-6.3522706893284703E-3</v>
      </c>
      <c r="GI2">
        <v>1.4943749710320099E-3</v>
      </c>
      <c r="GJ2">
        <v>-6.8328593026643E-3</v>
      </c>
      <c r="GK2">
        <v>-3.1381447785694102E-3</v>
      </c>
      <c r="GL2">
        <v>2.6857668098146498E-3</v>
      </c>
      <c r="GM2">
        <v>-4.01575035039267E-3</v>
      </c>
      <c r="GN2">
        <v>1.0190158145047901E-3</v>
      </c>
      <c r="GO2">
        <v>-5.8018825803354901E-3</v>
      </c>
      <c r="GP2">
        <v>-2.13811906246215E-3</v>
      </c>
      <c r="GQ2">
        <v>7.1995648178097499E-3</v>
      </c>
      <c r="GR2">
        <v>7.1378714602237498E-4</v>
      </c>
      <c r="GS2">
        <v>-4.7143232741238801E-3</v>
      </c>
      <c r="GT2">
        <v>-6.01494130560256E-3</v>
      </c>
      <c r="GU2">
        <v>-4.2000340494791396E-3</v>
      </c>
      <c r="GV2">
        <v>1.0439842571717E-2</v>
      </c>
      <c r="GW2">
        <v>1.84416495473584E-3</v>
      </c>
      <c r="GX2">
        <v>5.7512274620320205E-4</v>
      </c>
      <c r="GY2">
        <v>6.6778815199999603E-4</v>
      </c>
      <c r="GZ2" s="68">
        <v>6.2597647892768702E-5</v>
      </c>
      <c r="HA2" s="68">
        <v>6.2597647892768702E-5</v>
      </c>
      <c r="HB2">
        <v>-2.54381637788361E-4</v>
      </c>
      <c r="HC2">
        <v>-2.9012602256531602E-4</v>
      </c>
      <c r="HD2">
        <v>-1.5681275542151899E-3</v>
      </c>
      <c r="HE2" s="68">
        <v>6.2597647892768702E-5</v>
      </c>
      <c r="HF2" s="68">
        <v>-1.4516070407646501E-3</v>
      </c>
      <c r="HG2" s="68">
        <v>6.2597647892768702E-5</v>
      </c>
      <c r="HH2" s="68">
        <v>6.2597647892768702E-5</v>
      </c>
      <c r="HI2" s="68">
        <v>-6.8864303012821902E-5</v>
      </c>
      <c r="HJ2">
        <v>-1.3824447839737999E-4</v>
      </c>
      <c r="HK2" s="68">
        <v>6.2597647892768702E-5</v>
      </c>
      <c r="HL2" s="68">
        <v>6.2597647892768702E-5</v>
      </c>
      <c r="HM2" s="68">
        <v>6.2597647892768702E-5</v>
      </c>
      <c r="HN2" s="68">
        <v>6.2597647892768702E-5</v>
      </c>
      <c r="HO2" s="68">
        <v>6.3147164389991295E-5</v>
      </c>
      <c r="HP2" s="68">
        <v>6.2597647892768702E-5</v>
      </c>
      <c r="HQ2" s="68">
        <v>8.2426455197111596E-4</v>
      </c>
      <c r="HR2" s="68">
        <v>6.2597647892768702E-5</v>
      </c>
      <c r="HS2" s="68">
        <v>6.2597647892768702E-5</v>
      </c>
      <c r="HT2">
        <v>2.7492576115827399E-3</v>
      </c>
      <c r="HU2">
        <v>-6.21328070658295E-3</v>
      </c>
      <c r="HV2">
        <v>1.1301376155983E-3</v>
      </c>
      <c r="HW2">
        <v>-2.56796515464624E-3</v>
      </c>
      <c r="HX2">
        <v>-6.1104563684490198E-3</v>
      </c>
      <c r="HY2">
        <v>1.6742985671356202E-2</v>
      </c>
      <c r="HZ2">
        <v>3.4369944295595399E-3</v>
      </c>
      <c r="IA2" s="68">
        <v>1.0075197115285201E-2</v>
      </c>
      <c r="IB2" s="68">
        <v>-4.3005167975557299E-4</v>
      </c>
      <c r="IC2" s="68">
        <v>-3.2284455149884901E-3</v>
      </c>
      <c r="ID2" s="68">
        <v>-3.3991178816571601E-3</v>
      </c>
      <c r="IE2">
        <v>1.6455954866495201E-3</v>
      </c>
      <c r="IF2">
        <v>-1.10570381794351E-3</v>
      </c>
      <c r="IG2" s="68">
        <v>5.6269764565717402E-3</v>
      </c>
      <c r="IH2" s="68">
        <v>6.2597647892768702E-5</v>
      </c>
      <c r="II2" s="68">
        <v>-1.2192775630123599E-4</v>
      </c>
      <c r="IJ2" s="68">
        <v>6.2597647892768702E-5</v>
      </c>
      <c r="IK2" s="68">
        <v>3.7258281582696401E-3</v>
      </c>
      <c r="IL2" s="68">
        <v>9.7354689558202504E-4</v>
      </c>
      <c r="IM2" s="68">
        <v>-5.8950157676357397E-3</v>
      </c>
      <c r="IN2" s="68">
        <v>2.8514464661329002E-3</v>
      </c>
      <c r="IO2" s="68">
        <v>-7.3477391975164596E-3</v>
      </c>
      <c r="IP2" s="68">
        <v>-8.6951557883031706E-3</v>
      </c>
      <c r="IQ2" s="68">
        <v>-3.51436396955125E-3</v>
      </c>
      <c r="IR2" s="68">
        <v>1.7004059769972799E-2</v>
      </c>
      <c r="IS2">
        <v>-3.5007592952993201E-3</v>
      </c>
      <c r="IT2">
        <v>1.14783058264336E-2</v>
      </c>
      <c r="IU2">
        <v>4.1386144398171902E-4</v>
      </c>
      <c r="IV2" s="68">
        <v>8.6101076695549901E-3</v>
      </c>
      <c r="IW2" s="68">
        <v>-1.74341661566102E-3</v>
      </c>
      <c r="IX2" s="68">
        <v>5.8881463396270298E-4</v>
      </c>
      <c r="IY2" s="68">
        <v>4.7157683734896597E-3</v>
      </c>
      <c r="IZ2" s="68">
        <v>-4.7378601434236002E-3</v>
      </c>
      <c r="JA2" s="68">
        <v>-6.1246969978833296E-3</v>
      </c>
      <c r="JB2" s="68">
        <v>-2.57374654508456E-3</v>
      </c>
      <c r="JC2" s="68">
        <v>-2.0573620394721001E-3</v>
      </c>
      <c r="JD2" s="68">
        <v>-6.0311789548299797E-3</v>
      </c>
      <c r="JE2" s="68">
        <v>1.05437821637939E-2</v>
      </c>
      <c r="JF2" s="68">
        <v>-7.0540893944168398E-4</v>
      </c>
      <c r="JG2" s="68">
        <v>3.36924138495073E-3</v>
      </c>
      <c r="JH2" s="68">
        <v>1.9857578938766801E-2</v>
      </c>
      <c r="JI2" s="68">
        <v>-1.4015700692036801E-3</v>
      </c>
      <c r="JJ2" s="68">
        <v>-4.94639482582251E-3</v>
      </c>
      <c r="JK2" s="68">
        <v>-4.4416016581360299E-3</v>
      </c>
      <c r="JL2" s="68">
        <v>-4.4314320768239499E-3</v>
      </c>
      <c r="JM2" s="68">
        <v>-1.93311201191014E-3</v>
      </c>
      <c r="JN2" s="68">
        <v>8.1205645936676292E-3</v>
      </c>
      <c r="JO2" s="68">
        <v>1.63754026182008E-3</v>
      </c>
      <c r="JP2">
        <v>-1.53472607905428E-3</v>
      </c>
      <c r="JQ2">
        <v>-1.20331987543965E-3</v>
      </c>
      <c r="JR2">
        <v>9.7412856955059104E-4</v>
      </c>
      <c r="JS2">
        <v>9.0713335034999702E-4</v>
      </c>
      <c r="JT2">
        <v>-1.52164150786545E-4</v>
      </c>
      <c r="JU2" s="68">
        <v>6.2597647892768702E-5</v>
      </c>
      <c r="JV2">
        <v>5.9812865489835198E-4</v>
      </c>
      <c r="JW2">
        <v>-1.36979240120622E-3</v>
      </c>
      <c r="JX2">
        <v>-2.6674575549493699E-4</v>
      </c>
      <c r="JY2">
        <v>9.4311397878392195E-4</v>
      </c>
      <c r="JZ2" s="68">
        <v>6.2597647892768702E-5</v>
      </c>
      <c r="KA2" s="68">
        <v>6.2597647892768702E-5</v>
      </c>
      <c r="KB2">
        <v>4.51315158402123E-4</v>
      </c>
      <c r="KC2" s="68">
        <v>9.0220110896822202E-5</v>
      </c>
      <c r="KD2" s="68">
        <v>6.2597647892768702E-5</v>
      </c>
      <c r="KE2">
        <v>3.44963219591626E-3</v>
      </c>
      <c r="KF2">
        <v>-1.1248171221277599E-3</v>
      </c>
      <c r="KG2">
        <v>5.4326160298717599E-4</v>
      </c>
      <c r="KH2" s="68">
        <v>6.2597647892768702E-5</v>
      </c>
      <c r="KI2" s="68">
        <v>6.2597647892768702E-5</v>
      </c>
      <c r="KJ2" s="68">
        <v>5.8931649082079101E-4</v>
      </c>
      <c r="KK2" s="68">
        <v>6.2597647892768702E-5</v>
      </c>
      <c r="KL2" s="68">
        <v>7.8957870625648297E-4</v>
      </c>
      <c r="KM2" s="68">
        <v>6.2597647892768702E-5</v>
      </c>
      <c r="KN2" s="68">
        <v>6.2597647892768702E-5</v>
      </c>
      <c r="KO2" s="68">
        <v>6.2597647892768702E-5</v>
      </c>
      <c r="KP2" s="68">
        <v>6.2597647892768702E-5</v>
      </c>
      <c r="KQ2" s="68">
        <v>6.2597647892768702E-5</v>
      </c>
      <c r="KR2" s="68">
        <v>6.2597647892768702E-5</v>
      </c>
      <c r="KS2" s="68">
        <v>6.2597647892768702E-5</v>
      </c>
      <c r="KT2" s="68">
        <v>-6.52679467026407E-4</v>
      </c>
      <c r="KU2" s="68">
        <v>1.1897675366957601E-3</v>
      </c>
      <c r="KV2" s="68">
        <v>-7.4040384010438801E-4</v>
      </c>
      <c r="KW2" s="68">
        <v>6.2597647892768702E-5</v>
      </c>
      <c r="KX2" s="68">
        <v>-1.78449257101423E-3</v>
      </c>
      <c r="KY2" s="68">
        <v>-1.2455990630500201E-3</v>
      </c>
      <c r="KZ2" s="68">
        <v>-2.6115237171777999E-3</v>
      </c>
      <c r="LA2" s="68">
        <v>-5.21137843721257E-3</v>
      </c>
      <c r="LB2">
        <v>-7.2103731582983596E-3</v>
      </c>
      <c r="LC2" s="68">
        <v>-4.4020489882285897E-3</v>
      </c>
      <c r="LD2" s="68">
        <v>3.6456858073664299E-3</v>
      </c>
      <c r="LE2">
        <v>5.0989605565155E-3</v>
      </c>
      <c r="LF2" s="68">
        <v>-2.4537795509439798E-3</v>
      </c>
      <c r="LG2" s="68">
        <v>1.7900150793250099E-4</v>
      </c>
      <c r="LH2">
        <v>6.4919711500071899E-3</v>
      </c>
      <c r="LI2" s="68">
        <v>2.2238446826766499E-4</v>
      </c>
      <c r="LJ2" s="68">
        <v>6.2597647892768702E-5</v>
      </c>
      <c r="LK2" s="68">
        <v>-1.5231625759315999E-3</v>
      </c>
      <c r="LL2" s="68">
        <v>1.0722638580550701E-3</v>
      </c>
      <c r="LM2" s="68">
        <v>-2.82690588340872E-4</v>
      </c>
      <c r="LN2">
        <v>1.75351196342656E-3</v>
      </c>
      <c r="LO2" s="68">
        <v>6.2597647892768702E-5</v>
      </c>
      <c r="LP2" s="68">
        <v>6.2597647892768702E-5</v>
      </c>
    </row>
    <row r="3" spans="1:391" x14ac:dyDescent="0.2">
      <c r="A3">
        <v>-8.1980506338513406E-2</v>
      </c>
      <c r="B3" s="70">
        <v>-0.51921491342755599</v>
      </c>
      <c r="C3">
        <v>-1.2269169321703399</v>
      </c>
      <c r="D3">
        <v>0</v>
      </c>
      <c r="E3">
        <v>0.11673820116287401</v>
      </c>
      <c r="F3">
        <v>-5.9218476979600596E-4</v>
      </c>
      <c r="G3">
        <f>SQRT(Calcs!J4)</f>
        <v>0.12146209205513843</v>
      </c>
      <c r="H3" s="84">
        <f t="shared" ref="H3:H66" si="0">E3-G3</f>
        <v>-4.7238908922644235E-3</v>
      </c>
      <c r="I3" s="71">
        <f>LN(Calcs!L5/Calcs!L4)</f>
        <v>1.1686436596265969E-3</v>
      </c>
      <c r="J3" s="76">
        <f t="shared" ref="J3:J66" si="1">I3-F3</f>
        <v>1.7608284294226028E-3</v>
      </c>
      <c r="K3" s="72">
        <v>1538.6739157548</v>
      </c>
      <c r="L3" s="72">
        <f>EXP(F3)*L2</f>
        <v>1539.4411046821899</v>
      </c>
      <c r="M3" s="75">
        <f t="shared" ref="M3:M66" si="2">K3-L3</f>
        <v>-0.76718892738995237</v>
      </c>
      <c r="N3">
        <v>0.109753849190006</v>
      </c>
      <c r="O3">
        <v>8.4137167621339298E-2</v>
      </c>
      <c r="P3">
        <v>9.35385224628449E-2</v>
      </c>
      <c r="Q3">
        <v>0.126572961380161</v>
      </c>
      <c r="R3">
        <v>0.15977118208883601</v>
      </c>
      <c r="S3">
        <v>0.198188460804993</v>
      </c>
      <c r="T3">
        <v>0.20271852795093301</v>
      </c>
      <c r="U3">
        <v>0.179397639112097</v>
      </c>
      <c r="V3">
        <v>0.189285582084226</v>
      </c>
      <c r="W3">
        <v>0.20219124778829101</v>
      </c>
      <c r="X3">
        <v>0.171237241727725</v>
      </c>
      <c r="Y3">
        <v>0.19194709207961799</v>
      </c>
      <c r="Z3">
        <v>0.182092051652371</v>
      </c>
      <c r="AA3">
        <v>0.16872654368920101</v>
      </c>
      <c r="AB3">
        <v>0.14110471751850101</v>
      </c>
      <c r="AC3">
        <v>0.11870558676859</v>
      </c>
      <c r="AD3">
        <v>0.152613279632521</v>
      </c>
      <c r="AE3">
        <v>9.8064474825304004E-2</v>
      </c>
      <c r="AF3">
        <v>3.56258369520027E-2</v>
      </c>
      <c r="AG3">
        <v>0</v>
      </c>
      <c r="AH3">
        <v>1.6460706333839101E-2</v>
      </c>
      <c r="AI3">
        <v>0</v>
      </c>
      <c r="AJ3">
        <v>0</v>
      </c>
      <c r="AK3">
        <v>0</v>
      </c>
      <c r="AL3">
        <v>0</v>
      </c>
      <c r="AM3">
        <v>0</v>
      </c>
      <c r="AN3">
        <v>4.6655038321956797E-2</v>
      </c>
      <c r="AO3">
        <v>6.3266314151354697E-2</v>
      </c>
      <c r="AP3">
        <v>8.7131874857163394E-2</v>
      </c>
      <c r="AQ3">
        <v>0.110382255521941</v>
      </c>
      <c r="AR3">
        <v>0.11544213846726301</v>
      </c>
      <c r="AS3">
        <v>0.110600569471133</v>
      </c>
      <c r="AT3">
        <v>8.7588862291387598E-2</v>
      </c>
      <c r="AU3">
        <v>9.4451820633404099E-2</v>
      </c>
      <c r="AV3">
        <v>0.100859633894104</v>
      </c>
      <c r="AW3">
        <v>0.101902552244111</v>
      </c>
      <c r="AX3">
        <v>5.41087112668149E-2</v>
      </c>
      <c r="AY3">
        <v>2.4153433744292001E-2</v>
      </c>
      <c r="AZ3">
        <v>5.12376444882396E-2</v>
      </c>
      <c r="BA3">
        <v>3.9661430565129198E-2</v>
      </c>
      <c r="BB3">
        <v>2.1842388392275699E-2</v>
      </c>
      <c r="BC3">
        <v>5.1967829139853896E-3</v>
      </c>
      <c r="BD3">
        <v>2.3308233104646501E-2</v>
      </c>
      <c r="BE3">
        <v>7.3858529176301202E-2</v>
      </c>
      <c r="BF3">
        <v>4.1111470229249901E-2</v>
      </c>
      <c r="BG3">
        <v>3.8924319366369399E-2</v>
      </c>
      <c r="BH3">
        <v>0</v>
      </c>
      <c r="BI3">
        <v>5.1228219811456303E-2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1.2913820401865299E-2</v>
      </c>
      <c r="BS3">
        <v>1.6930954514419901E-2</v>
      </c>
      <c r="BT3">
        <v>0</v>
      </c>
      <c r="BU3">
        <v>5.8572991589521603E-2</v>
      </c>
      <c r="BV3">
        <v>4.6558776884076197E-2</v>
      </c>
      <c r="BW3">
        <v>7.8338425802457007E-2</v>
      </c>
      <c r="BX3">
        <v>9.7217356025804405E-2</v>
      </c>
      <c r="BY3">
        <v>0.11173326052606</v>
      </c>
      <c r="BZ3">
        <v>8.1927700106675799E-2</v>
      </c>
      <c r="CA3">
        <v>8.6985661008213602E-2</v>
      </c>
      <c r="CB3">
        <v>8.8886434385669802E-2</v>
      </c>
      <c r="CC3">
        <v>4.94103389053532E-2</v>
      </c>
      <c r="CD3">
        <v>0</v>
      </c>
      <c r="CE3">
        <v>0</v>
      </c>
      <c r="CF3">
        <v>0</v>
      </c>
      <c r="CG3">
        <v>1.6480626390850801E-2</v>
      </c>
      <c r="CH3">
        <v>2.5226269731841999E-2</v>
      </c>
      <c r="CI3">
        <v>4.3125115869443099E-2</v>
      </c>
      <c r="CJ3">
        <v>6.3154880461682397E-2</v>
      </c>
      <c r="CK3">
        <v>0</v>
      </c>
      <c r="CL3">
        <v>1.08573534578444E-2</v>
      </c>
      <c r="CM3">
        <v>7.6905911471630102E-3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3.9411204974484401E-2</v>
      </c>
      <c r="CW3">
        <v>6.2314495827434299E-2</v>
      </c>
      <c r="CX3">
        <v>7.7691653372158304E-2</v>
      </c>
      <c r="CY3">
        <v>7.2742825861484298E-2</v>
      </c>
      <c r="CZ3">
        <v>9.0815631710279301E-2</v>
      </c>
      <c r="DA3">
        <v>8.13538274092616E-2</v>
      </c>
      <c r="DB3">
        <v>9.3715348508735599E-2</v>
      </c>
      <c r="DC3">
        <v>7.0537542447394699E-2</v>
      </c>
      <c r="DD3">
        <v>1.2765683980526099E-2</v>
      </c>
      <c r="DE3">
        <v>0</v>
      </c>
      <c r="DF3">
        <v>0</v>
      </c>
      <c r="DG3">
        <v>0</v>
      </c>
      <c r="DH3">
        <v>2.4223723588655498E-2</v>
      </c>
      <c r="DI3">
        <v>3.5097849515957798E-2</v>
      </c>
      <c r="DJ3">
        <v>1.1645941476073901E-2</v>
      </c>
      <c r="DK3">
        <v>0</v>
      </c>
      <c r="DL3">
        <v>0</v>
      </c>
      <c r="DM3">
        <v>0</v>
      </c>
      <c r="DN3">
        <v>3.0807372783703199E-3</v>
      </c>
      <c r="DO3">
        <v>1.4536246235672399E-2</v>
      </c>
      <c r="DP3">
        <v>2.6143782463783401E-2</v>
      </c>
      <c r="DQ3">
        <v>2.95514419878578E-2</v>
      </c>
      <c r="DR3">
        <v>6.1749514229612598E-2</v>
      </c>
      <c r="DS3">
        <v>8.5206949891957401E-2</v>
      </c>
      <c r="DT3">
        <v>7.8936585996626105E-2</v>
      </c>
      <c r="DU3">
        <v>6.8255191946897303E-2</v>
      </c>
      <c r="DV3">
        <v>5.0997451857661302E-2</v>
      </c>
      <c r="DW3">
        <v>0</v>
      </c>
      <c r="DX3">
        <v>1.6695018855321899E-2</v>
      </c>
      <c r="DY3">
        <v>0</v>
      </c>
      <c r="DZ3">
        <v>0</v>
      </c>
      <c r="EA3">
        <v>0</v>
      </c>
      <c r="EB3">
        <v>2.42878554913111E-2</v>
      </c>
      <c r="EC3">
        <v>0</v>
      </c>
      <c r="ED3">
        <v>0</v>
      </c>
      <c r="EE3">
        <v>2.9618968839458599E-2</v>
      </c>
      <c r="EF3">
        <v>2.48733590115865E-2</v>
      </c>
      <c r="EG3">
        <v>5.7737551454868996E-3</v>
      </c>
      <c r="EH3">
        <v>7.3326276198062298E-2</v>
      </c>
      <c r="EI3">
        <v>2.5443203829395199E-2</v>
      </c>
      <c r="EJ3">
        <v>2.24619218123954E-2</v>
      </c>
      <c r="EK3">
        <v>0</v>
      </c>
      <c r="EL3">
        <v>0</v>
      </c>
      <c r="EM3">
        <v>0</v>
      </c>
      <c r="EN3">
        <v>0</v>
      </c>
      <c r="EO3">
        <v>6.9718675790475207E-2</v>
      </c>
      <c r="EP3">
        <v>4.7352732041465798E-2</v>
      </c>
      <c r="EQ3">
        <v>0</v>
      </c>
      <c r="ER3">
        <v>0</v>
      </c>
      <c r="ES3">
        <v>0</v>
      </c>
      <c r="ET3">
        <v>0</v>
      </c>
      <c r="EU3">
        <v>0</v>
      </c>
      <c r="EV3">
        <v>5.5438101517256998E-2</v>
      </c>
      <c r="EW3">
        <v>4.9881323562159199E-2</v>
      </c>
      <c r="EX3">
        <v>5.2850008129180101E-2</v>
      </c>
      <c r="EY3">
        <v>9.0175521604589498E-2</v>
      </c>
      <c r="EZ3">
        <v>9.5278644700080004E-2</v>
      </c>
      <c r="FA3">
        <v>9.5859343064330693E-2</v>
      </c>
      <c r="FB3">
        <v>0.12681984605414801</v>
      </c>
      <c r="FC3">
        <v>8.5041327936795905E-2</v>
      </c>
      <c r="FD3">
        <v>7.5631064842844806E-2</v>
      </c>
      <c r="FE3">
        <v>9.5504028137319105E-2</v>
      </c>
      <c r="FF3">
        <v>9.24496492761675E-2</v>
      </c>
      <c r="FG3">
        <v>9.08905707596699E-2</v>
      </c>
      <c r="FH3">
        <v>6.6213913295201807E-2</v>
      </c>
      <c r="FI3">
        <v>5.4500941542484201E-2</v>
      </c>
      <c r="FJ3">
        <v>3.6450524107393002E-2</v>
      </c>
      <c r="FK3">
        <v>2.9412590273933399E-2</v>
      </c>
      <c r="FL3">
        <v>0</v>
      </c>
      <c r="FM3">
        <v>6.7351261937510596E-3</v>
      </c>
      <c r="FN3">
        <v>0</v>
      </c>
      <c r="FO3">
        <v>0</v>
      </c>
      <c r="FP3">
        <v>1.49228308157711E-2</v>
      </c>
      <c r="FQ3">
        <v>0</v>
      </c>
      <c r="FR3">
        <v>2.6422788196115401E-2</v>
      </c>
      <c r="FS3">
        <v>2.0713968206556601E-2</v>
      </c>
      <c r="FT3">
        <v>6.0319314884150703E-2</v>
      </c>
      <c r="FU3">
        <v>3.9376142541804597E-2</v>
      </c>
      <c r="FV3">
        <v>3.6459375202360603E-2</v>
      </c>
      <c r="FW3">
        <v>1.9373786155823799E-2</v>
      </c>
      <c r="FX3">
        <v>0</v>
      </c>
      <c r="FY3">
        <v>4.4791094999396902E-2</v>
      </c>
      <c r="FZ3">
        <v>0</v>
      </c>
      <c r="GA3">
        <v>5.8591841039570901E-2</v>
      </c>
      <c r="GB3">
        <v>8.0622284488920698E-2</v>
      </c>
      <c r="GC3">
        <v>0.12030542967464999</v>
      </c>
      <c r="GD3">
        <v>8.3103237940440694E-2</v>
      </c>
      <c r="GE3">
        <v>7.1836427221717805E-2</v>
      </c>
      <c r="GF3">
        <v>5.9732379852549998E-2</v>
      </c>
      <c r="GG3">
        <v>4.9773835977930399E-2</v>
      </c>
      <c r="GH3">
        <v>8.4827968938276099E-2</v>
      </c>
      <c r="GI3">
        <v>0.117012452719398</v>
      </c>
      <c r="GJ3">
        <v>0.134585710063543</v>
      </c>
      <c r="GK3">
        <v>0.150377970749973</v>
      </c>
      <c r="GL3">
        <v>0.13818235188956299</v>
      </c>
      <c r="GM3">
        <v>0.156811224758268</v>
      </c>
      <c r="GN3">
        <v>0.15016088226263799</v>
      </c>
      <c r="GO3">
        <v>0.11267769324930201</v>
      </c>
      <c r="GP3">
        <v>0.117976390194135</v>
      </c>
      <c r="GQ3">
        <v>9.6563559882627797E-2</v>
      </c>
      <c r="GR3">
        <v>6.7879652983043395E-2</v>
      </c>
      <c r="GS3">
        <v>7.2772775050850405E-2</v>
      </c>
      <c r="GT3">
        <v>7.6120243222905698E-2</v>
      </c>
      <c r="GU3">
        <v>6.5721951674647505E-2</v>
      </c>
      <c r="GV3">
        <v>9.5755506864025106E-2</v>
      </c>
      <c r="GW3">
        <v>4.2044871337360901E-2</v>
      </c>
      <c r="GX3">
        <v>5.2830630964808299E-2</v>
      </c>
      <c r="GY3">
        <v>3.3057392820689799E-2</v>
      </c>
      <c r="GZ3">
        <v>0</v>
      </c>
      <c r="HA3">
        <v>0</v>
      </c>
      <c r="HB3">
        <v>3.3011216214828498E-2</v>
      </c>
      <c r="HC3">
        <v>4.6815886926205502E-2</v>
      </c>
      <c r="HD3">
        <v>2.9835081184871399E-2</v>
      </c>
      <c r="HE3">
        <v>0</v>
      </c>
      <c r="HF3">
        <v>4.2482812398116999E-2</v>
      </c>
      <c r="HG3">
        <v>0</v>
      </c>
      <c r="HH3">
        <v>0</v>
      </c>
      <c r="HI3">
        <v>1.9629477429248799E-2</v>
      </c>
      <c r="HJ3">
        <v>4.2857171763796501E-3</v>
      </c>
      <c r="HK3">
        <v>0</v>
      </c>
      <c r="HL3">
        <v>0</v>
      </c>
      <c r="HM3">
        <v>0</v>
      </c>
      <c r="HN3">
        <v>0</v>
      </c>
      <c r="HO3">
        <v>2.1806746610367599E-2</v>
      </c>
      <c r="HP3">
        <v>0</v>
      </c>
      <c r="HQ3">
        <v>1.2879458390110799E-2</v>
      </c>
      <c r="HR3">
        <v>0</v>
      </c>
      <c r="HS3">
        <v>0</v>
      </c>
      <c r="HT3">
        <v>7.3901403739509694E-2</v>
      </c>
      <c r="HU3">
        <v>7.6822702996019607E-2</v>
      </c>
      <c r="HV3">
        <v>6.8458359410986602E-2</v>
      </c>
      <c r="HW3">
        <v>7.3316139195244198E-2</v>
      </c>
      <c r="HX3">
        <v>8.0191220729203302E-2</v>
      </c>
      <c r="HY3">
        <v>0.13480230378692201</v>
      </c>
      <c r="HZ3">
        <v>8.5840612862253099E-2</v>
      </c>
      <c r="IA3">
        <v>7.9603934223167999E-2</v>
      </c>
      <c r="IB3">
        <v>5.0829012453785599E-2</v>
      </c>
      <c r="IC3">
        <v>4.5783645225799897E-2</v>
      </c>
      <c r="ID3">
        <v>6.2901909349386498E-2</v>
      </c>
      <c r="IE3">
        <v>5.5019554889676997E-2</v>
      </c>
      <c r="IF3">
        <v>2.38852679658265E-2</v>
      </c>
      <c r="IG3">
        <v>4.6108003655521597E-2</v>
      </c>
      <c r="IH3">
        <v>0</v>
      </c>
      <c r="II3">
        <v>3.5099988485046002E-3</v>
      </c>
      <c r="IJ3">
        <v>0</v>
      </c>
      <c r="IK3">
        <v>6.3690322310070102E-2</v>
      </c>
      <c r="IL3">
        <v>6.0845547568202603E-2</v>
      </c>
      <c r="IM3">
        <v>7.0449069247083801E-2</v>
      </c>
      <c r="IN3">
        <v>7.3474089769209605E-2</v>
      </c>
      <c r="IO3">
        <v>7.7619992574003802E-2</v>
      </c>
      <c r="IP3">
        <v>0.142158776386307</v>
      </c>
      <c r="IQ3">
        <v>0.135143689964877</v>
      </c>
      <c r="IR3">
        <v>0.146827989755865</v>
      </c>
      <c r="IS3">
        <v>0.10885207070868801</v>
      </c>
      <c r="IT3">
        <v>0.12677593151320399</v>
      </c>
      <c r="IU3">
        <v>0.116726207180872</v>
      </c>
      <c r="IV3">
        <v>9.7993001512033398E-2</v>
      </c>
      <c r="IW3">
        <v>7.9354914481356204E-2</v>
      </c>
      <c r="IX3">
        <v>6.7324800872834503E-2</v>
      </c>
      <c r="IY3">
        <v>8.0676039832244098E-2</v>
      </c>
      <c r="IZ3">
        <v>5.0244486892788202E-2</v>
      </c>
      <c r="JA3">
        <v>8.7152681079877101E-2</v>
      </c>
      <c r="JB3">
        <v>8.8087175599894804E-2</v>
      </c>
      <c r="JC3">
        <v>0.127945346305748</v>
      </c>
      <c r="JD3">
        <v>0.12852492535542701</v>
      </c>
      <c r="JE3">
        <v>0.141335369038155</v>
      </c>
      <c r="JF3">
        <v>9.5245865716985206E-2</v>
      </c>
      <c r="JG3">
        <v>8.6833758327871505E-2</v>
      </c>
      <c r="JH3">
        <v>0.110361508102719</v>
      </c>
      <c r="JI3">
        <v>7.8145221438069901E-2</v>
      </c>
      <c r="JJ3">
        <v>7.8921389945577999E-2</v>
      </c>
      <c r="JK3">
        <v>0.114009237903814</v>
      </c>
      <c r="JL3">
        <v>0.108010424252292</v>
      </c>
      <c r="JM3">
        <v>9.1077306172839698E-2</v>
      </c>
      <c r="JN3">
        <v>7.1785094400360405E-2</v>
      </c>
      <c r="JO3">
        <v>4.1420294688803601E-2</v>
      </c>
      <c r="JP3">
        <v>2.9268519568423801E-2</v>
      </c>
      <c r="JQ3">
        <v>3.45852438239138E-2</v>
      </c>
      <c r="JR3">
        <v>4.6327270650465303E-2</v>
      </c>
      <c r="JS3">
        <v>3.05395987345502E-2</v>
      </c>
      <c r="JT3">
        <v>2.09378557122674E-2</v>
      </c>
      <c r="JU3">
        <v>0</v>
      </c>
      <c r="JV3">
        <v>3.4720554315660603E-2</v>
      </c>
      <c r="JW3">
        <v>2.66188050773336E-2</v>
      </c>
      <c r="JX3">
        <v>4.5372200712966097E-2</v>
      </c>
      <c r="JY3">
        <v>1.2612651298512099E-2</v>
      </c>
      <c r="JZ3">
        <v>0</v>
      </c>
      <c r="KA3">
        <v>0</v>
      </c>
      <c r="KB3">
        <v>7.0182090076524498E-2</v>
      </c>
      <c r="KC3">
        <v>2.3124434278496701E-2</v>
      </c>
      <c r="KD3">
        <v>0</v>
      </c>
      <c r="KE3">
        <v>3.0198104239379801E-2</v>
      </c>
      <c r="KF3">
        <v>1.6680442701626001E-2</v>
      </c>
      <c r="KG3">
        <v>5.2541706329368902E-3</v>
      </c>
      <c r="KH3">
        <v>0</v>
      </c>
      <c r="KI3">
        <v>0</v>
      </c>
      <c r="KJ3">
        <v>2.70122069463084E-2</v>
      </c>
      <c r="KK3">
        <v>0</v>
      </c>
      <c r="KL3">
        <v>1.08103129125464E-2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1.31703695011359E-2</v>
      </c>
      <c r="KU3">
        <v>3.8920273573950802E-2</v>
      </c>
      <c r="KV3">
        <v>3.2306139561407002E-2</v>
      </c>
      <c r="KW3">
        <v>0</v>
      </c>
      <c r="KX3">
        <v>2.7713276653924101E-2</v>
      </c>
      <c r="KY3">
        <v>4.4815049807295997E-2</v>
      </c>
      <c r="KZ3">
        <v>5.5621819721039599E-2</v>
      </c>
      <c r="LA3">
        <v>6.1086128741404802E-2</v>
      </c>
      <c r="LB3">
        <v>8.8824473770487203E-2</v>
      </c>
      <c r="LC3">
        <v>0.14886428444001301</v>
      </c>
      <c r="LD3">
        <v>0.140275995493678</v>
      </c>
      <c r="LE3">
        <v>0.12859111039833099</v>
      </c>
      <c r="LF3">
        <v>8.6980452929918295E-2</v>
      </c>
      <c r="LG3">
        <v>5.7532526211512398E-2</v>
      </c>
      <c r="LH3">
        <v>3.8635793489403499E-2</v>
      </c>
      <c r="LI3">
        <v>1.19559878189631E-2</v>
      </c>
      <c r="LJ3">
        <v>0</v>
      </c>
      <c r="LK3">
        <v>3.8911358386467101E-2</v>
      </c>
      <c r="LL3">
        <v>2.31353383849991E-2</v>
      </c>
      <c r="LM3">
        <v>3.6854221895069803E-2</v>
      </c>
      <c r="LN3">
        <v>2.62405952198916E-2</v>
      </c>
      <c r="LO3">
        <v>0</v>
      </c>
      <c r="LP3">
        <v>0</v>
      </c>
    </row>
    <row r="4" spans="1:391" x14ac:dyDescent="0.2">
      <c r="A4">
        <v>-1.27478044536034</v>
      </c>
      <c r="B4" s="70">
        <v>1.5164703554952299</v>
      </c>
      <c r="C4">
        <v>0.55047551858080201</v>
      </c>
      <c r="D4">
        <v>0</v>
      </c>
      <c r="E4">
        <v>0.100775966793582</v>
      </c>
      <c r="F4">
        <v>-8.0751012726150793E-3</v>
      </c>
      <c r="G4">
        <f>SQRT(Calcs!J5)</f>
        <v>0.12047776026284886</v>
      </c>
      <c r="H4" s="84">
        <f t="shared" si="0"/>
        <v>-1.9701793469266857E-2</v>
      </c>
      <c r="I4" s="71">
        <f>LN(Calcs!L6/Calcs!L5)</f>
        <v>-3.7289169850492259E-3</v>
      </c>
      <c r="J4" s="76">
        <f t="shared" si="1"/>
        <v>4.3461842875658534E-3</v>
      </c>
      <c r="K4" s="72">
        <v>1524.44801965035</v>
      </c>
      <c r="L4" s="72">
        <f t="shared" ref="L4:L66" si="3">EXP(F4)*L3</f>
        <v>1527.0600183994409</v>
      </c>
      <c r="M4" s="75">
        <f t="shared" si="2"/>
        <v>-2.6119987490908443</v>
      </c>
      <c r="N4">
        <v>1562.5</v>
      </c>
      <c r="O4">
        <v>1560.11535721939</v>
      </c>
      <c r="P4">
        <v>1512.7057796721001</v>
      </c>
      <c r="Q4">
        <v>1525.2225687544101</v>
      </c>
      <c r="R4">
        <v>1564.8006317257</v>
      </c>
      <c r="S4">
        <v>1572.77520742513</v>
      </c>
      <c r="T4">
        <v>1583.0946818325599</v>
      </c>
      <c r="U4">
        <v>1586.3907657386001</v>
      </c>
      <c r="V4">
        <v>1596.8444888653601</v>
      </c>
      <c r="W4">
        <v>1548.23979314947</v>
      </c>
      <c r="X4">
        <v>1564.4954241738701</v>
      </c>
      <c r="Y4">
        <v>1594.9911856564599</v>
      </c>
      <c r="Z4">
        <v>1608.9027679523399</v>
      </c>
    </row>
    <row r="5" spans="1:391" x14ac:dyDescent="0.2">
      <c r="A5">
        <v>-0.1807237058584</v>
      </c>
      <c r="B5" s="70">
        <v>0.58758126516510101</v>
      </c>
      <c r="C5">
        <v>-0.72611401879391402</v>
      </c>
      <c r="D5">
        <v>0</v>
      </c>
      <c r="E5">
        <v>0.137909983866459</v>
      </c>
      <c r="F5">
        <v>-1.57005182578146E-3</v>
      </c>
      <c r="G5">
        <f>SQRT(Calcs!J6)</f>
        <v>0.10714426976745084</v>
      </c>
      <c r="H5" s="84">
        <f t="shared" si="0"/>
        <v>3.0765714099008162E-2</v>
      </c>
      <c r="I5" s="71">
        <f>LN(Calcs!L7/Calcs!L6)</f>
        <v>-9.5913965654016997E-3</v>
      </c>
      <c r="J5" s="76">
        <f t="shared" si="1"/>
        <v>-8.0213447396202397E-3</v>
      </c>
      <c r="K5" s="72">
        <v>1522.2803834342899</v>
      </c>
      <c r="L5" s="72">
        <f t="shared" si="3"/>
        <v>1524.6643361942108</v>
      </c>
      <c r="M5" s="75">
        <f t="shared" si="2"/>
        <v>-2.3839527599209305</v>
      </c>
    </row>
    <row r="6" spans="1:391" x14ac:dyDescent="0.2">
      <c r="A6">
        <v>0.44337709526643099</v>
      </c>
      <c r="B6" s="70">
        <v>0.48786614837077602</v>
      </c>
      <c r="C6">
        <v>-3.6209659010908398E-3</v>
      </c>
      <c r="D6">
        <v>0</v>
      </c>
      <c r="E6">
        <v>0.151204968943111</v>
      </c>
      <c r="F6">
        <v>4.2155357586622201E-3</v>
      </c>
      <c r="G6">
        <f>SQRT(Calcs!J7)</f>
        <v>0.12078461309765554</v>
      </c>
      <c r="H6" s="84">
        <f t="shared" si="0"/>
        <v>3.0420355845455466E-2</v>
      </c>
      <c r="I6" s="71">
        <f>LN(Calcs!L8/Calcs!L7)</f>
        <v>-6.6607208613436502E-3</v>
      </c>
      <c r="J6" s="76">
        <f t="shared" si="1"/>
        <v>-1.087625662000587E-2</v>
      </c>
      <c r="K6" s="72">
        <v>1527.77480489658</v>
      </c>
      <c r="L6" s="72">
        <f t="shared" si="3"/>
        <v>1531.105179487794</v>
      </c>
      <c r="M6" s="75">
        <f t="shared" si="2"/>
        <v>-3.3303745912139675</v>
      </c>
    </row>
    <row r="7" spans="1:391" x14ac:dyDescent="0.2">
      <c r="A7">
        <v>1.00810018415602</v>
      </c>
      <c r="B7" s="70">
        <v>-0.72975945955565602</v>
      </c>
      <c r="C7">
        <v>-1.7845402438600201E-2</v>
      </c>
      <c r="D7">
        <v>0</v>
      </c>
      <c r="E7">
        <v>0.16201047727595799</v>
      </c>
      <c r="F7">
        <v>1.0274014714047401E-2</v>
      </c>
      <c r="G7">
        <f>SQRT(Calcs!J8)</f>
        <v>0.16240424640017734</v>
      </c>
      <c r="H7" s="84">
        <f t="shared" si="0"/>
        <v>-3.9376912421934529E-4</v>
      </c>
      <c r="I7" s="71">
        <f>LN(Calcs!L9/Calcs!L8)</f>
        <v>-1.9488716321303993E-3</v>
      </c>
      <c r="J7" s="76">
        <f t="shared" si="1"/>
        <v>-1.22228863461778E-2</v>
      </c>
      <c r="K7" s="72">
        <v>1542.5270189135699</v>
      </c>
      <c r="L7" s="72">
        <f t="shared" si="3"/>
        <v>1546.9168622776556</v>
      </c>
      <c r="M7" s="75">
        <f t="shared" si="2"/>
        <v>-4.3898433640856638</v>
      </c>
      <c r="N7">
        <v>0.11173909223002</v>
      </c>
      <c r="O7">
        <v>0.15923719890044799</v>
      </c>
      <c r="P7">
        <v>0.12575198320376299</v>
      </c>
      <c r="Q7">
        <v>0.13488867026051199</v>
      </c>
      <c r="R7">
        <v>0.14249808072016301</v>
      </c>
      <c r="S7">
        <v>0.16313838722704699</v>
      </c>
      <c r="T7">
        <v>0.14610867991030599</v>
      </c>
      <c r="U7">
        <v>0.12636180522384699</v>
      </c>
      <c r="V7">
        <v>5.9437276345755997E-2</v>
      </c>
      <c r="W7">
        <v>4.9497430199534197E-2</v>
      </c>
      <c r="X7">
        <v>9.4425970939294807E-2</v>
      </c>
      <c r="Y7">
        <v>3.0860346371488899E-2</v>
      </c>
      <c r="Z7">
        <v>6.0130029491832E-2</v>
      </c>
      <c r="AA7">
        <v>5.1898161554346102E-2</v>
      </c>
      <c r="AB7">
        <v>4.6209153915612597E-3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3.5762104734688098E-2</v>
      </c>
      <c r="AJ7">
        <v>0</v>
      </c>
      <c r="AK7">
        <v>3.9596234922376197E-2</v>
      </c>
      <c r="AL7">
        <v>0</v>
      </c>
      <c r="AM7">
        <v>0</v>
      </c>
      <c r="AN7">
        <v>0</v>
      </c>
      <c r="AO7">
        <v>2.4084142604089399E-2</v>
      </c>
      <c r="AP7">
        <v>0</v>
      </c>
      <c r="AQ7">
        <v>0</v>
      </c>
      <c r="AR7">
        <v>0</v>
      </c>
      <c r="AS7">
        <v>0</v>
      </c>
      <c r="AT7">
        <v>2.2438743076208599E-2</v>
      </c>
      <c r="AU7">
        <v>2.49475238100576E-2</v>
      </c>
      <c r="AV7">
        <v>1.866288981368E-2</v>
      </c>
      <c r="AW7">
        <v>1.71454246977743E-2</v>
      </c>
      <c r="AX7">
        <v>0</v>
      </c>
      <c r="AY7">
        <v>1.23961817179084E-2</v>
      </c>
      <c r="AZ7">
        <v>3.10656427793264E-2</v>
      </c>
      <c r="BA7">
        <v>0</v>
      </c>
      <c r="BB7">
        <v>4.9350192246418602E-2</v>
      </c>
      <c r="BC7">
        <v>0</v>
      </c>
      <c r="BD7">
        <v>4.2157009371294497E-3</v>
      </c>
      <c r="BE7">
        <v>0</v>
      </c>
      <c r="BF7">
        <v>0</v>
      </c>
      <c r="BG7">
        <v>0</v>
      </c>
      <c r="BH7">
        <v>0</v>
      </c>
      <c r="BI7">
        <v>1.8006707416086998E-2</v>
      </c>
      <c r="BJ7">
        <v>5.6511242563017497E-2</v>
      </c>
      <c r="BK7">
        <v>5.3303232708985501E-2</v>
      </c>
      <c r="BL7">
        <v>9.7318555607057294E-2</v>
      </c>
      <c r="BM7">
        <v>0.135805754348887</v>
      </c>
      <c r="BN7">
        <v>0.168316087686881</v>
      </c>
      <c r="BO7">
        <v>0.16763851798858401</v>
      </c>
      <c r="BP7">
        <v>0.15710832519430601</v>
      </c>
      <c r="BQ7">
        <v>0.117786478118274</v>
      </c>
      <c r="BR7">
        <v>6.6297112641033801E-2</v>
      </c>
      <c r="BS7">
        <v>0.121236099854774</v>
      </c>
      <c r="BT7">
        <v>0.101982292843011</v>
      </c>
      <c r="BU7">
        <v>3.9849805488244301E-2</v>
      </c>
      <c r="BV7">
        <v>4.3703024298981999E-2</v>
      </c>
      <c r="BW7">
        <v>3.2551224968930002E-2</v>
      </c>
      <c r="BX7">
        <v>3.7267943305997503E-2</v>
      </c>
      <c r="BY7">
        <v>1.1372273243325201E-2</v>
      </c>
      <c r="BZ7">
        <v>0</v>
      </c>
      <c r="CA7">
        <v>0</v>
      </c>
      <c r="CB7">
        <v>0</v>
      </c>
      <c r="CC7">
        <v>3.7909221765383701E-2</v>
      </c>
      <c r="CD7">
        <v>5.24422567845634E-2</v>
      </c>
      <c r="CE7">
        <v>2.84874090052839E-2</v>
      </c>
      <c r="CF7">
        <v>0</v>
      </c>
      <c r="CG7">
        <v>0</v>
      </c>
      <c r="CH7">
        <v>0</v>
      </c>
      <c r="CI7">
        <v>6.6730969180274699E-3</v>
      </c>
      <c r="CJ7">
        <v>3.6315182852770703E-2</v>
      </c>
      <c r="CK7">
        <v>0</v>
      </c>
      <c r="CL7">
        <v>0</v>
      </c>
      <c r="CM7">
        <v>0</v>
      </c>
      <c r="CN7">
        <v>1.8905490926445102E-2</v>
      </c>
      <c r="CO7">
        <v>0</v>
      </c>
      <c r="CP7">
        <v>1.9200026386508601E-2</v>
      </c>
      <c r="CQ7">
        <v>3.5908994121096202E-2</v>
      </c>
      <c r="CR7">
        <v>3.0408263868100398E-2</v>
      </c>
      <c r="CS7">
        <v>1.9166809867587301E-2</v>
      </c>
      <c r="CT7">
        <v>7.7514445314426604E-3</v>
      </c>
      <c r="CU7">
        <v>0</v>
      </c>
      <c r="CV7">
        <v>0</v>
      </c>
      <c r="CW7">
        <v>0</v>
      </c>
      <c r="CX7">
        <v>0</v>
      </c>
      <c r="CY7">
        <v>0</v>
      </c>
      <c r="CZ7">
        <v>4.1572613088548198E-2</v>
      </c>
      <c r="DA7">
        <v>5.1453933038553001E-2</v>
      </c>
      <c r="DB7">
        <v>3.94880080319059E-2</v>
      </c>
      <c r="DC7">
        <v>3.37059326978622E-2</v>
      </c>
      <c r="DD7">
        <v>0</v>
      </c>
      <c r="DE7">
        <v>0</v>
      </c>
      <c r="DF7">
        <v>1.5729050970932398E-2</v>
      </c>
      <c r="DG7">
        <v>0</v>
      </c>
      <c r="DH7">
        <v>0</v>
      </c>
      <c r="DI7">
        <v>3.6128981580519602E-2</v>
      </c>
      <c r="DJ7">
        <v>0</v>
      </c>
      <c r="DK7">
        <v>0</v>
      </c>
      <c r="DL7">
        <v>0</v>
      </c>
      <c r="DM7">
        <v>3.1051403336471901E-2</v>
      </c>
      <c r="DN7">
        <v>2.3200734798103601E-2</v>
      </c>
      <c r="DO7">
        <v>0</v>
      </c>
      <c r="DP7">
        <v>0</v>
      </c>
      <c r="DQ7">
        <v>0</v>
      </c>
      <c r="DR7">
        <v>3.0525569601829901E-2</v>
      </c>
      <c r="DS7">
        <v>5.8457240025643002E-2</v>
      </c>
      <c r="DT7">
        <v>2.7087033417069601E-2</v>
      </c>
      <c r="DU7">
        <v>8.0592740667264406E-2</v>
      </c>
      <c r="DV7">
        <v>0.10470356409190899</v>
      </c>
      <c r="DW7">
        <v>0.10536706596319401</v>
      </c>
      <c r="DX7">
        <v>0.12103390907882999</v>
      </c>
      <c r="DY7">
        <v>0.15618779638573899</v>
      </c>
      <c r="DZ7">
        <v>0.17931557137450299</v>
      </c>
      <c r="EA7">
        <v>0.184698897062085</v>
      </c>
      <c r="EB7">
        <v>0.17978666679255501</v>
      </c>
      <c r="EC7">
        <v>0.199871526882343</v>
      </c>
      <c r="ED7">
        <v>0.21914368405892001</v>
      </c>
      <c r="EE7">
        <v>0.23455943247463101</v>
      </c>
      <c r="EF7">
        <v>0.21876209133874799</v>
      </c>
      <c r="EG7">
        <v>0.22464212124557001</v>
      </c>
      <c r="EH7">
        <v>0.23939682177687399</v>
      </c>
      <c r="EI7">
        <v>0.231313573858305</v>
      </c>
      <c r="EJ7">
        <v>0.21481185235743699</v>
      </c>
      <c r="EK7">
        <v>0.216318715236132</v>
      </c>
      <c r="EL7">
        <v>0.22360562599407699</v>
      </c>
      <c r="EM7">
        <v>0.229950195046944</v>
      </c>
      <c r="EN7">
        <v>0.18525331504977</v>
      </c>
      <c r="EO7">
        <v>0.181814291405379</v>
      </c>
      <c r="EP7">
        <v>0.17594569222513201</v>
      </c>
      <c r="EQ7">
        <v>0.184297557570507</v>
      </c>
      <c r="ER7">
        <v>0.21251101792572499</v>
      </c>
      <c r="ES7">
        <v>0.17779285162612599</v>
      </c>
      <c r="ET7">
        <v>0.16654346045093099</v>
      </c>
      <c r="EU7">
        <v>0.17987724505772401</v>
      </c>
      <c r="EV7">
        <v>0.169981596292099</v>
      </c>
      <c r="EW7">
        <v>0.103568098159044</v>
      </c>
      <c r="EX7">
        <v>0.12927799303409099</v>
      </c>
      <c r="EY7">
        <v>0.165676083565924</v>
      </c>
      <c r="EZ7">
        <v>0.10859620183877799</v>
      </c>
      <c r="FA7">
        <v>0.120210789598998</v>
      </c>
      <c r="FB7">
        <v>0.10581702768295401</v>
      </c>
      <c r="FC7">
        <v>0.125463569902035</v>
      </c>
      <c r="FD7">
        <v>0.156040222715146</v>
      </c>
      <c r="FE7">
        <v>0.20751073451702501</v>
      </c>
      <c r="FF7">
        <v>0.267736264923363</v>
      </c>
      <c r="FG7">
        <v>0.273130951047797</v>
      </c>
      <c r="FH7">
        <v>0.26821110495348799</v>
      </c>
      <c r="FI7">
        <v>0.27278862932407599</v>
      </c>
      <c r="FJ7">
        <v>0.27040113117981202</v>
      </c>
      <c r="FK7">
        <v>0.28933248304492398</v>
      </c>
      <c r="FL7">
        <v>0.237157581447687</v>
      </c>
      <c r="FM7">
        <v>0.21994533586987799</v>
      </c>
      <c r="FN7">
        <v>0.217714816290596</v>
      </c>
      <c r="FO7">
        <v>0.234583587942615</v>
      </c>
      <c r="FP7">
        <v>0.151887432039506</v>
      </c>
      <c r="FQ7">
        <v>0.16860812569747699</v>
      </c>
      <c r="FR7">
        <v>0.17077965432390901</v>
      </c>
      <c r="FS7">
        <v>0.16975571468859901</v>
      </c>
      <c r="FT7">
        <v>0.19433895180337299</v>
      </c>
      <c r="FU7">
        <v>0.22132179831683299</v>
      </c>
      <c r="FV7">
        <v>0.283191236797385</v>
      </c>
      <c r="FW7">
        <v>0.25330909897489701</v>
      </c>
      <c r="FX7">
        <v>0.23714479767355201</v>
      </c>
      <c r="FY7">
        <v>0.22782574716832599</v>
      </c>
      <c r="FZ7">
        <v>0.20535789234129301</v>
      </c>
      <c r="GA7">
        <v>0.218482671981167</v>
      </c>
      <c r="GB7">
        <v>0.20809270813046499</v>
      </c>
      <c r="GC7">
        <v>0.16827660445065801</v>
      </c>
      <c r="GD7">
        <v>0.158017608075433</v>
      </c>
      <c r="GE7">
        <v>0.119200840464916</v>
      </c>
      <c r="GF7">
        <v>9.5780642167859503E-2</v>
      </c>
      <c r="GG7">
        <v>6.9883656092368296E-2</v>
      </c>
      <c r="GH7">
        <v>5.3616732126944303E-2</v>
      </c>
      <c r="GI7">
        <v>0</v>
      </c>
      <c r="GJ7">
        <v>0</v>
      </c>
      <c r="GK7">
        <v>3.6213788226334503E-2</v>
      </c>
      <c r="GL7">
        <v>4.6697432897698801E-2</v>
      </c>
      <c r="GM7">
        <v>3.5959090898389202E-2</v>
      </c>
      <c r="GN7">
        <v>8.1465677005188905E-2</v>
      </c>
      <c r="GO7">
        <v>5.3802874907077601E-2</v>
      </c>
      <c r="GP7">
        <v>5.3281920861877802E-2</v>
      </c>
      <c r="GQ7">
        <v>5.6558835121928303E-2</v>
      </c>
      <c r="GR7">
        <v>6.8954914074352197E-2</v>
      </c>
      <c r="GS7">
        <v>4.31372304305115E-2</v>
      </c>
      <c r="GT7">
        <v>6.97577298279832E-2</v>
      </c>
      <c r="GU7">
        <v>5.8427221480975899E-2</v>
      </c>
      <c r="GV7">
        <v>6.5824197575165305E-2</v>
      </c>
      <c r="GW7">
        <v>6.1302595284797298E-2</v>
      </c>
      <c r="GX7">
        <v>9.1149196172539804E-2</v>
      </c>
      <c r="GY7">
        <v>5.4910421676943703E-2</v>
      </c>
      <c r="GZ7">
        <v>5.2225511062488003E-2</v>
      </c>
      <c r="HA7">
        <v>2.0718536788660501E-2</v>
      </c>
      <c r="HB7">
        <v>5.0265099014822297E-2</v>
      </c>
      <c r="HC7">
        <v>3.6163576797552097E-2</v>
      </c>
      <c r="HD7">
        <v>2.7134258956706101E-2</v>
      </c>
      <c r="HE7">
        <v>4.70600746022607E-2</v>
      </c>
      <c r="HF7">
        <v>3.8803386882382503E-2</v>
      </c>
      <c r="HG7">
        <v>3.6694720260274198E-2</v>
      </c>
      <c r="HH7">
        <v>2.10537476828528E-2</v>
      </c>
      <c r="HI7">
        <v>9.4076148664578706E-3</v>
      </c>
      <c r="HJ7">
        <v>0</v>
      </c>
      <c r="HK7">
        <v>0</v>
      </c>
      <c r="HL7">
        <v>0</v>
      </c>
      <c r="HM7">
        <v>1.6470373557196799E-2</v>
      </c>
      <c r="HN7">
        <v>5.3424402716340198E-2</v>
      </c>
      <c r="HO7">
        <v>4.5914093124774402E-2</v>
      </c>
      <c r="HP7">
        <v>7.2554100633857199E-2</v>
      </c>
      <c r="HQ7">
        <v>4.5488782150689203E-2</v>
      </c>
      <c r="HR7">
        <v>4.3223295343625998E-2</v>
      </c>
      <c r="HS7">
        <v>0</v>
      </c>
      <c r="HT7">
        <v>0</v>
      </c>
      <c r="HU7">
        <v>0</v>
      </c>
      <c r="HV7">
        <v>0</v>
      </c>
      <c r="HW7">
        <v>2.7385485279409202E-2</v>
      </c>
      <c r="HX7">
        <v>3.9739213751975103E-2</v>
      </c>
      <c r="HY7">
        <v>4.0197424265694899E-2</v>
      </c>
      <c r="HZ7">
        <v>2.3650717857995902E-2</v>
      </c>
      <c r="IA7">
        <v>8.5292480907949705E-2</v>
      </c>
      <c r="IB7">
        <v>4.5112096505810301E-2</v>
      </c>
      <c r="IC7">
        <v>7.05295479581763E-2</v>
      </c>
      <c r="ID7">
        <v>2.1854836823464299E-2</v>
      </c>
      <c r="IE7">
        <v>1.15010278118513E-2</v>
      </c>
      <c r="IF7">
        <v>0</v>
      </c>
      <c r="IG7">
        <v>0</v>
      </c>
      <c r="IH7">
        <v>1.6229050160424301E-2</v>
      </c>
      <c r="II7">
        <v>1.2314163924916599E-2</v>
      </c>
      <c r="IJ7">
        <v>4.57455384028638E-2</v>
      </c>
      <c r="IK7">
        <v>0.10234042257288301</v>
      </c>
      <c r="IL7">
        <v>4.5018924737034997E-2</v>
      </c>
      <c r="IM7">
        <v>0</v>
      </c>
      <c r="IN7">
        <v>0</v>
      </c>
      <c r="IO7">
        <v>3.88324358116829E-2</v>
      </c>
      <c r="IP7">
        <v>0</v>
      </c>
      <c r="IQ7">
        <v>0</v>
      </c>
      <c r="IR7">
        <v>3.8276868107808101E-2</v>
      </c>
      <c r="IS7">
        <v>0</v>
      </c>
      <c r="IT7">
        <v>0</v>
      </c>
      <c r="IU7">
        <v>0</v>
      </c>
      <c r="IV7">
        <v>4.4215531070851702E-2</v>
      </c>
      <c r="IW7">
        <v>3.5956724625510597E-2</v>
      </c>
      <c r="IX7">
        <v>1.7407977960969101E-2</v>
      </c>
      <c r="IY7">
        <v>1.4233854109112799E-2</v>
      </c>
      <c r="IZ7">
        <v>3.8891497595445898E-2</v>
      </c>
      <c r="JA7">
        <v>0</v>
      </c>
      <c r="JB7">
        <v>0</v>
      </c>
      <c r="JC7">
        <v>1.25465751139874E-2</v>
      </c>
      <c r="JD7">
        <v>4.4517893799183902E-2</v>
      </c>
      <c r="JE7">
        <v>5.1055475076109497E-2</v>
      </c>
      <c r="JF7">
        <v>0</v>
      </c>
      <c r="JG7">
        <v>0</v>
      </c>
      <c r="JH7">
        <v>0</v>
      </c>
      <c r="JI7">
        <v>0</v>
      </c>
      <c r="JJ7">
        <v>0</v>
      </c>
      <c r="JK7">
        <v>1.15187516253433E-2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3.0973491754067099E-2</v>
      </c>
      <c r="JT7">
        <v>7.0443765428605601E-2</v>
      </c>
      <c r="JU7">
        <v>8.9561229885722293E-2</v>
      </c>
      <c r="JV7">
        <v>5.1642865744736297E-2</v>
      </c>
      <c r="JW7">
        <v>1.8848088082142E-2</v>
      </c>
      <c r="JX7">
        <v>1.32552356426252E-2</v>
      </c>
      <c r="JY7">
        <v>5.8581300631258298E-2</v>
      </c>
      <c r="JZ7">
        <v>0.105057914584816</v>
      </c>
      <c r="KA7">
        <v>8.7252659186101603E-2</v>
      </c>
      <c r="KB7">
        <v>0.110212394578866</v>
      </c>
      <c r="KC7">
        <v>0.13008370941123301</v>
      </c>
      <c r="KD7">
        <v>0.13742990376754699</v>
      </c>
      <c r="KE7">
        <v>0.14886220338908801</v>
      </c>
      <c r="KF7">
        <v>0.167943632729563</v>
      </c>
      <c r="KG7">
        <v>0.17500899632220801</v>
      </c>
      <c r="KH7">
        <v>0.133421475267023</v>
      </c>
      <c r="KI7">
        <v>0.105614249708086</v>
      </c>
      <c r="KJ7">
        <v>0.101519709732488</v>
      </c>
      <c r="KK7">
        <v>7.0980684998821097E-2</v>
      </c>
      <c r="KL7">
        <v>2.0432178936295599E-2</v>
      </c>
      <c r="KM7">
        <v>6.1123826126247604E-3</v>
      </c>
      <c r="KN7">
        <v>0</v>
      </c>
      <c r="KO7">
        <v>0</v>
      </c>
      <c r="KP7">
        <v>3.1129320166128401E-2</v>
      </c>
      <c r="KQ7">
        <v>0</v>
      </c>
      <c r="KR7">
        <v>0</v>
      </c>
      <c r="KS7">
        <v>1.0100435068746401E-2</v>
      </c>
      <c r="KT7">
        <v>0</v>
      </c>
      <c r="KU7">
        <v>0</v>
      </c>
      <c r="KV7">
        <v>0</v>
      </c>
      <c r="KW7">
        <v>5.2251351012901598E-2</v>
      </c>
      <c r="KX7">
        <v>2.97601293607185E-2</v>
      </c>
      <c r="KY7">
        <v>0</v>
      </c>
      <c r="KZ7">
        <v>0</v>
      </c>
      <c r="LA7">
        <v>2.5022904597017202E-2</v>
      </c>
      <c r="LB7">
        <v>0</v>
      </c>
      <c r="LC7">
        <v>0</v>
      </c>
      <c r="LD7">
        <v>0</v>
      </c>
      <c r="LE7">
        <v>2.4084847235323899E-2</v>
      </c>
      <c r="LF7">
        <v>0</v>
      </c>
      <c r="LG7">
        <v>7.4994506715359904E-3</v>
      </c>
      <c r="LH7">
        <v>6.6473941422842894E-2</v>
      </c>
      <c r="LI7">
        <v>0</v>
      </c>
      <c r="LJ7">
        <v>1.9492171801717001E-2</v>
      </c>
      <c r="LK7">
        <v>1.9755025042464298E-2</v>
      </c>
      <c r="LL7">
        <v>0</v>
      </c>
      <c r="LM7">
        <v>3.0442542076974999E-2</v>
      </c>
      <c r="LN7">
        <v>4.9332979421683902E-2</v>
      </c>
      <c r="LO7">
        <v>0</v>
      </c>
      <c r="LP7">
        <v>0</v>
      </c>
    </row>
    <row r="8" spans="1:391" x14ac:dyDescent="0.2">
      <c r="A8">
        <v>-0.214710705599439</v>
      </c>
      <c r="B8" s="70">
        <v>-0.85765927973423595</v>
      </c>
      <c r="C8">
        <v>0.70349137612822499</v>
      </c>
      <c r="D8">
        <v>0</v>
      </c>
      <c r="E8">
        <v>0.141200051036006</v>
      </c>
      <c r="F8">
        <v>-1.9116361265599699E-3</v>
      </c>
      <c r="G8">
        <f>SQRT(Calcs!J9)</f>
        <v>0.21020910383725502</v>
      </c>
      <c r="H8" s="84">
        <f t="shared" si="0"/>
        <v>-6.9009052801249027E-2</v>
      </c>
      <c r="I8" s="71">
        <f>LN(Calcs!L10/Calcs!L9)</f>
        <v>5.286804237623211E-3</v>
      </c>
      <c r="J8" s="76">
        <f t="shared" si="1"/>
        <v>7.1984403641831805E-3</v>
      </c>
      <c r="K8" s="72">
        <v>1539.64476021938</v>
      </c>
      <c r="L8" s="72">
        <f t="shared" si="3"/>
        <v>1543.962544808619</v>
      </c>
      <c r="M8" s="75">
        <f t="shared" si="2"/>
        <v>-4.3177845892389541</v>
      </c>
      <c r="N8">
        <v>-1.54975030752621E-2</v>
      </c>
      <c r="O8">
        <v>-8.4115623660113898E-4</v>
      </c>
      <c r="P8">
        <v>-1.009821480722E-2</v>
      </c>
      <c r="Q8">
        <v>-1.5402435536396399E-3</v>
      </c>
      <c r="R8">
        <v>3.9712018310104E-3</v>
      </c>
      <c r="S8">
        <v>1.0338690956736301E-2</v>
      </c>
      <c r="T8">
        <v>-1.98704928106333E-3</v>
      </c>
      <c r="U8">
        <v>3.43534407984E-3</v>
      </c>
      <c r="V8">
        <v>1.0581245056237301E-3</v>
      </c>
      <c r="W8">
        <v>-5.8224673130469499E-3</v>
      </c>
      <c r="X8">
        <v>5.6290295274808496E-3</v>
      </c>
      <c r="Y8">
        <v>-1.6460316232238901E-3</v>
      </c>
      <c r="Z8">
        <v>1.0062841258284599E-3</v>
      </c>
      <c r="AA8">
        <v>1.8821128733740001E-3</v>
      </c>
      <c r="AB8">
        <v>1.9740904869472101E-4</v>
      </c>
      <c r="AC8" s="68">
        <v>3.1500763798151002E-5</v>
      </c>
      <c r="AD8" s="68">
        <v>3.1500763798151002E-5</v>
      </c>
      <c r="AE8" s="68">
        <v>3.1500763798151002E-5</v>
      </c>
      <c r="AF8" s="68">
        <v>3.1500763798151002E-5</v>
      </c>
      <c r="AG8" s="68">
        <v>3.1500763798151002E-5</v>
      </c>
      <c r="AH8" s="68">
        <v>3.1500763798151002E-5</v>
      </c>
      <c r="AI8">
        <v>3.2770718145482599E-3</v>
      </c>
      <c r="AJ8" s="68">
        <v>3.1500763798151002E-5</v>
      </c>
      <c r="AK8">
        <v>3.4963472170030001E-3</v>
      </c>
      <c r="AL8" s="68">
        <v>3.1500763798151002E-5</v>
      </c>
      <c r="AM8" s="68">
        <v>3.1500763798151002E-5</v>
      </c>
      <c r="AN8" s="68">
        <v>3.1500763798151002E-5</v>
      </c>
      <c r="AO8">
        <v>1.27071252707806E-3</v>
      </c>
      <c r="AP8" s="68">
        <v>3.1500763798151002E-5</v>
      </c>
      <c r="AQ8" s="68">
        <v>3.1500763798151002E-5</v>
      </c>
      <c r="AR8" s="68">
        <v>3.1500763798151002E-5</v>
      </c>
      <c r="AS8" s="68">
        <v>3.1500763798151002E-5</v>
      </c>
      <c r="AT8">
        <v>1.5048987998874299E-3</v>
      </c>
      <c r="AU8">
        <v>-1.47151270792807E-3</v>
      </c>
      <c r="AV8">
        <v>-8.3688164559030597E-4</v>
      </c>
      <c r="AW8">
        <v>-3.61003773302542E-4</v>
      </c>
      <c r="AX8" s="68">
        <v>3.1500763798151002E-5</v>
      </c>
      <c r="AY8">
        <v>1.92801797460696E-3</v>
      </c>
      <c r="AZ8">
        <v>8.8714368319842195E-4</v>
      </c>
      <c r="BA8" s="68">
        <v>3.1500763798151002E-5</v>
      </c>
      <c r="BB8">
        <v>1.63177157774431E-3</v>
      </c>
      <c r="BC8" s="68">
        <v>3.1500763798151002E-5</v>
      </c>
      <c r="BD8">
        <v>1.13706731275009E-4</v>
      </c>
      <c r="BE8" s="68">
        <v>3.1500763798151002E-5</v>
      </c>
      <c r="BF8" s="68">
        <v>7.7197388055391395E-5</v>
      </c>
      <c r="BG8" s="68">
        <v>7.7197388055391395E-5</v>
      </c>
      <c r="BH8" s="68">
        <v>7.7197388055391395E-5</v>
      </c>
      <c r="BI8">
        <v>-1.6050347133155301E-3</v>
      </c>
      <c r="BJ8">
        <v>1.0681865461936199E-3</v>
      </c>
      <c r="BK8">
        <v>-2.7486858185236701E-3</v>
      </c>
      <c r="BL8">
        <v>-1.0131611237809E-2</v>
      </c>
      <c r="BM8">
        <v>3.8533069583073002E-3</v>
      </c>
      <c r="BN8">
        <v>4.4527971743521903E-3</v>
      </c>
      <c r="BO8">
        <v>-5.1135744759808399E-3</v>
      </c>
      <c r="BP8">
        <v>2.90347841476617E-2</v>
      </c>
      <c r="BQ8">
        <v>1.35749768138431E-2</v>
      </c>
      <c r="BR8">
        <v>-8.4183552285199397E-3</v>
      </c>
      <c r="BS8">
        <v>6.7408659238187103E-3</v>
      </c>
      <c r="BT8">
        <v>7.8585822397942706E-3</v>
      </c>
      <c r="BU8">
        <v>-6.4731201681401897E-4</v>
      </c>
      <c r="BV8">
        <v>6.3236125961899504E-4</v>
      </c>
      <c r="BW8">
        <v>3.6645827921843802E-3</v>
      </c>
      <c r="BX8" s="68">
        <v>6.6687034209133295E-5</v>
      </c>
      <c r="BY8">
        <v>-2.09200087106074E-4</v>
      </c>
      <c r="BZ8" s="68">
        <v>4.4730574981419499E-5</v>
      </c>
      <c r="CA8" s="68">
        <v>4.4730574981419499E-5</v>
      </c>
      <c r="CB8" s="68">
        <v>4.4730574981419499E-5</v>
      </c>
      <c r="CC8">
        <v>2.0580457082283401E-4</v>
      </c>
      <c r="CD8">
        <v>2.6618850972214901E-3</v>
      </c>
      <c r="CE8">
        <v>1.7466275325326E-3</v>
      </c>
      <c r="CF8" s="68">
        <v>4.4730574981419499E-5</v>
      </c>
      <c r="CG8" s="68">
        <v>4.4730574981419499E-5</v>
      </c>
      <c r="CH8" s="68">
        <v>4.4730574981419499E-5</v>
      </c>
      <c r="CI8">
        <v>-8.2296367399353797E-4</v>
      </c>
      <c r="CJ8">
        <v>2.6740175623693701E-3</v>
      </c>
      <c r="CK8" s="68">
        <v>4.4730574981419499E-5</v>
      </c>
      <c r="CL8" s="68">
        <v>4.4730574981419499E-5</v>
      </c>
      <c r="CM8" s="68">
        <v>4.4730574981419499E-5</v>
      </c>
      <c r="CN8">
        <v>-3.3944649451348E-4</v>
      </c>
      <c r="CO8" s="68">
        <v>4.4730574981419499E-5</v>
      </c>
      <c r="CP8" s="68">
        <v>6.6378420138961795E-5</v>
      </c>
      <c r="CQ8">
        <v>-4.79181590242071E-4</v>
      </c>
      <c r="CR8">
        <v>7.5549869545043201E-4</v>
      </c>
      <c r="CS8">
        <v>-2.5120621476556999E-4</v>
      </c>
      <c r="CT8">
        <v>2.2437483979104701E-4</v>
      </c>
      <c r="CU8" s="68">
        <v>7.2268300784603001E-5</v>
      </c>
      <c r="CV8" s="68">
        <v>7.2268300784603001E-5</v>
      </c>
      <c r="CW8" s="68">
        <v>7.2268300784603001E-5</v>
      </c>
      <c r="CX8" s="68">
        <v>7.2268300784603001E-5</v>
      </c>
      <c r="CY8" s="68">
        <v>7.2268300784603001E-5</v>
      </c>
      <c r="CZ8">
        <v>1.2056370893834701E-3</v>
      </c>
      <c r="DA8">
        <v>-2.7149811804987501E-3</v>
      </c>
      <c r="DB8">
        <v>2.8265188415926598E-3</v>
      </c>
      <c r="DC8">
        <v>2.18219647281801E-3</v>
      </c>
      <c r="DD8" s="68">
        <v>7.2268300784603001E-5</v>
      </c>
      <c r="DE8" s="68">
        <v>7.2268300784603001E-5</v>
      </c>
      <c r="DF8">
        <v>3.6089243868913702E-4</v>
      </c>
      <c r="DG8" s="68">
        <v>7.2268300784603001E-5</v>
      </c>
      <c r="DH8" s="68">
        <v>7.2268300784603001E-5</v>
      </c>
      <c r="DI8">
        <v>-7.2903752243008604E-4</v>
      </c>
      <c r="DJ8" s="68">
        <v>7.2268300784603001E-5</v>
      </c>
      <c r="DK8" s="68">
        <v>7.2268300784603001E-5</v>
      </c>
      <c r="DL8" s="68">
        <v>7.2268300784603001E-5</v>
      </c>
      <c r="DM8">
        <v>1.1833958174738301E-4</v>
      </c>
      <c r="DN8">
        <v>3.6441008417343403E-4</v>
      </c>
      <c r="DO8" s="68">
        <v>7.2268300784603001E-5</v>
      </c>
      <c r="DP8" s="68">
        <v>7.2268300784603001E-5</v>
      </c>
      <c r="DQ8" s="68">
        <v>6.1117306458587895E-5</v>
      </c>
      <c r="DR8">
        <v>-2.9497872932738702E-3</v>
      </c>
      <c r="DS8">
        <v>-3.0510105325853801E-3</v>
      </c>
      <c r="DT8">
        <v>-3.1793253339506898E-3</v>
      </c>
      <c r="DU8">
        <v>-4.9762733550379398E-3</v>
      </c>
      <c r="DV8">
        <v>-5.7100681538812103E-3</v>
      </c>
      <c r="DW8">
        <v>7.9206813954185501E-4</v>
      </c>
      <c r="DX8">
        <v>-2.7411283798560401E-3</v>
      </c>
      <c r="DY8">
        <v>-5.4613347553165801E-3</v>
      </c>
      <c r="DZ8">
        <v>-1.68363707423063E-2</v>
      </c>
      <c r="EA8">
        <v>-1.18929144013984E-2</v>
      </c>
      <c r="EB8">
        <v>-2.7017500024816701E-2</v>
      </c>
      <c r="EC8">
        <v>-1.2544620767019E-2</v>
      </c>
      <c r="ED8">
        <v>2.6403807399597002E-4</v>
      </c>
      <c r="EE8">
        <v>-1.4684244793389501E-2</v>
      </c>
      <c r="EF8">
        <v>8.0287727677892193E-3</v>
      </c>
      <c r="EG8">
        <v>1.9507200549081199E-3</v>
      </c>
      <c r="EH8">
        <v>8.6595495134965904E-4</v>
      </c>
      <c r="EI8">
        <v>2.4525104611607998E-3</v>
      </c>
      <c r="EJ8">
        <v>1.2780177253355099E-2</v>
      </c>
      <c r="EK8">
        <v>-8.7861088676056895E-3</v>
      </c>
      <c r="EL8">
        <v>-8.0062365304205806E-3</v>
      </c>
      <c r="EM8">
        <v>-2.68548910812619E-3</v>
      </c>
      <c r="EN8">
        <v>-4.1190223239725701E-3</v>
      </c>
      <c r="EO8">
        <v>-7.7151133813091301E-3</v>
      </c>
      <c r="EP8">
        <v>-2.6837835279807198E-3</v>
      </c>
      <c r="EQ8">
        <v>4.3458813144449501E-4</v>
      </c>
      <c r="ER8">
        <v>1.9718900210596E-2</v>
      </c>
      <c r="ES8">
        <v>6.2245036569882201E-3</v>
      </c>
      <c r="ET8">
        <v>-5.0470599540761102E-3</v>
      </c>
      <c r="EU8">
        <v>-2.45256401526248E-3</v>
      </c>
      <c r="EV8">
        <v>6.7548279148174697E-3</v>
      </c>
      <c r="EW8">
        <v>-6.2763254468051703E-3</v>
      </c>
      <c r="EX8">
        <v>-1.2453138759478399E-2</v>
      </c>
      <c r="EY8">
        <v>6.59372212381779E-3</v>
      </c>
      <c r="EZ8">
        <v>1.0902193979994701E-3</v>
      </c>
      <c r="FA8">
        <v>6.04236502465871E-3</v>
      </c>
      <c r="FB8">
        <v>-7.52852860689587E-3</v>
      </c>
      <c r="FC8">
        <v>-6.51401194131037E-3</v>
      </c>
      <c r="FD8">
        <v>-7.9786089788297706E-3</v>
      </c>
      <c r="FE8">
        <v>-2.2140914916250001E-2</v>
      </c>
      <c r="FF8">
        <v>3.4989095589319598E-2</v>
      </c>
      <c r="FG8">
        <v>-7.1546755919559696E-3</v>
      </c>
      <c r="FH8">
        <v>-1.25677695737181E-2</v>
      </c>
      <c r="FI8">
        <v>-2.0716816922773098E-3</v>
      </c>
      <c r="FJ8">
        <v>9.3823222380442599E-3</v>
      </c>
      <c r="FK8">
        <v>2.23262443962715E-2</v>
      </c>
      <c r="FL8">
        <v>1.25981651919762E-2</v>
      </c>
      <c r="FM8">
        <v>-2.7731172480378601E-3</v>
      </c>
      <c r="FN8">
        <v>-8.0347177260386305E-3</v>
      </c>
      <c r="FO8">
        <v>2.10215992616384E-2</v>
      </c>
      <c r="FP8">
        <v>-1.0596630986971201E-3</v>
      </c>
      <c r="FQ8">
        <v>-2.8374828971214601E-3</v>
      </c>
      <c r="FR8">
        <v>-8.54754963397487E-4</v>
      </c>
      <c r="FS8">
        <v>6.1263917528559999E-3</v>
      </c>
      <c r="FT8">
        <v>-1.5295578694075501E-2</v>
      </c>
      <c r="FU8">
        <v>-3.8966248564455602E-2</v>
      </c>
      <c r="FV8">
        <v>-1.32601317860055E-2</v>
      </c>
      <c r="FW8">
        <v>-1.6898523948722501E-3</v>
      </c>
      <c r="FX8">
        <v>1.1195759667119999E-2</v>
      </c>
      <c r="FY8">
        <v>-2.47549375120642E-3</v>
      </c>
      <c r="FZ8">
        <v>-6.0905507665961599E-3</v>
      </c>
      <c r="GA8">
        <v>6.1792184465439097E-3</v>
      </c>
      <c r="GB8">
        <v>3.5413992547153701E-3</v>
      </c>
      <c r="GC8">
        <v>1.1162590202066899E-3</v>
      </c>
      <c r="GD8">
        <v>1.31455618331573E-2</v>
      </c>
      <c r="GE8">
        <v>-6.4240800696184997E-3</v>
      </c>
      <c r="GF8">
        <v>-5.1098253661020099E-3</v>
      </c>
      <c r="GG8">
        <v>1.15638705676467E-3</v>
      </c>
      <c r="GH8">
        <v>-4.3871753310678098E-4</v>
      </c>
      <c r="GI8" s="68">
        <v>7.9989848400544502E-5</v>
      </c>
      <c r="GJ8" s="68">
        <v>7.9989848400544502E-5</v>
      </c>
      <c r="GK8">
        <v>-3.3584082025192798E-3</v>
      </c>
      <c r="GL8">
        <v>-1.55556259121906E-3</v>
      </c>
      <c r="GM8">
        <v>-3.63822499301804E-3</v>
      </c>
      <c r="GN8">
        <v>5.1610575063451101E-3</v>
      </c>
      <c r="GO8">
        <v>-1.71522522552254E-3</v>
      </c>
      <c r="GP8">
        <v>2.6128293468343101E-3</v>
      </c>
      <c r="GQ8">
        <v>-2.9228993100376701E-3</v>
      </c>
      <c r="GR8">
        <v>2.9540207041147499E-3</v>
      </c>
      <c r="GS8">
        <v>-4.1687836814840997E-3</v>
      </c>
      <c r="GT8">
        <v>-2.3820449287948499E-3</v>
      </c>
      <c r="GU8">
        <v>-2.4028374451096702E-3</v>
      </c>
      <c r="GV8">
        <v>3.4968466514463301E-3</v>
      </c>
      <c r="GW8">
        <v>-4.0719521424027296E-3</v>
      </c>
      <c r="GX8">
        <v>-1.9580693879808798E-3</v>
      </c>
      <c r="GY8">
        <v>2.2176421281578998E-3</v>
      </c>
      <c r="GZ8">
        <v>2.4742116201768201E-3</v>
      </c>
      <c r="HA8">
        <v>-1.8663988962317501E-4</v>
      </c>
      <c r="HB8">
        <v>2.23383600418433E-4</v>
      </c>
      <c r="HC8">
        <v>8.9422854254329496E-4</v>
      </c>
      <c r="HD8">
        <v>-6.3807811637065903E-4</v>
      </c>
      <c r="HE8">
        <v>1.1075920959159101E-3</v>
      </c>
      <c r="HF8">
        <v>-2.5012065712143199E-3</v>
      </c>
      <c r="HG8">
        <v>-2.76172649621774E-4</v>
      </c>
      <c r="HH8">
        <v>-1.5335837680807899E-4</v>
      </c>
      <c r="HI8">
        <v>2.3941247962199001E-4</v>
      </c>
      <c r="HJ8" s="68">
        <v>4.5721073821347803E-5</v>
      </c>
      <c r="HK8" s="68">
        <v>4.5721073821347803E-5</v>
      </c>
      <c r="HL8" s="68">
        <v>4.5721073821347803E-5</v>
      </c>
      <c r="HM8">
        <v>-8.3063953387360395E-4</v>
      </c>
      <c r="HN8">
        <v>-3.1732419738011602E-3</v>
      </c>
      <c r="HO8">
        <v>-4.9279155782133701E-3</v>
      </c>
      <c r="HP8">
        <v>-1.34293025510937E-3</v>
      </c>
      <c r="HQ8">
        <v>-4.8112290144036703E-3</v>
      </c>
      <c r="HR8">
        <v>4.3071322079781199E-3</v>
      </c>
      <c r="HS8" s="68">
        <v>4.5721073821347803E-5</v>
      </c>
      <c r="HT8" s="68">
        <v>4.5721073821347803E-5</v>
      </c>
      <c r="HU8" s="68">
        <v>4.5721073821347803E-5</v>
      </c>
      <c r="HV8" s="68">
        <v>4.5721073821347803E-5</v>
      </c>
      <c r="HW8">
        <v>2.9914415839035503E-4</v>
      </c>
      <c r="HX8">
        <v>-1.5323985739584399E-3</v>
      </c>
      <c r="HY8">
        <v>-7.8262725413756899E-4</v>
      </c>
      <c r="HZ8">
        <v>-2.88031087662656E-3</v>
      </c>
      <c r="IA8">
        <v>8.5660562376092299E-3</v>
      </c>
      <c r="IB8">
        <v>-5.0541730593893601E-3</v>
      </c>
      <c r="IC8">
        <v>1.9986607218605598E-3</v>
      </c>
      <c r="ID8">
        <v>2.9594608631898099E-4</v>
      </c>
      <c r="IE8">
        <v>8.1701082164089005E-4</v>
      </c>
      <c r="IF8" s="68">
        <v>4.5721073821347803E-5</v>
      </c>
      <c r="IG8" s="68">
        <v>4.5721073821347803E-5</v>
      </c>
      <c r="IH8">
        <v>-1.0502047853316E-3</v>
      </c>
      <c r="II8">
        <v>-1.2548990068783699E-3</v>
      </c>
      <c r="IJ8">
        <v>-8.0781282129930904E-4</v>
      </c>
      <c r="IK8">
        <v>6.4156474333014399E-3</v>
      </c>
      <c r="IL8" s="68">
        <v>6.0648797637571098E-5</v>
      </c>
      <c r="IM8" s="68">
        <v>5.3778394084172398E-5</v>
      </c>
      <c r="IN8" s="68">
        <v>5.3778394084172398E-5</v>
      </c>
      <c r="IO8">
        <v>6.9375149705746305E-4</v>
      </c>
      <c r="IP8" s="68">
        <v>5.3778394084172398E-5</v>
      </c>
      <c r="IQ8" s="68">
        <v>5.3778394084172398E-5</v>
      </c>
      <c r="IR8">
        <v>7.4737802538185096E-4</v>
      </c>
      <c r="IS8" s="68">
        <v>5.3778394084172398E-5</v>
      </c>
      <c r="IT8" s="68">
        <v>5.3778394084172398E-5</v>
      </c>
      <c r="IU8" s="68">
        <v>5.3778394084172398E-5</v>
      </c>
      <c r="IV8">
        <v>-3.1996178260956099E-4</v>
      </c>
      <c r="IW8">
        <v>-1.63280056619917E-3</v>
      </c>
      <c r="IX8">
        <v>2.6815307257476199E-4</v>
      </c>
      <c r="IY8">
        <v>-1.2270093315408001E-3</v>
      </c>
      <c r="IZ8">
        <v>3.82349720344771E-3</v>
      </c>
      <c r="JA8" s="68">
        <v>5.3778394084172398E-5</v>
      </c>
      <c r="JB8" s="68">
        <v>5.3778394084172398E-5</v>
      </c>
      <c r="JC8" s="68">
        <v>-3.6297072051641402E-5</v>
      </c>
      <c r="JD8">
        <v>4.2396612922570498E-3</v>
      </c>
      <c r="JE8">
        <v>2.9732988035273602E-3</v>
      </c>
      <c r="JF8" s="68">
        <v>5.3778394084172398E-5</v>
      </c>
      <c r="JG8" s="68">
        <v>5.3778394084172398E-5</v>
      </c>
      <c r="JH8" s="68">
        <v>5.3778394084172398E-5</v>
      </c>
      <c r="JI8" s="68">
        <v>5.3778394084172398E-5</v>
      </c>
      <c r="JJ8" s="68">
        <v>5.3778394084172398E-5</v>
      </c>
      <c r="JK8">
        <v>-1.5482340339222501E-4</v>
      </c>
      <c r="JL8" s="68">
        <v>5.3778394084172398E-5</v>
      </c>
      <c r="JM8" s="68">
        <v>5.3778394084172398E-5</v>
      </c>
      <c r="JN8" s="68">
        <v>5.3778394084172398E-5</v>
      </c>
      <c r="JO8" s="68">
        <v>5.3778394084172398E-5</v>
      </c>
      <c r="JP8" s="68">
        <v>5.3778394084172398E-5</v>
      </c>
      <c r="JQ8" s="68">
        <v>5.3778394084172398E-5</v>
      </c>
      <c r="JR8" s="68">
        <v>5.3778394084172398E-5</v>
      </c>
      <c r="JS8">
        <v>-2.8023434824153799E-3</v>
      </c>
      <c r="JT8">
        <v>-4.6131372759237402E-3</v>
      </c>
      <c r="JU8">
        <v>8.2063789566132004E-3</v>
      </c>
      <c r="JV8">
        <v>6.6741700374361404E-4</v>
      </c>
      <c r="JW8">
        <v>-3.6300615378233601E-4</v>
      </c>
      <c r="JX8">
        <v>-3.62588017294506E-4</v>
      </c>
      <c r="JY8">
        <v>-2.6756425073424001E-3</v>
      </c>
      <c r="JZ8">
        <v>-2.9605890356447701E-3</v>
      </c>
      <c r="KA8">
        <v>5.6752214912039398E-4</v>
      </c>
      <c r="KB8">
        <v>-9.6453785825740893E-3</v>
      </c>
      <c r="KC8">
        <v>1.15076949281135E-2</v>
      </c>
      <c r="KD8">
        <v>-5.8255918566434504E-3</v>
      </c>
      <c r="KE8">
        <v>-0.20207634852440801</v>
      </c>
      <c r="KF8">
        <v>-1.1245941687007901E-2</v>
      </c>
      <c r="KG8">
        <v>9.61020594381321E-3</v>
      </c>
      <c r="KH8">
        <v>-7.1237387016680701E-3</v>
      </c>
      <c r="KI8">
        <v>6.9680057947323799E-3</v>
      </c>
      <c r="KJ8">
        <v>8.5678221252315501E-3</v>
      </c>
      <c r="KK8">
        <v>6.4113668882461996E-3</v>
      </c>
      <c r="KL8">
        <v>-2.50938979581721E-4</v>
      </c>
      <c r="KM8" s="68">
        <v>9.1747425425574002E-5</v>
      </c>
      <c r="KN8" s="68">
        <v>5.3778394084172398E-5</v>
      </c>
      <c r="KO8" s="68">
        <v>5.3778394084172398E-5</v>
      </c>
      <c r="KP8">
        <v>3.06577665522218E-4</v>
      </c>
      <c r="KQ8" s="68">
        <v>5.3778394084172398E-5</v>
      </c>
      <c r="KR8" s="68">
        <v>5.3778394084172398E-5</v>
      </c>
      <c r="KS8">
        <v>1.58177370399805E-4</v>
      </c>
      <c r="KT8" s="68">
        <v>5.3778394084172398E-5</v>
      </c>
      <c r="KU8" s="68">
        <v>5.3778394084172398E-5</v>
      </c>
      <c r="KV8" s="68">
        <v>5.3778394084172398E-5</v>
      </c>
      <c r="KW8">
        <v>-2.1672779488346701E-3</v>
      </c>
      <c r="KX8">
        <v>2.6559308995222999E-3</v>
      </c>
      <c r="KY8" s="68">
        <v>5.3778394084172398E-5</v>
      </c>
      <c r="KZ8" s="68">
        <v>5.3778394084172398E-5</v>
      </c>
      <c r="LA8">
        <v>1.5105181799003799E-3</v>
      </c>
      <c r="LB8" s="68">
        <v>5.3778394084172398E-5</v>
      </c>
      <c r="LC8" s="68">
        <v>5.3778394084172398E-5</v>
      </c>
      <c r="LD8" s="68">
        <v>5.3778394084172398E-5</v>
      </c>
      <c r="LE8">
        <v>1.21256076528027E-3</v>
      </c>
      <c r="LF8" s="68">
        <v>5.3778394084172398E-5</v>
      </c>
      <c r="LG8">
        <v>-4.1946179099561101E-4</v>
      </c>
      <c r="LH8">
        <v>6.0895014614552696E-3</v>
      </c>
      <c r="LI8" s="68">
        <v>5.3778394084172398E-5</v>
      </c>
      <c r="LJ8">
        <v>2.3140091718177498E-3</v>
      </c>
      <c r="LK8">
        <v>-1.2410103390273501E-3</v>
      </c>
      <c r="LL8" s="68">
        <v>5.3778394084172398E-5</v>
      </c>
      <c r="LM8">
        <v>-8.0112300821908703E-4</v>
      </c>
      <c r="LN8">
        <v>8.5477687437628201E-4</v>
      </c>
      <c r="LO8" s="68">
        <v>5.3778394084172398E-5</v>
      </c>
      <c r="LP8" s="68">
        <v>5.3778394084172398E-5</v>
      </c>
    </row>
    <row r="9" spans="1:391" x14ac:dyDescent="0.2">
      <c r="A9">
        <v>0.43159608443888597</v>
      </c>
      <c r="B9" s="70">
        <v>0.42847983189825101</v>
      </c>
      <c r="C9">
        <v>-0.43057586804317599</v>
      </c>
      <c r="D9">
        <v>0</v>
      </c>
      <c r="E9">
        <v>0.11678221225143499</v>
      </c>
      <c r="F9">
        <v>3.1857388782663902E-3</v>
      </c>
      <c r="G9">
        <f>SQRT(Calcs!J10)</f>
        <v>0.21252747261837635</v>
      </c>
      <c r="H9" s="84">
        <f t="shared" si="0"/>
        <v>-9.5745260366941351E-2</v>
      </c>
      <c r="I9" s="71">
        <f>LN(Calcs!L11/Calcs!L10)</f>
        <v>-1.259954306661671E-2</v>
      </c>
      <c r="J9" s="76">
        <f t="shared" si="1"/>
        <v>-1.5785281944883101E-2</v>
      </c>
      <c r="K9" s="72">
        <v>1544.42526668953</v>
      </c>
      <c r="L9" s="72">
        <f t="shared" si="3"/>
        <v>1548.8890494262876</v>
      </c>
      <c r="M9" s="75">
        <f t="shared" si="2"/>
        <v>-4.4637827367575937</v>
      </c>
    </row>
    <row r="10" spans="1:391" x14ac:dyDescent="0.2">
      <c r="A10">
        <v>0.27606276892930198</v>
      </c>
      <c r="B10" s="70">
        <v>2.5005356700017502E-2</v>
      </c>
      <c r="C10">
        <v>0.92921332074666696</v>
      </c>
      <c r="D10">
        <v>0</v>
      </c>
      <c r="E10">
        <v>0.12570227980514301</v>
      </c>
      <c r="F10">
        <v>2.1923755782058E-3</v>
      </c>
      <c r="G10">
        <f>SQRT(Calcs!J11)</f>
        <v>0.22518833539830502</v>
      </c>
      <c r="H10" s="84">
        <f t="shared" si="0"/>
        <v>-9.9486055593162009E-2</v>
      </c>
      <c r="I10" s="71">
        <f>LN(Calcs!L12/Calcs!L11)</f>
        <v>2.0246727919815338E-2</v>
      </c>
      <c r="J10" s="76">
        <f t="shared" si="1"/>
        <v>1.8054352341609538E-2</v>
      </c>
      <c r="K10" s="72">
        <v>1545.6341282102401</v>
      </c>
      <c r="L10" s="72">
        <f t="shared" si="3"/>
        <v>1552.2885210492498</v>
      </c>
      <c r="M10" s="75">
        <f t="shared" si="2"/>
        <v>-6.654392839009688</v>
      </c>
    </row>
    <row r="11" spans="1:391" x14ac:dyDescent="0.2">
      <c r="A11">
        <v>-1.8758891987580799</v>
      </c>
      <c r="B11" s="70">
        <v>2.2793291853058402</v>
      </c>
      <c r="C11">
        <v>0.77673294085971301</v>
      </c>
      <c r="D11">
        <v>0</v>
      </c>
      <c r="E11">
        <v>0.124187123879827</v>
      </c>
      <c r="F11">
        <v>-1.46680575472807E-2</v>
      </c>
      <c r="G11">
        <f>SQRT(Calcs!J12)</f>
        <v>0.20414508209680923</v>
      </c>
      <c r="H11" s="84">
        <f t="shared" si="0"/>
        <v>-7.9957958216982233E-2</v>
      </c>
      <c r="I11" s="71">
        <f>LN(Calcs!L13/Calcs!L12)</f>
        <v>-1.5598323434757326E-2</v>
      </c>
      <c r="J11" s="76">
        <f t="shared" si="1"/>
        <v>-9.3026588747662647E-4</v>
      </c>
      <c r="K11" s="72">
        <v>1539.6278316365001</v>
      </c>
      <c r="L11" s="72">
        <f t="shared" si="3"/>
        <v>1529.6856391318511</v>
      </c>
      <c r="M11" s="75">
        <f t="shared" si="2"/>
        <v>9.9421925046490287</v>
      </c>
    </row>
    <row r="12" spans="1:391" x14ac:dyDescent="0.2">
      <c r="A12">
        <v>0.94400777056344698</v>
      </c>
      <c r="B12" s="70">
        <v>-0.71315688731210003</v>
      </c>
      <c r="C12">
        <v>-0.212824753780263</v>
      </c>
      <c r="D12">
        <v>0</v>
      </c>
      <c r="E12">
        <v>0.18133075488615599</v>
      </c>
      <c r="F12">
        <v>1.07556621308556E-2</v>
      </c>
      <c r="G12">
        <f>SQRT(Calcs!J13)</f>
        <v>0.21794442229471839</v>
      </c>
      <c r="H12" s="84">
        <f t="shared" si="0"/>
        <v>-3.6613667408562395E-2</v>
      </c>
      <c r="I12" s="71">
        <f>LN(Calcs!L14/Calcs!L13)</f>
        <v>1.2247513035197584E-3</v>
      </c>
      <c r="J12" s="76">
        <f t="shared" si="1"/>
        <v>-9.5309108273358423E-3</v>
      </c>
      <c r="K12" s="72">
        <v>1546.5734633682</v>
      </c>
      <c r="L12" s="72">
        <f t="shared" si="3"/>
        <v>1546.2272193905524</v>
      </c>
      <c r="M12" s="75">
        <f t="shared" si="2"/>
        <v>0.34624397764764581</v>
      </c>
      <c r="N12">
        <v>-1.4275486341676301E-2</v>
      </c>
      <c r="O12">
        <v>-5.9218476979600596E-4</v>
      </c>
      <c r="P12">
        <v>-8.0751012726150793E-3</v>
      </c>
      <c r="Q12">
        <v>-1.57005182578146E-3</v>
      </c>
      <c r="R12">
        <v>4.2155357586622201E-3</v>
      </c>
      <c r="S12">
        <v>1.0274014714047401E-2</v>
      </c>
      <c r="T12">
        <v>-1.9116361265599699E-3</v>
      </c>
      <c r="U12">
        <v>3.1857388782663902E-3</v>
      </c>
      <c r="V12">
        <v>2.1923755782058E-3</v>
      </c>
      <c r="W12">
        <v>-1.46680575472807E-2</v>
      </c>
      <c r="X12">
        <v>1.07556621308556E-2</v>
      </c>
      <c r="Y12">
        <v>-8.7621660295454304E-3</v>
      </c>
      <c r="Z12">
        <v>2.82388045230444E-3</v>
      </c>
      <c r="AA12">
        <v>5.8295678044826098E-3</v>
      </c>
      <c r="AB12">
        <v>6.1800959359519401E-3</v>
      </c>
      <c r="AC12">
        <v>-1.15225522407133E-2</v>
      </c>
      <c r="AD12">
        <v>5.7499841588053002E-3</v>
      </c>
      <c r="AE12">
        <v>-8.1540066609627898E-3</v>
      </c>
      <c r="AF12">
        <v>3.72882458130488E-3</v>
      </c>
      <c r="AG12">
        <v>1.6324456575985E-2</v>
      </c>
      <c r="AH12">
        <v>-9.5347434051147595E-3</v>
      </c>
      <c r="AI12">
        <v>1.4902455877256899E-2</v>
      </c>
      <c r="AJ12">
        <v>1.2005062064815599E-2</v>
      </c>
      <c r="AK12">
        <v>9.4980531594531202E-3</v>
      </c>
      <c r="AL12">
        <v>-1.00631100539755E-3</v>
      </c>
      <c r="AM12">
        <v>-3.0109487494311199E-3</v>
      </c>
      <c r="AN12">
        <v>1.1439770613224201E-2</v>
      </c>
      <c r="AO12">
        <v>3.5847062258574898E-3</v>
      </c>
      <c r="AP12">
        <v>2.2681100862492198E-3</v>
      </c>
      <c r="AQ12">
        <v>-1.2077922664363899E-3</v>
      </c>
      <c r="AR12">
        <v>-4.9464713406415801E-3</v>
      </c>
      <c r="AS12" s="68">
        <v>4.3694022289367602E-5</v>
      </c>
      <c r="AT12">
        <v>6.2924295991338402E-3</v>
      </c>
      <c r="AU12">
        <v>-5.7264464558100404E-3</v>
      </c>
      <c r="AV12">
        <v>-4.6531618453020604E-3</v>
      </c>
      <c r="AW12">
        <v>-2.68214733229939E-3</v>
      </c>
      <c r="AX12">
        <v>1.2173308755102299E-2</v>
      </c>
      <c r="AY12">
        <v>7.3247767358805499E-3</v>
      </c>
      <c r="AZ12" s="68">
        <v>3.7724044891802102E-5</v>
      </c>
      <c r="BA12" s="68">
        <v>3.7724044891802102E-5</v>
      </c>
      <c r="BB12">
        <v>7.9702462734848297E-4</v>
      </c>
      <c r="BC12" s="68">
        <v>3.7724044891802102E-5</v>
      </c>
      <c r="BD12" s="68">
        <v>3.7724044891802102E-5</v>
      </c>
      <c r="BE12" s="68">
        <v>3.7724044891802102E-5</v>
      </c>
      <c r="BF12" s="68">
        <v>8.3420669149042502E-5</v>
      </c>
      <c r="BG12" s="68">
        <v>8.3420669149042502E-5</v>
      </c>
      <c r="BH12" s="68">
        <v>8.3420669149042502E-5</v>
      </c>
      <c r="BI12">
        <v>-6.3675137092178702E-3</v>
      </c>
      <c r="BJ12">
        <v>2.06590971993774E-3</v>
      </c>
      <c r="BK12">
        <v>-6.0225959016498203E-3</v>
      </c>
      <c r="BL12">
        <v>-1.1928590409971599E-2</v>
      </c>
      <c r="BM12">
        <v>4.5623553239672503E-3</v>
      </c>
      <c r="BN12">
        <v>4.8080111165478999E-3</v>
      </c>
      <c r="BO12">
        <v>-5.7274074933173196E-3</v>
      </c>
      <c r="BP12">
        <v>3.2134631633728303E-2</v>
      </c>
      <c r="BQ12">
        <v>1.13713048670796E-2</v>
      </c>
      <c r="BR12">
        <v>-4.8639027313587399E-3</v>
      </c>
      <c r="BS12">
        <v>4.0991372735952498E-3</v>
      </c>
      <c r="BT12">
        <v>5.5355316364602202E-3</v>
      </c>
      <c r="BU12" s="68">
        <v>8.3420669149042502E-5</v>
      </c>
      <c r="BV12">
        <v>1.7039002181332599E-4</v>
      </c>
      <c r="BW12" s="68">
        <v>8.3420669149042502E-5</v>
      </c>
      <c r="BX12" s="68">
        <v>7.6006493441793993E-5</v>
      </c>
      <c r="BY12" s="68">
        <v>5.0953856075070497E-5</v>
      </c>
      <c r="BZ12">
        <v>-3.4685174663933599E-4</v>
      </c>
      <c r="CA12" s="68">
        <v>5.0953856075070497E-5</v>
      </c>
      <c r="CB12" s="68">
        <v>5.0953856075070497E-5</v>
      </c>
      <c r="CC12" s="68">
        <v>5.0953856075070497E-5</v>
      </c>
      <c r="CD12" s="68">
        <v>5.0953856075070497E-5</v>
      </c>
      <c r="CE12">
        <v>1.2784969005826101E-3</v>
      </c>
      <c r="CF12" s="68">
        <v>5.0953856075070497E-5</v>
      </c>
      <c r="CG12" s="68">
        <v>5.0953856075070497E-5</v>
      </c>
      <c r="CH12" s="68">
        <v>5.0953856075070497E-5</v>
      </c>
      <c r="CI12" s="68">
        <v>5.0953856075070497E-5</v>
      </c>
      <c r="CJ12">
        <v>2.62806933247895E-3</v>
      </c>
      <c r="CK12" s="68">
        <v>5.0953856075070497E-5</v>
      </c>
      <c r="CL12">
        <v>3.9308175989471198E-3</v>
      </c>
      <c r="CM12" s="68">
        <v>5.0953856075070497E-5</v>
      </c>
      <c r="CN12">
        <v>-5.7199262190883802E-4</v>
      </c>
      <c r="CO12" s="68">
        <v>5.0953856075070497E-5</v>
      </c>
      <c r="CP12" s="68">
        <v>5.0953856075070497E-5</v>
      </c>
      <c r="CQ12" s="68">
        <v>5.0953856075070497E-5</v>
      </c>
      <c r="CR12" s="68">
        <v>5.0953856075070497E-5</v>
      </c>
      <c r="CS12" s="68">
        <v>7.8491581878254094E-5</v>
      </c>
      <c r="CT12">
        <v>7.8094331231401003E-4</v>
      </c>
      <c r="CU12">
        <v>-5.3069928980090998E-4</v>
      </c>
      <c r="CV12">
        <v>-2.04499566790633E-3</v>
      </c>
      <c r="CW12">
        <v>2.9720859509489699E-3</v>
      </c>
      <c r="CX12">
        <v>-5.18404745080103E-3</v>
      </c>
      <c r="CY12">
        <v>1.2301200252357E-2</v>
      </c>
      <c r="CZ12">
        <v>2.1489973657562202E-3</v>
      </c>
      <c r="DA12">
        <v>-1.79535111133788E-3</v>
      </c>
      <c r="DB12">
        <v>3.1715581246607402E-3</v>
      </c>
      <c r="DC12" s="68">
        <v>7.8491581878254094E-5</v>
      </c>
      <c r="DD12" s="68">
        <v>7.8491581878254094E-5</v>
      </c>
      <c r="DE12">
        <v>-8.4469819485489303E-4</v>
      </c>
      <c r="DF12">
        <v>1.17057141373718E-3</v>
      </c>
      <c r="DG12">
        <v>2.23257969342237E-3</v>
      </c>
      <c r="DH12">
        <v>-3.4805715612659899E-3</v>
      </c>
      <c r="DI12">
        <v>-2.0751854687051201E-3</v>
      </c>
      <c r="DJ12">
        <v>4.3411437737142103E-3</v>
      </c>
      <c r="DK12">
        <v>7.03181295880139E-3</v>
      </c>
      <c r="DL12">
        <v>3.6439802476695101E-3</v>
      </c>
      <c r="DM12" s="68">
        <v>7.8491581878254094E-5</v>
      </c>
      <c r="DN12" s="68">
        <v>7.8491581878254094E-5</v>
      </c>
      <c r="DO12">
        <v>6.5064516624422795E-4</v>
      </c>
      <c r="DP12" s="68">
        <v>7.8491581878254094E-5</v>
      </c>
      <c r="DQ12">
        <v>1.0653500148687901E-3</v>
      </c>
      <c r="DR12">
        <v>-4.4407321539342596E-3</v>
      </c>
      <c r="DS12">
        <v>-3.2690642309361E-3</v>
      </c>
      <c r="DT12">
        <v>-7.2947360343526696E-3</v>
      </c>
      <c r="DU12">
        <v>6.9536198217744604E-3</v>
      </c>
      <c r="DV12">
        <v>-1.3241615089730999E-3</v>
      </c>
      <c r="DW12">
        <v>2.4661649105670199E-4</v>
      </c>
      <c r="DX12" s="68">
        <v>6.7340587552238907E-5</v>
      </c>
      <c r="DY12" s="68">
        <v>6.7340587552238907E-5</v>
      </c>
      <c r="DZ12" s="68">
        <v>6.7340587552238907E-5</v>
      </c>
      <c r="EA12" s="68">
        <v>6.7340587552238907E-5</v>
      </c>
      <c r="EB12" s="68">
        <v>6.7340587552238907E-5</v>
      </c>
      <c r="EC12">
        <v>-3.3984905424695199E-3</v>
      </c>
      <c r="ED12">
        <v>1.46479106962778E-4</v>
      </c>
      <c r="EE12">
        <v>-3.2970396337289498E-3</v>
      </c>
      <c r="EF12">
        <v>3.35544011885859E-3</v>
      </c>
      <c r="EG12">
        <v>7.3587088566769295E-4</v>
      </c>
      <c r="EH12">
        <v>3.0018305720127202E-4</v>
      </c>
      <c r="EI12">
        <v>6.9720069607793198E-4</v>
      </c>
      <c r="EJ12">
        <v>1.97189940004902E-3</v>
      </c>
      <c r="EK12" s="68">
        <v>6.7340587552238907E-5</v>
      </c>
      <c r="EL12">
        <v>-4.2765380847932001E-4</v>
      </c>
      <c r="EM12">
        <v>-2.7000983819747203E-4</v>
      </c>
      <c r="EN12" s="68">
        <v>6.7340587552238907E-5</v>
      </c>
      <c r="EO12" s="68">
        <v>6.7340587552238907E-5</v>
      </c>
      <c r="EP12" s="68">
        <v>6.7340587552238907E-5</v>
      </c>
      <c r="EQ12">
        <v>1.3086496402782099E-4</v>
      </c>
      <c r="ER12" s="68">
        <v>6.7340587552238907E-5</v>
      </c>
      <c r="ES12" s="68">
        <v>6.7340587552238907E-5</v>
      </c>
      <c r="ET12" s="68">
        <v>6.7340587552238907E-5</v>
      </c>
      <c r="EU12" s="68">
        <v>6.7340587552238907E-5</v>
      </c>
      <c r="EV12" s="68">
        <v>6.7340587552238907E-5</v>
      </c>
      <c r="EW12" s="68">
        <v>6.7340587552238907E-5</v>
      </c>
      <c r="EX12" s="68">
        <v>6.7340587552238907E-5</v>
      </c>
      <c r="EY12" s="68">
        <v>6.7340587552238907E-5</v>
      </c>
      <c r="EZ12" s="68">
        <v>6.7340587552238907E-5</v>
      </c>
      <c r="FA12" s="68">
        <v>6.7340587552238907E-5</v>
      </c>
      <c r="FB12">
        <v>-1.7583179992603901E-3</v>
      </c>
      <c r="FC12">
        <v>-3.4511594123010198E-3</v>
      </c>
      <c r="FD12">
        <v>-2.9060754398839601E-3</v>
      </c>
      <c r="FE12">
        <v>-7.06501158545224E-3</v>
      </c>
      <c r="FF12">
        <v>8.6549299512083903E-3</v>
      </c>
      <c r="FG12" s="68">
        <v>6.7340587552238907E-5</v>
      </c>
      <c r="FH12" s="68">
        <v>6.7340587552238907E-5</v>
      </c>
      <c r="FI12" s="68">
        <v>6.7340587552238907E-5</v>
      </c>
      <c r="FJ12" s="68">
        <v>6.7340587552238907E-5</v>
      </c>
      <c r="FK12">
        <v>2.11612565390704E-3</v>
      </c>
      <c r="FL12">
        <v>8.2188869835660996E-4</v>
      </c>
      <c r="FM12" s="68">
        <v>6.7340587552238907E-5</v>
      </c>
      <c r="FN12" s="68">
        <v>6.7340587552238907E-5</v>
      </c>
      <c r="FO12" s="68">
        <v>6.7340587552238907E-5</v>
      </c>
      <c r="FP12" s="68">
        <v>6.7340587552238907E-5</v>
      </c>
      <c r="FQ12" s="68">
        <v>6.7340587552238907E-5</v>
      </c>
      <c r="FR12" s="68">
        <v>6.7340587552238907E-5</v>
      </c>
      <c r="FS12">
        <v>7.47283225871319E-4</v>
      </c>
      <c r="FT12" s="68">
        <v>6.7340587552238907E-5</v>
      </c>
      <c r="FU12">
        <v>-6.3363828261644699E-3</v>
      </c>
      <c r="FV12">
        <v>-3.2720747938343002E-3</v>
      </c>
      <c r="FW12">
        <v>-3.8489502512801702E-4</v>
      </c>
      <c r="FX12">
        <v>2.7357094431313899E-3</v>
      </c>
      <c r="FY12">
        <v>-4.2754489927419799E-4</v>
      </c>
      <c r="FZ12">
        <v>-2.8899222615814701E-3</v>
      </c>
      <c r="GA12">
        <v>2.0781274749117101E-3</v>
      </c>
      <c r="GB12" s="68">
        <v>6.7340587552238907E-5</v>
      </c>
      <c r="GC12" s="68">
        <v>8.6213129494195595E-5</v>
      </c>
      <c r="GD12" s="68">
        <v>8.6213129494195595E-5</v>
      </c>
      <c r="GE12">
        <v>-1.70010267625752E-3</v>
      </c>
      <c r="GF12">
        <v>-1.66019549095419E-3</v>
      </c>
      <c r="GG12">
        <v>1.06676625798941E-3</v>
      </c>
      <c r="GH12">
        <v>-2.6454503266315997E-4</v>
      </c>
      <c r="GI12">
        <v>-2.5397637999239399E-4</v>
      </c>
      <c r="GJ12">
        <v>9.0803557492094599E-4</v>
      </c>
      <c r="GK12">
        <v>-2.42961945133696E-3</v>
      </c>
      <c r="GL12">
        <v>-1.42713141921709E-3</v>
      </c>
      <c r="GM12">
        <v>-2.3026521348263299E-3</v>
      </c>
      <c r="GN12">
        <v>3.85318256417322E-3</v>
      </c>
      <c r="GO12">
        <v>-1.3126636739332299E-3</v>
      </c>
      <c r="GP12">
        <v>2.4917698501456301E-3</v>
      </c>
      <c r="GQ12">
        <v>-2.9869478267729602E-3</v>
      </c>
      <c r="GR12">
        <v>3.15610873100583E-3</v>
      </c>
      <c r="GS12">
        <v>-9.2186022169270607E-3</v>
      </c>
      <c r="GT12">
        <v>-5.5265990836178098E-3</v>
      </c>
      <c r="GU12">
        <v>-4.5377278203855504E-3</v>
      </c>
      <c r="GV12">
        <v>6.5869107242930202E-3</v>
      </c>
      <c r="GW12">
        <v>-9.0492470336102099E-3</v>
      </c>
      <c r="GX12">
        <v>-3.20894351545346E-3</v>
      </c>
      <c r="GY12">
        <v>5.0121033618592903E-3</v>
      </c>
      <c r="GZ12">
        <v>4.5507994743115001E-3</v>
      </c>
      <c r="HA12">
        <v>-8.4157041103509803E-4</v>
      </c>
      <c r="HB12">
        <v>3.42094507620781E-4</v>
      </c>
      <c r="HC12">
        <v>2.4225984260560799E-3</v>
      </c>
      <c r="HD12">
        <v>-2.3169263157478198E-3</v>
      </c>
      <c r="HE12">
        <v>2.7875955778619899E-3</v>
      </c>
      <c r="HF12">
        <v>-6.0642674163652703E-3</v>
      </c>
      <c r="HG12">
        <v>-1.1075423778311099E-3</v>
      </c>
      <c r="HH12">
        <v>-1.3447229471146599E-3</v>
      </c>
      <c r="HI12">
        <v>3.3115553458596099E-3</v>
      </c>
      <c r="HJ12">
        <v>-1.0737567608310901E-4</v>
      </c>
      <c r="HK12">
        <v>-1.59962986953858E-2</v>
      </c>
      <c r="HL12">
        <v>4.1758947452552597E-3</v>
      </c>
      <c r="HM12">
        <v>-5.0946925118662504E-3</v>
      </c>
      <c r="HN12">
        <v>-8.9631184358350893E-3</v>
      </c>
      <c r="HO12">
        <v>-2.1580235428763899E-2</v>
      </c>
      <c r="HP12">
        <v>-3.9172977948207502E-3</v>
      </c>
      <c r="HQ12">
        <v>-2.5155105450051701E-2</v>
      </c>
      <c r="HR12">
        <v>2.55308702696013E-2</v>
      </c>
      <c r="HS12">
        <v>1.00209795153172E-2</v>
      </c>
      <c r="HT12">
        <v>1.8666517700273302E-2</v>
      </c>
      <c r="HU12">
        <v>-1.7203580662475799E-2</v>
      </c>
      <c r="HV12">
        <v>2.9912954453842401E-3</v>
      </c>
      <c r="HW12">
        <v>1.9014447797785401E-3</v>
      </c>
      <c r="HX12">
        <v>-6.4647775794366303E-3</v>
      </c>
      <c r="HY12">
        <v>-3.9211085651164202E-3</v>
      </c>
      <c r="HZ12">
        <v>-2.37616371197551E-2</v>
      </c>
      <c r="IA12">
        <v>2.1046431622794001E-2</v>
      </c>
      <c r="IB12">
        <v>-2.03443840286101E-2</v>
      </c>
      <c r="IC12">
        <v>5.8868795930423403E-3</v>
      </c>
      <c r="ID12">
        <v>2.4103522864948801E-3</v>
      </c>
      <c r="IE12">
        <v>1.1600025793218499E-2</v>
      </c>
      <c r="IF12">
        <v>-7.4445392885526403E-4</v>
      </c>
      <c r="IG12">
        <v>-1.47327063175101E-2</v>
      </c>
      <c r="IH12">
        <v>-1.0427407881769501E-2</v>
      </c>
      <c r="II12">
        <v>-1.8836100249354702E-2</v>
      </c>
      <c r="IJ12">
        <v>-3.7758157466758601E-3</v>
      </c>
      <c r="IK12">
        <v>1.31402974066035E-2</v>
      </c>
      <c r="IL12" s="68">
        <v>4.7721895688042797E-5</v>
      </c>
      <c r="IM12">
        <v>8.1988574071935397E-3</v>
      </c>
      <c r="IN12">
        <v>1.7534475423163901E-2</v>
      </c>
      <c r="IO12">
        <v>1.34746276213187E-3</v>
      </c>
      <c r="IP12">
        <v>-4.0508872686079498E-4</v>
      </c>
      <c r="IQ12">
        <v>-1.85929573345123E-3</v>
      </c>
      <c r="IR12">
        <v>6.6140467940915902E-4</v>
      </c>
      <c r="IS12">
        <v>-1.2501349063662401E-3</v>
      </c>
      <c r="IT12">
        <v>1.4062467693477999E-4</v>
      </c>
      <c r="IU12" s="68">
        <v>6.0001675177823498E-5</v>
      </c>
      <c r="IV12" s="68">
        <v>6.0001675177823498E-5</v>
      </c>
      <c r="IW12">
        <v>-1.83486412771634E-3</v>
      </c>
      <c r="IX12">
        <v>2.8414566619211701E-4</v>
      </c>
      <c r="IY12" s="68">
        <v>6.0001675177823498E-5</v>
      </c>
      <c r="IZ12" s="68">
        <v>6.0001675177823498E-5</v>
      </c>
      <c r="JA12">
        <v>3.9734383482674003E-3</v>
      </c>
      <c r="JB12">
        <v>-1.9308489063293299E-3</v>
      </c>
      <c r="JC12">
        <v>-3.6765554607448098E-4</v>
      </c>
      <c r="JD12">
        <v>8.0556171009934304E-4</v>
      </c>
      <c r="JE12" s="68">
        <v>6.0001675177823498E-5</v>
      </c>
      <c r="JF12">
        <v>1.3426504600638799E-4</v>
      </c>
      <c r="JG12">
        <v>2.0870385793857399E-4</v>
      </c>
      <c r="JH12" s="68">
        <v>6.0001675177823498E-5</v>
      </c>
      <c r="JI12" s="68">
        <v>6.0001675177823498E-5</v>
      </c>
      <c r="JJ12" s="68">
        <v>6.0001675177823498E-5</v>
      </c>
      <c r="JK12">
        <v>-2.1917678368776601E-4</v>
      </c>
      <c r="JL12" s="68">
        <v>6.0001675177823498E-5</v>
      </c>
      <c r="JM12" s="68">
        <v>6.0001675177823498E-5</v>
      </c>
      <c r="JN12" s="68">
        <v>6.0001675177823498E-5</v>
      </c>
      <c r="JO12">
        <v>1.8084247815590799E-3</v>
      </c>
      <c r="JP12">
        <v>-2.74403291009079E-3</v>
      </c>
      <c r="JQ12">
        <v>1.53614061258695E-3</v>
      </c>
      <c r="JR12">
        <v>-5.2078757679072203E-3</v>
      </c>
      <c r="JS12">
        <v>-9.3729803549806E-3</v>
      </c>
      <c r="JT12">
        <v>-7.6177645298528699E-3</v>
      </c>
      <c r="JU12">
        <v>9.7464485358383906E-3</v>
      </c>
      <c r="JV12">
        <v>9.2491720236625898E-4</v>
      </c>
      <c r="JW12">
        <v>-1.7632247816382E-3</v>
      </c>
      <c r="JX12">
        <v>-1.62095248639856E-3</v>
      </c>
      <c r="JY12">
        <v>-2.17407653638015E-3</v>
      </c>
      <c r="JZ12">
        <v>-1.63837144009166E-3</v>
      </c>
      <c r="KA12">
        <v>5.7639026385173796E-4</v>
      </c>
      <c r="KB12">
        <v>-4.80170130632888E-3</v>
      </c>
      <c r="KC12">
        <v>5.2976435808133101E-3</v>
      </c>
      <c r="KD12">
        <v>-1.6540198930744001E-3</v>
      </c>
      <c r="KE12">
        <v>-3.4373439935369999E-3</v>
      </c>
      <c r="KF12">
        <v>-5.45913939660437E-3</v>
      </c>
      <c r="KG12">
        <v>4.16756932032769E-3</v>
      </c>
      <c r="KH12">
        <v>-4.1734801988349904E-3</v>
      </c>
      <c r="KI12">
        <v>5.4046089228891496E-3</v>
      </c>
      <c r="KJ12">
        <v>4.3491916978375504E-3</v>
      </c>
      <c r="KK12" s="68">
        <v>6.0001675177823498E-5</v>
      </c>
      <c r="KL12">
        <v>-2.3237558362681899E-4</v>
      </c>
      <c r="KM12">
        <v>2.8349996643283902E-4</v>
      </c>
      <c r="KN12" s="68">
        <v>6.0001675177823498E-5</v>
      </c>
      <c r="KO12" s="68">
        <v>6.0001675177823498E-5</v>
      </c>
      <c r="KP12" s="68">
        <v>6.0001675177823498E-5</v>
      </c>
      <c r="KQ12">
        <v>-6.8814855601019098E-4</v>
      </c>
      <c r="KR12">
        <v>-6.63479977721264E-4</v>
      </c>
      <c r="KS12" s="68">
        <v>6.0001675177823498E-5</v>
      </c>
      <c r="KT12" s="68">
        <v>6.0001675177823498E-5</v>
      </c>
      <c r="KU12" s="68">
        <v>6.0001675177823498E-5</v>
      </c>
      <c r="KV12">
        <v>2.27685157313527E-3</v>
      </c>
      <c r="KW12" s="68">
        <v>6.0001675177823498E-5</v>
      </c>
      <c r="KX12">
        <v>1.8307703886774999E-3</v>
      </c>
      <c r="KY12" s="68">
        <v>6.0001675177823498E-5</v>
      </c>
      <c r="KZ12" s="68">
        <v>6.0001675177823498E-5</v>
      </c>
      <c r="LA12" s="68">
        <v>6.0001675177823498E-5</v>
      </c>
      <c r="LB12" s="68">
        <v>6.0001675177823498E-5</v>
      </c>
      <c r="LC12" s="68">
        <v>6.0001675177823498E-5</v>
      </c>
      <c r="LD12">
        <v>2.8487075902375899E-4</v>
      </c>
      <c r="LE12" s="68">
        <v>6.0001675177823498E-5</v>
      </c>
      <c r="LF12">
        <v>-6.1349431619213998E-4</v>
      </c>
      <c r="LG12">
        <v>-1.7632908531176801E-3</v>
      </c>
      <c r="LH12">
        <v>5.1420813523256302E-3</v>
      </c>
      <c r="LI12">
        <v>2.1863949606075002E-3</v>
      </c>
      <c r="LJ12" s="68">
        <v>6.0001675177823498E-5</v>
      </c>
      <c r="LK12" s="68">
        <v>6.0001675177823498E-5</v>
      </c>
      <c r="LL12" s="68">
        <v>6.0001675177823498E-5</v>
      </c>
      <c r="LM12">
        <v>-5.8421790797298905E-4</v>
      </c>
      <c r="LN12">
        <v>5.4816527828525105E-4</v>
      </c>
      <c r="LO12">
        <v>1.92406336245706E-3</v>
      </c>
      <c r="LP12">
        <v>5.6703337240154004E-4</v>
      </c>
      <c r="LQ12" s="68">
        <v>6.0001675177823498E-5</v>
      </c>
      <c r="LR12" s="68">
        <v>6.0001675177823498E-5</v>
      </c>
      <c r="LS12">
        <v>-9.3149977962093098E-4</v>
      </c>
      <c r="LT12">
        <v>1.2585152970205099E-3</v>
      </c>
      <c r="LU12">
        <v>2.1259842009513602E-3</v>
      </c>
      <c r="LV12">
        <v>2.5583431162385902E-4</v>
      </c>
      <c r="LW12" s="68">
        <v>6.0001675177823498E-5</v>
      </c>
      <c r="LX12" s="68">
        <v>6.0001675177823498E-5</v>
      </c>
      <c r="LY12" s="68">
        <v>8.3478329880064795E-5</v>
      </c>
      <c r="LZ12" s="68">
        <v>6.0001675177823498E-5</v>
      </c>
      <c r="MA12">
        <v>-1.78122206253407E-3</v>
      </c>
      <c r="MB12">
        <v>3.8261674607286801E-3</v>
      </c>
      <c r="MC12">
        <v>2.4915478346262E-4</v>
      </c>
      <c r="MD12">
        <v>-3.22969680194593E-3</v>
      </c>
      <c r="ME12">
        <v>4.7957378090923198E-4</v>
      </c>
      <c r="MF12">
        <v>-1.00977509643091E-3</v>
      </c>
      <c r="MG12">
        <v>-4.57000203338509E-4</v>
      </c>
      <c r="MH12">
        <v>9.1830885547399205E-4</v>
      </c>
      <c r="MI12" s="68">
        <v>7.3802483942273905E-5</v>
      </c>
      <c r="MJ12" s="68">
        <v>6.0001675177823498E-5</v>
      </c>
      <c r="MK12">
        <v>2.18646360544386E-3</v>
      </c>
      <c r="ML12">
        <v>7.6817523563651199E-4</v>
      </c>
      <c r="MM12" s="68">
        <v>6.0001675177823498E-5</v>
      </c>
      <c r="MN12">
        <v>-2.65570098675264E-4</v>
      </c>
      <c r="MO12">
        <v>-1.2958110135634E-3</v>
      </c>
      <c r="MP12">
        <v>8.2893457141926296E-4</v>
      </c>
      <c r="MQ12" s="68">
        <v>6.0001675177823498E-5</v>
      </c>
      <c r="MR12" s="68">
        <v>6.0001675177823498E-5</v>
      </c>
      <c r="MS12" s="68">
        <v>6.0001675177823498E-5</v>
      </c>
      <c r="MT12" s="68">
        <v>6.0001675177823498E-5</v>
      </c>
      <c r="MU12" s="68">
        <v>6.0001675177823498E-5</v>
      </c>
      <c r="MV12">
        <v>2.1452539617304199E-3</v>
      </c>
      <c r="MW12" s="68">
        <v>6.0001675177823498E-5</v>
      </c>
      <c r="MX12">
        <v>-1.1825433981016301E-3</v>
      </c>
      <c r="MY12" s="68">
        <v>6.0001675177823498E-5</v>
      </c>
      <c r="MZ12">
        <v>-5.2483883077520798E-4</v>
      </c>
      <c r="NA12" s="68">
        <v>6.0001675177823498E-5</v>
      </c>
      <c r="NB12" s="68">
        <v>6.0001675177823498E-5</v>
      </c>
      <c r="NC12" s="68">
        <v>6.0001675177823498E-5</v>
      </c>
      <c r="ND12" s="68">
        <v>6.0001675177823498E-5</v>
      </c>
      <c r="NE12" s="68">
        <v>6.0001675177823498E-5</v>
      </c>
      <c r="NF12">
        <v>-2.8324579226252302E-3</v>
      </c>
      <c r="NG12">
        <v>-2.4028548771644199E-3</v>
      </c>
      <c r="NH12">
        <v>9.1026908304184407E-3</v>
      </c>
      <c r="NI12">
        <v>-4.3784606680111497E-3</v>
      </c>
      <c r="NJ12">
        <v>3.72010307786442E-3</v>
      </c>
      <c r="NK12">
        <v>3.5625355741311601E-3</v>
      </c>
      <c r="NL12">
        <v>5.8562869532064301E-3</v>
      </c>
      <c r="NM12">
        <v>2.4723913076997099E-3</v>
      </c>
      <c r="NN12">
        <v>6.5230543479836804E-3</v>
      </c>
      <c r="NO12">
        <v>1.05157865045988E-3</v>
      </c>
      <c r="NP12">
        <v>3.6878393253258002E-3</v>
      </c>
      <c r="NQ12" s="68">
        <v>6.0001675177823498E-5</v>
      </c>
      <c r="NR12">
        <v>-1.1619741033449E-3</v>
      </c>
      <c r="NS12">
        <v>3.6342251245638601E-3</v>
      </c>
      <c r="NT12">
        <v>-2.1980499725002302E-3</v>
      </c>
      <c r="NU12" s="68">
        <v>6.0001675177823498E-5</v>
      </c>
      <c r="NV12" s="68">
        <v>4.5177424825028398E-5</v>
      </c>
      <c r="NW12">
        <v>-3.0884784824476499E-3</v>
      </c>
      <c r="NX12">
        <v>7.57534023770716E-4</v>
      </c>
      <c r="NY12" s="68">
        <v>6.0001675177823498E-5</v>
      </c>
      <c r="NZ12" s="68">
        <v>6.0001675177823498E-5</v>
      </c>
      <c r="OA12" s="68">
        <v>6.0001675177823498E-5</v>
      </c>
    </row>
    <row r="13" spans="1:391" x14ac:dyDescent="0.2">
      <c r="A13">
        <v>-0.861947698267167</v>
      </c>
      <c r="B13" s="70">
        <v>0.57683672550887699</v>
      </c>
      <c r="C13">
        <v>0.20490006844288799</v>
      </c>
      <c r="D13">
        <v>0</v>
      </c>
      <c r="E13">
        <v>0.16111915010317601</v>
      </c>
      <c r="F13">
        <v>-8.7621660295454304E-3</v>
      </c>
      <c r="G13">
        <f>SQRT(Calcs!J14)</f>
        <v>0.22375614339526972</v>
      </c>
      <c r="H13" s="84">
        <f t="shared" si="0"/>
        <v>-6.2636993292093712E-2</v>
      </c>
      <c r="I13" s="71">
        <f>LN(Calcs!L15/Calcs!L14)</f>
        <v>-7.8821462281706191E-3</v>
      </c>
      <c r="J13" s="76">
        <f t="shared" si="1"/>
        <v>8.8001980137481124E-4</v>
      </c>
      <c r="K13" s="72">
        <v>1546.5786449700099</v>
      </c>
      <c r="L13" s="72">
        <f t="shared" si="3"/>
        <v>1532.738103016236</v>
      </c>
      <c r="M13" s="75">
        <f t="shared" si="2"/>
        <v>13.840541953773936</v>
      </c>
    </row>
    <row r="14" spans="1:391" x14ac:dyDescent="0.2">
      <c r="A14">
        <v>0.25923964481705603</v>
      </c>
      <c r="B14" s="70">
        <v>-0.35176768181763501</v>
      </c>
      <c r="C14">
        <v>1.0115661618590901</v>
      </c>
      <c r="D14">
        <v>0</v>
      </c>
      <c r="E14">
        <v>0.17430115687664699</v>
      </c>
      <c r="F14">
        <v>2.82388045230444E-3</v>
      </c>
      <c r="G14">
        <f>SQRT(Calcs!J15)</f>
        <v>0.23080154786401577</v>
      </c>
      <c r="H14" s="84">
        <f t="shared" si="0"/>
        <v>-5.6500390987368782E-2</v>
      </c>
      <c r="I14" s="71">
        <f>LN(Calcs!L16/Calcs!L15)</f>
        <v>-2.0874488741991506E-3</v>
      </c>
      <c r="J14" s="76">
        <f t="shared" si="1"/>
        <v>-4.9113293265035905E-3</v>
      </c>
      <c r="K14" s="72">
        <v>1547.1829172109699</v>
      </c>
      <c r="L14" s="72">
        <f t="shared" si="3"/>
        <v>1537.0724891977432</v>
      </c>
      <c r="M14" s="75">
        <f t="shared" si="2"/>
        <v>10.110428013226738</v>
      </c>
    </row>
    <row r="15" spans="1:391" x14ac:dyDescent="0.2">
      <c r="A15">
        <v>0.56769624084068204</v>
      </c>
      <c r="B15" s="70">
        <v>0.42460297355646298</v>
      </c>
      <c r="C15">
        <v>-0.117635060401494</v>
      </c>
      <c r="D15">
        <v>0</v>
      </c>
      <c r="E15">
        <v>0.163439577669834</v>
      </c>
      <c r="F15">
        <v>5.8295678044826098E-3</v>
      </c>
      <c r="G15">
        <f>SQRT(Calcs!J16)</f>
        <v>0.22263257853796739</v>
      </c>
      <c r="H15" s="84">
        <f t="shared" si="0"/>
        <v>-5.9193000868133394E-2</v>
      </c>
      <c r="I15" s="71">
        <f>LN(Calcs!L17/Calcs!L16)</f>
        <v>2.0115479892544134E-3</v>
      </c>
      <c r="J15" s="76">
        <f t="shared" si="1"/>
        <v>-3.8180198152281963E-3</v>
      </c>
      <c r="K15" s="72">
        <v>1547.18810085468</v>
      </c>
      <c r="L15" s="72">
        <f t="shared" si="3"/>
        <v>1546.0591261486088</v>
      </c>
      <c r="M15" s="75">
        <f t="shared" si="2"/>
        <v>1.1289747060711761</v>
      </c>
    </row>
    <row r="16" spans="1:391" x14ac:dyDescent="0.2">
      <c r="A16">
        <v>0.57010022956571704</v>
      </c>
      <c r="B16" s="70">
        <v>-0.39826550367739499</v>
      </c>
      <c r="C16">
        <v>-0.79775236012630801</v>
      </c>
      <c r="D16">
        <v>0</v>
      </c>
      <c r="E16">
        <v>0.17268252856017899</v>
      </c>
      <c r="F16">
        <v>6.1800959359519401E-3</v>
      </c>
      <c r="G16">
        <f>SQRT(Calcs!J17)</f>
        <v>0.2121742134390226</v>
      </c>
      <c r="H16" s="84">
        <f t="shared" si="0"/>
        <v>-3.9491684878843608E-2</v>
      </c>
      <c r="I16" s="71">
        <f>LN(Calcs!L18/Calcs!L17)</f>
        <v>-8.7483107581997621E-3</v>
      </c>
      <c r="J16" s="76">
        <f t="shared" si="1"/>
        <v>-1.4928406694151703E-2</v>
      </c>
      <c r="K16" s="72">
        <v>1548.1434803496099</v>
      </c>
      <c r="L16" s="72">
        <f t="shared" si="3"/>
        <v>1555.6435055578472</v>
      </c>
      <c r="M16" s="75">
        <f t="shared" si="2"/>
        <v>-7.5000252082372754</v>
      </c>
      <c r="N16">
        <v>0.103003685052507</v>
      </c>
      <c r="O16">
        <v>0.11673820116287401</v>
      </c>
      <c r="P16">
        <v>0.100775966793582</v>
      </c>
      <c r="Q16">
        <v>0.137909983866459</v>
      </c>
      <c r="R16">
        <v>0.151204968943111</v>
      </c>
      <c r="S16">
        <v>0.16201047727595799</v>
      </c>
      <c r="T16">
        <v>0.141200051036006</v>
      </c>
      <c r="U16">
        <v>0.11678221225143499</v>
      </c>
      <c r="V16">
        <v>0.12570227980514301</v>
      </c>
      <c r="W16">
        <v>0.124187123879827</v>
      </c>
      <c r="X16">
        <v>0.18133075488615599</v>
      </c>
      <c r="Y16">
        <v>0.16111915010317601</v>
      </c>
      <c r="Z16">
        <v>0.17430115687664699</v>
      </c>
      <c r="AA16">
        <v>0.163439577669834</v>
      </c>
      <c r="AB16">
        <v>0.17268252856017899</v>
      </c>
      <c r="AC16">
        <v>0.16059989240450401</v>
      </c>
      <c r="AD16">
        <v>0.16853575549128</v>
      </c>
      <c r="AE16">
        <v>0.14317700991167701</v>
      </c>
      <c r="AF16">
        <v>0.18053890876883</v>
      </c>
      <c r="AG16">
        <v>0.17083484713579999</v>
      </c>
      <c r="AH16">
        <v>0.14857610474767199</v>
      </c>
      <c r="AI16">
        <v>0.164252024449211</v>
      </c>
      <c r="AJ16">
        <v>0.12518134351917901</v>
      </c>
      <c r="AK16">
        <v>0.10828119573146899</v>
      </c>
      <c r="AL16">
        <v>8.3997446292130101E-2</v>
      </c>
      <c r="AM16">
        <v>0.11279793754946001</v>
      </c>
      <c r="AN16">
        <v>0.108107341025656</v>
      </c>
      <c r="AO16">
        <v>6.9055530063287296E-2</v>
      </c>
      <c r="AP16">
        <v>7.3984372688817704E-2</v>
      </c>
      <c r="AQ16">
        <v>3.8120021835534902E-2</v>
      </c>
      <c r="AR16">
        <v>6.4740560557281099E-2</v>
      </c>
      <c r="AS16">
        <v>8.4486593444952601E-2</v>
      </c>
      <c r="AT16">
        <v>9.5465112989922801E-2</v>
      </c>
      <c r="AU16">
        <v>9.5453998705542498E-2</v>
      </c>
      <c r="AV16">
        <v>0.100464005556453</v>
      </c>
      <c r="AW16">
        <v>0.117782377118021</v>
      </c>
      <c r="AX16">
        <v>0.12810273597534599</v>
      </c>
      <c r="AY16">
        <v>4.7652059158198798E-2</v>
      </c>
      <c r="AZ16">
        <v>0</v>
      </c>
      <c r="BA16">
        <v>0</v>
      </c>
      <c r="BB16">
        <v>2.3378653260722599E-2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6.8976498357239097E-2</v>
      </c>
      <c r="BJ16">
        <v>0.11378904215373201</v>
      </c>
      <c r="BK16">
        <v>0.11490981736129199</v>
      </c>
      <c r="BL16">
        <v>0.11447099094074301</v>
      </c>
      <c r="BM16">
        <v>0.16137694762304899</v>
      </c>
      <c r="BN16">
        <v>0.18192973488188399</v>
      </c>
      <c r="BO16">
        <v>0.18742589438312601</v>
      </c>
      <c r="BP16">
        <v>0.17392415349165699</v>
      </c>
      <c r="BQ16">
        <v>9.8469203178297507E-2</v>
      </c>
      <c r="BR16">
        <v>3.8624191897933202E-2</v>
      </c>
      <c r="BS16">
        <v>7.2933158977436796E-2</v>
      </c>
      <c r="BT16">
        <v>7.1398206828392194E-2</v>
      </c>
      <c r="BU16">
        <v>0</v>
      </c>
      <c r="BV16">
        <v>6.8070812966455297E-3</v>
      </c>
      <c r="BW16">
        <v>0</v>
      </c>
      <c r="BX16">
        <v>2.8101647048112001E-2</v>
      </c>
      <c r="BY16">
        <v>0</v>
      </c>
      <c r="BZ16">
        <v>1.4753713004790701E-2</v>
      </c>
      <c r="CA16">
        <v>0</v>
      </c>
      <c r="CB16">
        <v>0</v>
      </c>
      <c r="CC16">
        <v>0</v>
      </c>
      <c r="CD16">
        <v>0</v>
      </c>
      <c r="CE16">
        <v>2.0541957770230199E-2</v>
      </c>
      <c r="CF16">
        <v>0</v>
      </c>
      <c r="CG16">
        <v>0</v>
      </c>
      <c r="CH16">
        <v>0</v>
      </c>
      <c r="CI16">
        <v>0</v>
      </c>
      <c r="CJ16">
        <v>3.5593896877476397E-2</v>
      </c>
      <c r="CK16">
        <v>0</v>
      </c>
      <c r="CL16">
        <v>3.6874275634279301E-2</v>
      </c>
      <c r="CM16">
        <v>0</v>
      </c>
      <c r="CN16">
        <v>3.0620394090351801E-2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3.5899554812183501E-2</v>
      </c>
      <c r="CU16">
        <v>5.6214082006539698E-2</v>
      </c>
      <c r="CV16">
        <v>0.101385452498018</v>
      </c>
      <c r="CW16">
        <v>9.3455570693979403E-2</v>
      </c>
      <c r="CX16">
        <v>7.3961854317900699E-2</v>
      </c>
      <c r="CY16">
        <v>8.7640667985259699E-2</v>
      </c>
      <c r="CZ16">
        <v>7.6138874330536302E-2</v>
      </c>
      <c r="DA16">
        <v>3.4613365944630402E-2</v>
      </c>
      <c r="DB16">
        <v>4.4351788612812901E-2</v>
      </c>
      <c r="DC16">
        <v>0</v>
      </c>
      <c r="DD16">
        <v>0</v>
      </c>
      <c r="DE16">
        <v>4.1443864097228299E-2</v>
      </c>
      <c r="DF16">
        <v>5.9799663382855597E-2</v>
      </c>
      <c r="DG16">
        <v>4.8977114131425699E-2</v>
      </c>
      <c r="DH16">
        <v>2.86309682989189E-2</v>
      </c>
      <c r="DI16">
        <v>9.6581873440460098E-2</v>
      </c>
      <c r="DJ16">
        <v>0.10558868444578</v>
      </c>
      <c r="DK16">
        <v>0.103354345424228</v>
      </c>
      <c r="DL16">
        <v>3.6946254901697E-2</v>
      </c>
      <c r="DM16">
        <v>0</v>
      </c>
      <c r="DN16">
        <v>0</v>
      </c>
      <c r="DO16">
        <v>1.5871036020707899E-2</v>
      </c>
      <c r="DP16">
        <v>0</v>
      </c>
      <c r="DQ16">
        <v>9.7786646763135202E-3</v>
      </c>
      <c r="DR16">
        <v>4.56904288239698E-2</v>
      </c>
      <c r="DS16">
        <v>6.2660173859627494E-2</v>
      </c>
      <c r="DT16">
        <v>6.1504883287354602E-2</v>
      </c>
      <c r="DU16">
        <v>5.3977908217944098E-2</v>
      </c>
      <c r="DV16">
        <v>2.5317635255661601E-2</v>
      </c>
      <c r="DW16">
        <v>2.5263934102653901E-2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5.5204071349637798E-2</v>
      </c>
      <c r="ED16">
        <v>6.4158671281978802E-2</v>
      </c>
      <c r="EE16">
        <v>5.3825366601464197E-2</v>
      </c>
      <c r="EF16">
        <v>8.9648385994529706E-2</v>
      </c>
      <c r="EG16">
        <v>7.6798835604698898E-2</v>
      </c>
      <c r="EH16">
        <v>6.2718654342515806E-2</v>
      </c>
      <c r="EI16">
        <v>5.8974226636972701E-2</v>
      </c>
      <c r="EJ16">
        <v>3.19701600233337E-2</v>
      </c>
      <c r="EK16">
        <v>0</v>
      </c>
      <c r="EL16">
        <v>1.38800196479599E-2</v>
      </c>
      <c r="EM16">
        <v>2.92177584391403E-2</v>
      </c>
      <c r="EN16">
        <v>0</v>
      </c>
      <c r="EO16">
        <v>0</v>
      </c>
      <c r="EP16">
        <v>0</v>
      </c>
      <c r="EQ16">
        <v>2.7167824130175499E-2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2.5510530126316901E-2</v>
      </c>
      <c r="FC16">
        <v>6.7286591676351606E-2</v>
      </c>
      <c r="FD16">
        <v>5.79288533355014E-2</v>
      </c>
      <c r="FE16">
        <v>6.6836709563780503E-2</v>
      </c>
      <c r="FF16">
        <v>6.5625417871250105E-2</v>
      </c>
      <c r="FG16">
        <v>0</v>
      </c>
      <c r="FH16">
        <v>0</v>
      </c>
      <c r="FI16">
        <v>0</v>
      </c>
      <c r="FJ16">
        <v>0</v>
      </c>
      <c r="FK16">
        <v>2.64444553423222E-2</v>
      </c>
      <c r="FL16">
        <v>1.4154964463183701E-2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1.8872198150395699E-2</v>
      </c>
      <c r="FT16">
        <v>0</v>
      </c>
      <c r="FU16">
        <v>3.6390845453926103E-2</v>
      </c>
      <c r="FV16">
        <v>7.1630529701970105E-2</v>
      </c>
      <c r="FW16">
        <v>6.9076891993192002E-2</v>
      </c>
      <c r="FX16">
        <v>5.6399948565420598E-2</v>
      </c>
      <c r="FY16">
        <v>4.5937120892040002E-2</v>
      </c>
      <c r="FZ16">
        <v>9.9418356593002105E-2</v>
      </c>
      <c r="GA16">
        <v>7.1064644515011599E-2</v>
      </c>
      <c r="GB16">
        <v>0</v>
      </c>
      <c r="GC16">
        <v>0</v>
      </c>
      <c r="GD16">
        <v>0</v>
      </c>
      <c r="GE16">
        <v>3.2841147946997502E-2</v>
      </c>
      <c r="GF16">
        <v>3.2305936160058203E-2</v>
      </c>
      <c r="GG16">
        <v>6.3609697973106394E-2</v>
      </c>
      <c r="GH16">
        <v>3.6385072245261697E-2</v>
      </c>
      <c r="GI16">
        <v>2.8226319692446201E-2</v>
      </c>
      <c r="GJ16">
        <v>1.05233061410722E-2</v>
      </c>
      <c r="GK16">
        <v>2.65025514418143E-2</v>
      </c>
      <c r="GL16">
        <v>4.3216738977762501E-2</v>
      </c>
      <c r="GM16">
        <v>2.31085652588487E-2</v>
      </c>
      <c r="GN16">
        <v>6.0355971052596401E-2</v>
      </c>
      <c r="GO16">
        <v>4.1954115413816002E-2</v>
      </c>
      <c r="GP16">
        <v>5.0598677770444897E-2</v>
      </c>
      <c r="GQ16">
        <v>5.78795341440448E-2</v>
      </c>
      <c r="GR16">
        <v>7.3670718922551795E-2</v>
      </c>
      <c r="GS16">
        <v>9.4373143052156494E-2</v>
      </c>
      <c r="GT16">
        <v>0.158242700738703</v>
      </c>
      <c r="GU16">
        <v>0.10925531090649</v>
      </c>
      <c r="GV16">
        <v>0.12492246802801001</v>
      </c>
      <c r="GW16">
        <v>0.13520048645687699</v>
      </c>
      <c r="GX16">
        <v>0.14758086705619</v>
      </c>
      <c r="GY16">
        <v>0.125850385581423</v>
      </c>
      <c r="GZ16">
        <v>9.6934322964393402E-2</v>
      </c>
      <c r="HA16">
        <v>7.8859371274367498E-2</v>
      </c>
      <c r="HB16">
        <v>8.3658874177102105E-2</v>
      </c>
      <c r="HC16">
        <v>0.101600013122938</v>
      </c>
      <c r="HD16">
        <v>9.3511917405186107E-2</v>
      </c>
      <c r="HE16">
        <v>0.12204347580667201</v>
      </c>
      <c r="HF16">
        <v>9.3030256788128901E-2</v>
      </c>
      <c r="HG16">
        <v>0.12946092336935</v>
      </c>
      <c r="HH16">
        <v>0.14399084122262101</v>
      </c>
      <c r="HI16">
        <v>0.160661537657529</v>
      </c>
      <c r="HJ16">
        <v>0.155760065709551</v>
      </c>
      <c r="HK16">
        <v>0.147878239221372</v>
      </c>
      <c r="HL16">
        <v>0.15749328677560401</v>
      </c>
      <c r="HM16">
        <v>9.64386204292354E-2</v>
      </c>
      <c r="HN16">
        <v>0.149150796002473</v>
      </c>
      <c r="HO16">
        <v>0.19913843407391399</v>
      </c>
      <c r="HP16">
        <v>0.204584355610505</v>
      </c>
      <c r="HQ16">
        <v>0.23525232116904901</v>
      </c>
      <c r="HR16">
        <v>0.25956163964586698</v>
      </c>
      <c r="HS16">
        <v>0.26589346138707998</v>
      </c>
      <c r="HT16">
        <v>0.25487771345259902</v>
      </c>
      <c r="HU16">
        <v>0.22735936334527601</v>
      </c>
      <c r="HV16">
        <v>0.23600214397542399</v>
      </c>
      <c r="HW16">
        <v>0.20790857395808299</v>
      </c>
      <c r="HX16">
        <v>0.163094793135967</v>
      </c>
      <c r="HY16">
        <v>0.19005872273966101</v>
      </c>
      <c r="HZ16">
        <v>0.19196376727218301</v>
      </c>
      <c r="IA16">
        <v>0.21068924089788199</v>
      </c>
      <c r="IB16">
        <v>0.179993554886688</v>
      </c>
      <c r="IC16">
        <v>0.21289798023933501</v>
      </c>
      <c r="ID16">
        <v>0.21304366703862199</v>
      </c>
      <c r="IE16">
        <v>0.173025195602557</v>
      </c>
      <c r="IF16">
        <v>0.138734670818497</v>
      </c>
      <c r="IG16">
        <v>0.10887887849937899</v>
      </c>
      <c r="IH16">
        <v>0.154555631996802</v>
      </c>
      <c r="II16">
        <v>0.17827465281726901</v>
      </c>
      <c r="IJ16">
        <v>0.201801642960628</v>
      </c>
      <c r="IK16">
        <v>0.211149935594213</v>
      </c>
      <c r="IL16">
        <v>0.16049669451718299</v>
      </c>
      <c r="IM16">
        <v>0.13137785083832901</v>
      </c>
      <c r="IN16">
        <v>0.114317796418589</v>
      </c>
      <c r="IO16">
        <v>7.84956932428299E-2</v>
      </c>
      <c r="IP16">
        <v>5.0318447019041097E-2</v>
      </c>
      <c r="IQ16">
        <v>2.3416890292180099E-2</v>
      </c>
      <c r="IR16">
        <v>3.3170374298508797E-2</v>
      </c>
      <c r="IS16">
        <v>4.31989738956602E-2</v>
      </c>
      <c r="IT16">
        <v>1.9073149195504801E-2</v>
      </c>
      <c r="IU16">
        <v>0</v>
      </c>
      <c r="IV16">
        <v>0</v>
      </c>
      <c r="IW16">
        <v>4.0389685784788798E-2</v>
      </c>
      <c r="IX16">
        <v>1.8203614047827801E-2</v>
      </c>
      <c r="IY16">
        <v>0</v>
      </c>
      <c r="IZ16">
        <v>0</v>
      </c>
      <c r="JA16">
        <v>5.8959126241075403E-2</v>
      </c>
      <c r="JB16">
        <v>2.74546045588113E-2</v>
      </c>
      <c r="JC16">
        <v>5.8816094315190998E-2</v>
      </c>
      <c r="JD16">
        <v>7.9230959741554193E-3</v>
      </c>
      <c r="JE16">
        <v>0</v>
      </c>
      <c r="JF16">
        <v>1.92637614253117E-2</v>
      </c>
      <c r="JG16">
        <v>5.0598115925603298E-3</v>
      </c>
      <c r="JH16">
        <v>0</v>
      </c>
      <c r="JI16">
        <v>0</v>
      </c>
      <c r="JJ16">
        <v>0</v>
      </c>
      <c r="JK16">
        <v>1.5409345432840201E-2</v>
      </c>
      <c r="JL16">
        <v>0</v>
      </c>
      <c r="JM16">
        <v>0</v>
      </c>
      <c r="JN16">
        <v>0</v>
      </c>
      <c r="JO16">
        <v>1.30634421073441E-2</v>
      </c>
      <c r="JP16">
        <v>2.9528978123294199E-2</v>
      </c>
      <c r="JQ16">
        <v>7.9060057605905704E-2</v>
      </c>
      <c r="JR16">
        <v>6.3918208678988495E-2</v>
      </c>
      <c r="JS16">
        <v>0.102140483832371</v>
      </c>
      <c r="JT16">
        <v>0.115733429663854</v>
      </c>
      <c r="JU16">
        <v>0.106450644039102</v>
      </c>
      <c r="JV16">
        <v>7.3051078624093602E-2</v>
      </c>
      <c r="JW16">
        <v>8.1986597211084103E-2</v>
      </c>
      <c r="JX16">
        <v>5.3378742696956701E-2</v>
      </c>
      <c r="JY16">
        <v>4.7971482194159802E-2</v>
      </c>
      <c r="JZ16">
        <v>5.9379928823482801E-2</v>
      </c>
      <c r="KA16">
        <v>8.7715531264609806E-2</v>
      </c>
      <c r="KB16">
        <v>5.5312432752962798E-2</v>
      </c>
      <c r="KC16">
        <v>5.9390012315206797E-2</v>
      </c>
      <c r="KD16">
        <v>4.02465458938535E-2</v>
      </c>
      <c r="KE16">
        <v>3.8460545973999498E-2</v>
      </c>
      <c r="KF16">
        <v>8.2236836381221895E-2</v>
      </c>
      <c r="KG16">
        <v>7.4950308023900597E-2</v>
      </c>
      <c r="KH16">
        <v>7.8854075211128194E-2</v>
      </c>
      <c r="KI16">
        <v>8.1579006310166097E-2</v>
      </c>
      <c r="KJ16">
        <v>5.1082466674175597E-2</v>
      </c>
      <c r="KK16">
        <v>0</v>
      </c>
      <c r="KL16">
        <v>1.96068914231965E-2</v>
      </c>
      <c r="KM16">
        <v>3.6330163355358901E-2</v>
      </c>
      <c r="KN16">
        <v>0</v>
      </c>
      <c r="KO16">
        <v>0</v>
      </c>
      <c r="KP16">
        <v>0</v>
      </c>
      <c r="KQ16">
        <v>9.7672203077922206E-3</v>
      </c>
      <c r="KR16">
        <v>1.4649616036542201E-2</v>
      </c>
      <c r="KS16">
        <v>0</v>
      </c>
      <c r="KT16">
        <v>0</v>
      </c>
      <c r="KU16">
        <v>0</v>
      </c>
      <c r="KV16">
        <v>2.5986152038202901E-2</v>
      </c>
      <c r="KW16">
        <v>0</v>
      </c>
      <c r="KX16">
        <v>2.02474423781921E-2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6.3588185220025198E-3</v>
      </c>
      <c r="LE16">
        <v>0</v>
      </c>
      <c r="LF16">
        <v>1.2897990120720499E-2</v>
      </c>
      <c r="LG16">
        <v>2.88743626375896E-2</v>
      </c>
      <c r="LH16">
        <v>5.5958209452029298E-2</v>
      </c>
      <c r="LI16">
        <v>3.7291404969204599E-2</v>
      </c>
      <c r="LJ16">
        <v>0</v>
      </c>
      <c r="LK16">
        <v>0</v>
      </c>
      <c r="LL16">
        <v>0</v>
      </c>
      <c r="LM16">
        <v>2.2952431446371699E-2</v>
      </c>
      <c r="LN16">
        <v>2.9994799128501899E-2</v>
      </c>
      <c r="LO16">
        <v>5.3464534771173002E-2</v>
      </c>
      <c r="LP16">
        <v>1.2275404721186401E-2</v>
      </c>
      <c r="LQ16">
        <v>0</v>
      </c>
      <c r="LR16">
        <v>0</v>
      </c>
      <c r="LS16">
        <v>2.4616850125242701E-2</v>
      </c>
      <c r="LT16">
        <v>5.8646126929532701E-2</v>
      </c>
      <c r="LU16">
        <v>2.0647506567920901E-2</v>
      </c>
      <c r="LV16">
        <v>1.6488780547696098E-2</v>
      </c>
      <c r="LW16">
        <v>0</v>
      </c>
      <c r="LX16">
        <v>0</v>
      </c>
      <c r="LY16">
        <v>5.5361783358646798E-2</v>
      </c>
      <c r="LZ16">
        <v>0</v>
      </c>
      <c r="MA16">
        <v>1.4672589025672001E-2</v>
      </c>
      <c r="MB16">
        <v>6.6047048489941501E-2</v>
      </c>
      <c r="MC16">
        <v>4.3633381899151398E-2</v>
      </c>
      <c r="MD16">
        <v>5.5149474241794602E-2</v>
      </c>
      <c r="ME16">
        <v>7.2598879400793806E-2</v>
      </c>
      <c r="MF16">
        <v>6.4470022114313894E-2</v>
      </c>
      <c r="MG16">
        <v>3.8806297118849503E-2</v>
      </c>
      <c r="MH16">
        <v>5.7122474428074298E-2</v>
      </c>
      <c r="MI16">
        <v>3.0161147527405299E-2</v>
      </c>
      <c r="MJ16">
        <v>0</v>
      </c>
      <c r="MK16">
        <v>2.77092620305017E-2</v>
      </c>
      <c r="ML16">
        <v>2.3400091463354498E-2</v>
      </c>
      <c r="MM16">
        <v>0</v>
      </c>
      <c r="MN16">
        <v>9.5076216008443699E-3</v>
      </c>
      <c r="MO16">
        <v>2.7874677225325498E-2</v>
      </c>
      <c r="MP16">
        <v>2.0231105901087301E-2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2.0014191828541E-2</v>
      </c>
      <c r="MW16">
        <v>0</v>
      </c>
      <c r="MX16">
        <v>2.8554438869705101E-2</v>
      </c>
      <c r="MY16">
        <v>0</v>
      </c>
      <c r="MZ16">
        <v>9.1167325497210298E-3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5.3735407977788002E-2</v>
      </c>
      <c r="NG16">
        <v>6.6881170600621501E-2</v>
      </c>
      <c r="NH16">
        <v>0.112767576391868</v>
      </c>
      <c r="NI16">
        <v>0.105172646033949</v>
      </c>
      <c r="NJ16">
        <v>0.14020684519030199</v>
      </c>
      <c r="NK16">
        <v>0.14126530148255501</v>
      </c>
      <c r="NL16">
        <v>0.114971853839299</v>
      </c>
      <c r="NM16">
        <v>0.11237128888490699</v>
      </c>
      <c r="NN16">
        <v>6.3525585382029306E-2</v>
      </c>
      <c r="NO16">
        <v>3.0990590827856698E-2</v>
      </c>
      <c r="NP16">
        <v>2.6143500621713001E-2</v>
      </c>
      <c r="NQ16">
        <v>0</v>
      </c>
      <c r="NR16">
        <v>2.1259753223078302E-2</v>
      </c>
      <c r="NS16">
        <v>6.3351984370749001E-2</v>
      </c>
      <c r="NT16">
        <v>5.0085034830259299E-2</v>
      </c>
      <c r="NU16">
        <v>0</v>
      </c>
      <c r="NV16">
        <v>1.24424834539761E-2</v>
      </c>
      <c r="NW16">
        <v>2.88352833046371E-2</v>
      </c>
      <c r="NX16">
        <v>5.2726885609172297E-2</v>
      </c>
      <c r="NY16">
        <v>0</v>
      </c>
      <c r="NZ16">
        <v>0</v>
      </c>
      <c r="OA16">
        <v>0</v>
      </c>
    </row>
    <row r="17" spans="1:329" x14ac:dyDescent="0.2">
      <c r="A17">
        <v>-1.1376179162201401</v>
      </c>
      <c r="B17" s="70">
        <v>0.37497206058578297</v>
      </c>
      <c r="C17">
        <v>7.1755557400558403E-2</v>
      </c>
      <c r="D17">
        <v>0</v>
      </c>
      <c r="E17">
        <v>0.16059989240450401</v>
      </c>
      <c r="F17">
        <v>-1.15225522407133E-2</v>
      </c>
      <c r="G17">
        <f>SQRT(Calcs!J18)</f>
        <v>0.24570109343908234</v>
      </c>
      <c r="H17" s="84">
        <f t="shared" si="0"/>
        <v>-8.5101201034578328E-2</v>
      </c>
      <c r="I17" s="71">
        <f>LN(Calcs!L19/Calcs!L18)</f>
        <v>1.3863107954721311E-3</v>
      </c>
      <c r="J17" s="76">
        <f t="shared" si="1"/>
        <v>1.2908863036185431E-2</v>
      </c>
      <c r="K17" s="72">
        <v>1548.14866721156</v>
      </c>
      <c r="L17" s="72">
        <f t="shared" si="3"/>
        <v>1537.8213972691956</v>
      </c>
      <c r="M17" s="75">
        <f t="shared" si="2"/>
        <v>10.32726994236441</v>
      </c>
    </row>
    <row r="18" spans="1:329" x14ac:dyDescent="0.2">
      <c r="A18">
        <v>0.54335039606667301</v>
      </c>
      <c r="B18" s="70">
        <v>-0.90657863676085404</v>
      </c>
      <c r="C18">
        <v>3.5903535586898198E-3</v>
      </c>
      <c r="D18">
        <v>0</v>
      </c>
      <c r="E18">
        <v>0.16853575549128</v>
      </c>
      <c r="F18">
        <v>5.7499841588053002E-3</v>
      </c>
      <c r="G18">
        <f>SQRT(Calcs!J19)</f>
        <v>0.25962911434981306</v>
      </c>
      <c r="H18" s="84">
        <f t="shared" si="0"/>
        <v>-9.1093358858533063E-2</v>
      </c>
      <c r="I18" s="71">
        <f>LN(Calcs!L20/Calcs!L19)</f>
        <v>1.2570045549862952E-2</v>
      </c>
      <c r="J18" s="76">
        <f t="shared" si="1"/>
        <v>6.8200613910576521E-3</v>
      </c>
      <c r="K18" s="72">
        <v>1548.15385409089</v>
      </c>
      <c r="L18" s="72">
        <f t="shared" si="3"/>
        <v>1546.6893167078949</v>
      </c>
      <c r="M18" s="75">
        <f t="shared" si="2"/>
        <v>1.4645373829951041</v>
      </c>
    </row>
    <row r="19" spans="1:329" x14ac:dyDescent="0.2">
      <c r="A19">
        <v>-0.90373458092813697</v>
      </c>
      <c r="B19" s="70">
        <v>1.51252992058638</v>
      </c>
      <c r="C19">
        <v>-1.15243262458503</v>
      </c>
      <c r="D19">
        <v>0</v>
      </c>
      <c r="E19">
        <v>0.14317700991167701</v>
      </c>
      <c r="F19">
        <v>-8.1540066609627898E-3</v>
      </c>
      <c r="G19">
        <f>SQRT(Calcs!J20)</f>
        <v>0.25755213164673874</v>
      </c>
      <c r="H19" s="84">
        <f t="shared" si="0"/>
        <v>-0.11437512173506173</v>
      </c>
      <c r="I19" s="71">
        <f>LN(Calcs!L21/Calcs!L20)</f>
        <v>-1.2534891832324192E-2</v>
      </c>
      <c r="J19" s="76">
        <f t="shared" si="1"/>
        <v>-4.3808851713614018E-3</v>
      </c>
      <c r="K19" s="72">
        <v>1548.1590409876001</v>
      </c>
      <c r="L19" s="72">
        <f t="shared" si="3"/>
        <v>1534.1288802512158</v>
      </c>
      <c r="M19" s="75">
        <f t="shared" si="2"/>
        <v>14.030160736384232</v>
      </c>
    </row>
    <row r="20" spans="1:329" x14ac:dyDescent="0.2">
      <c r="A20">
        <v>0.33023921980663701</v>
      </c>
      <c r="B20" s="70">
        <v>-0.30883518589120101</v>
      </c>
      <c r="C20">
        <v>-0.24584882217628901</v>
      </c>
      <c r="D20">
        <v>0</v>
      </c>
      <c r="E20">
        <v>0.18053890876883</v>
      </c>
      <c r="F20">
        <v>3.72882458130488E-3</v>
      </c>
      <c r="G20">
        <f>SQRT(Calcs!J21)</f>
        <v>0.27581838306445144</v>
      </c>
      <c r="H20" s="84">
        <f t="shared" si="0"/>
        <v>-9.5279474295621447E-2</v>
      </c>
      <c r="I20" s="71">
        <f>LN(Calcs!L22/Calcs!L21)</f>
        <v>2.0190362396134184E-2</v>
      </c>
      <c r="J20" s="76">
        <f t="shared" si="1"/>
        <v>1.6461537814829303E-2</v>
      </c>
      <c r="K20" s="72">
        <v>1548.1642279016901</v>
      </c>
      <c r="L20" s="72">
        <f t="shared" si="3"/>
        <v>1539.860056365389</v>
      </c>
      <c r="M20" s="75">
        <f t="shared" si="2"/>
        <v>8.3041715363010553</v>
      </c>
      <c r="N20">
        <v>1562.5</v>
      </c>
      <c r="O20">
        <v>1539.93266867941</v>
      </c>
      <c r="P20">
        <v>1538.6739157548</v>
      </c>
      <c r="Q20">
        <v>1524.44801965035</v>
      </c>
      <c r="R20">
        <v>1522.2803834342899</v>
      </c>
      <c r="S20">
        <v>1527.77480489658</v>
      </c>
      <c r="T20">
        <v>1542.5270189135699</v>
      </c>
      <c r="U20">
        <v>1539.64476021938</v>
      </c>
      <c r="V20">
        <v>1544.42526668953</v>
      </c>
      <c r="W20">
        <v>1545.6341282102401</v>
      </c>
      <c r="X20">
        <v>1539.6278316365001</v>
      </c>
      <c r="Y20">
        <v>1546.5734633682</v>
      </c>
      <c r="Z20">
        <v>1546.5786449700099</v>
      </c>
      <c r="AA20">
        <v>1547.1829172109699</v>
      </c>
      <c r="AB20">
        <v>1547.18810085468</v>
      </c>
      <c r="AC20">
        <v>1548.1434803496099</v>
      </c>
      <c r="AD20">
        <v>1548.14866721156</v>
      </c>
      <c r="AE20">
        <v>1548.15385409089</v>
      </c>
      <c r="AF20">
        <v>1548.1590409876001</v>
      </c>
      <c r="AG20">
        <v>1548.1642279016901</v>
      </c>
      <c r="AH20">
        <v>1548.1694148331501</v>
      </c>
      <c r="AI20">
        <v>1548.1746017820001</v>
      </c>
      <c r="AJ20">
        <v>1553.1342720918999</v>
      </c>
      <c r="AK20">
        <v>1553.13947567488</v>
      </c>
      <c r="AL20">
        <v>1558.3596602305299</v>
      </c>
      <c r="AM20">
        <v>1558.36488132052</v>
      </c>
      <c r="AN20">
        <v>1558.3701024280099</v>
      </c>
      <c r="AO20">
        <v>1558.37532355298</v>
      </c>
      <c r="AP20">
        <v>1560.09650060279</v>
      </c>
      <c r="AQ20">
        <v>1560.10172751185</v>
      </c>
      <c r="AR20">
        <v>1560.10695443842</v>
      </c>
      <c r="AS20">
        <v>1560.1121813825</v>
      </c>
      <c r="AT20">
        <v>1560.1174083441001</v>
      </c>
      <c r="AU20">
        <v>1562.51792169437</v>
      </c>
      <c r="AV20">
        <v>1559.86354878311</v>
      </c>
      <c r="AW20">
        <v>1558.3449444922001</v>
      </c>
      <c r="AX20">
        <v>1557.6780696906301</v>
      </c>
      <c r="AY20">
        <v>1557.6832884970399</v>
      </c>
      <c r="AZ20">
        <v>1559.42767657475</v>
      </c>
      <c r="BA20">
        <v>1560.91058123983</v>
      </c>
      <c r="BB20">
        <v>1560.91581087637</v>
      </c>
      <c r="BC20">
        <v>1563.3992623275001</v>
      </c>
      <c r="BD20">
        <v>1563.4045003020501</v>
      </c>
      <c r="BE20">
        <v>1563.4381115162601</v>
      </c>
      <c r="BF20">
        <v>1563.4433496209699</v>
      </c>
      <c r="BG20">
        <v>1563.5200336983</v>
      </c>
      <c r="BH20">
        <v>1563.5967215368401</v>
      </c>
      <c r="BI20">
        <v>1563.67341313678</v>
      </c>
      <c r="BJ20">
        <v>1561.7858425965901</v>
      </c>
      <c r="BK20">
        <v>1563.24427014964</v>
      </c>
      <c r="BL20">
        <v>1559.4437775024301</v>
      </c>
      <c r="BM20">
        <v>1544.7327551825699</v>
      </c>
      <c r="BN20">
        <v>1550.31605948633</v>
      </c>
      <c r="BO20">
        <v>1556.94479757873</v>
      </c>
      <c r="BP20">
        <v>1549.2304587137901</v>
      </c>
      <c r="BQ20">
        <v>1592.8426409280501</v>
      </c>
      <c r="BR20">
        <v>1613.89680762184</v>
      </c>
      <c r="BS20">
        <v>1600.88794680201</v>
      </c>
      <c r="BT20">
        <v>1611.30513273665</v>
      </c>
      <c r="BU20">
        <v>1623.5330521378601</v>
      </c>
      <c r="BV20">
        <v>1622.57078227959</v>
      </c>
      <c r="BW20">
        <v>1623.4354809871299</v>
      </c>
      <c r="BX20">
        <v>1628.0096785773701</v>
      </c>
      <c r="BY20">
        <v>1628.0755917653401</v>
      </c>
      <c r="BZ20">
        <v>1628.1025857771999</v>
      </c>
      <c r="CA20">
        <v>1628.1295802366201</v>
      </c>
      <c r="CB20">
        <v>1628.1565751436301</v>
      </c>
      <c r="CC20">
        <v>1628.18357049821</v>
      </c>
      <c r="CD20">
        <v>1628.4608694649201</v>
      </c>
      <c r="CE20">
        <v>1632.6449640625599</v>
      </c>
      <c r="CF20">
        <v>1635.32071616453</v>
      </c>
      <c r="CG20">
        <v>1635.3478303028601</v>
      </c>
      <c r="CH20">
        <v>1635.3749448907499</v>
      </c>
      <c r="CI20">
        <v>1635.4020599282001</v>
      </c>
      <c r="CJ20">
        <v>1633.6880804472</v>
      </c>
      <c r="CK20">
        <v>1637.9077077055799</v>
      </c>
      <c r="CL20">
        <v>1637.93486473705</v>
      </c>
      <c r="CM20">
        <v>1637.96202221879</v>
      </c>
      <c r="CN20">
        <v>1637.9891801508099</v>
      </c>
      <c r="CO20">
        <v>1637.4966531925199</v>
      </c>
      <c r="CP20">
        <v>1637.5238034085801</v>
      </c>
      <c r="CQ20">
        <v>1637.58423765872</v>
      </c>
      <c r="CR20">
        <v>1636.7742496851299</v>
      </c>
      <c r="CS20">
        <v>1637.8920195201499</v>
      </c>
      <c r="CT20">
        <v>1637.5178100717201</v>
      </c>
      <c r="CU20">
        <v>1637.5900555235901</v>
      </c>
      <c r="CV20">
        <v>1637.66230416284</v>
      </c>
      <c r="CW20">
        <v>1637.73455598961</v>
      </c>
      <c r="CX20">
        <v>1637.8068110040599</v>
      </c>
      <c r="CY20">
        <v>1637.8790692063201</v>
      </c>
      <c r="CZ20">
        <v>1637.9513305965299</v>
      </c>
      <c r="DA20">
        <v>1639.77254380869</v>
      </c>
      <c r="DB20">
        <v>1635.42764150427</v>
      </c>
      <c r="DC20">
        <v>1639.54294527364</v>
      </c>
      <c r="DD20">
        <v>1642.74016634086</v>
      </c>
      <c r="DE20">
        <v>1642.8126421972399</v>
      </c>
      <c r="DF20">
        <v>1642.8851212511599</v>
      </c>
      <c r="DG20">
        <v>1643.4258595792201</v>
      </c>
      <c r="DH20">
        <v>1643.4983656876</v>
      </c>
      <c r="DI20">
        <v>1643.5708749948799</v>
      </c>
      <c r="DJ20">
        <v>1642.4112908063801</v>
      </c>
      <c r="DK20">
        <v>1642.4837521531299</v>
      </c>
      <c r="DL20">
        <v>1642.55621669679</v>
      </c>
      <c r="DM20">
        <v>1642.6286844375099</v>
      </c>
      <c r="DN20">
        <v>1642.77262622483</v>
      </c>
      <c r="DO20">
        <v>1643.26064350601</v>
      </c>
      <c r="DP20">
        <v>1643.33314232525</v>
      </c>
      <c r="DQ20">
        <v>1643.40564434306</v>
      </c>
      <c r="DR20">
        <v>1643.4598232462299</v>
      </c>
      <c r="DS20">
        <v>1638.89766925963</v>
      </c>
      <c r="DT20">
        <v>1634.1935820951601</v>
      </c>
      <c r="DU20">
        <v>1630.7334706981601</v>
      </c>
      <c r="DV20">
        <v>1623.6847999030099</v>
      </c>
      <c r="DW20">
        <v>1615.44674509841</v>
      </c>
      <c r="DX20">
        <v>1616.5341063882499</v>
      </c>
      <c r="DY20">
        <v>1612.5547571023001</v>
      </c>
      <c r="DZ20">
        <v>1604.4444429269699</v>
      </c>
      <c r="EA20">
        <v>1579.5127594809801</v>
      </c>
      <c r="EB20">
        <v>1562.3143738784599</v>
      </c>
      <c r="EC20">
        <v>1524.49431293613</v>
      </c>
      <c r="ED20">
        <v>1507.3539191331799</v>
      </c>
      <c r="EE20">
        <v>1507.69271656156</v>
      </c>
      <c r="EF20">
        <v>1487.5963154604699</v>
      </c>
      <c r="EG20">
        <v>1498.32520031024</v>
      </c>
      <c r="EH20">
        <v>1500.94928106866</v>
      </c>
      <c r="EI20">
        <v>1502.11531606485</v>
      </c>
      <c r="EJ20">
        <v>1505.4453566775801</v>
      </c>
      <c r="EK20">
        <v>1522.83483195592</v>
      </c>
      <c r="EL20">
        <v>1510.7247172877201</v>
      </c>
      <c r="EM20">
        <v>1499.7804037298099</v>
      </c>
      <c r="EN20">
        <v>1496.11656810414</v>
      </c>
      <c r="EO20">
        <v>1490.7305432339799</v>
      </c>
      <c r="EP20">
        <v>1480.7923920426799</v>
      </c>
      <c r="EQ20">
        <v>1477.3909503161201</v>
      </c>
      <c r="ER20">
        <v>1477.92517499426</v>
      </c>
      <c r="ES20">
        <v>1503.80232311192</v>
      </c>
      <c r="ET20">
        <v>1511.88098969712</v>
      </c>
      <c r="EU20">
        <v>1505.3523822044101</v>
      </c>
      <c r="EV20">
        <v>1502.1512558192401</v>
      </c>
      <c r="EW20">
        <v>1510.7803303467001</v>
      </c>
      <c r="EX20">
        <v>1503.8396792200899</v>
      </c>
      <c r="EY20">
        <v>1489.35474383578</v>
      </c>
      <c r="EZ20">
        <v>1497.38451591084</v>
      </c>
      <c r="FA20">
        <v>1498.5245253719399</v>
      </c>
      <c r="FB20">
        <v>1505.1434107960399</v>
      </c>
      <c r="FC20">
        <v>1497.3287881569399</v>
      </c>
      <c r="FD20">
        <v>1490.27073476028</v>
      </c>
      <c r="FE20">
        <v>1481.08607775462</v>
      </c>
      <c r="FF20">
        <v>1454.0604153133499</v>
      </c>
      <c r="FG20">
        <v>1498.8361442160999</v>
      </c>
      <c r="FH20">
        <v>1489.4013947999099</v>
      </c>
      <c r="FI20">
        <v>1473.0784693056301</v>
      </c>
      <c r="FJ20">
        <v>1470.4053325668101</v>
      </c>
      <c r="FK20">
        <v>1482.48338166547</v>
      </c>
      <c r="FL20">
        <v>1512.08594469216</v>
      </c>
      <c r="FM20">
        <v>1528.56329183406</v>
      </c>
      <c r="FN20">
        <v>1524.94277098935</v>
      </c>
      <c r="FO20">
        <v>1514.5700084310099</v>
      </c>
      <c r="FP20">
        <v>1542.1125997735201</v>
      </c>
      <c r="FQ20">
        <v>1540.84009187928</v>
      </c>
      <c r="FR20">
        <v>1537.3542905881</v>
      </c>
      <c r="FS20">
        <v>1536.30120423364</v>
      </c>
      <c r="FT20">
        <v>1543.7478874041999</v>
      </c>
      <c r="FU20">
        <v>1524.3933803009299</v>
      </c>
      <c r="FV20">
        <v>1475.26892754303</v>
      </c>
      <c r="FW20">
        <v>1458.39856741684</v>
      </c>
      <c r="FX20">
        <v>1456.3209592139899</v>
      </c>
      <c r="FY20">
        <v>1469.8868616766399</v>
      </c>
      <c r="FZ20">
        <v>1466.88676774953</v>
      </c>
      <c r="GA20">
        <v>1459.7627194383799</v>
      </c>
      <c r="GB20">
        <v>1467.0736880104701</v>
      </c>
      <c r="GC20">
        <v>1471.23160265567</v>
      </c>
      <c r="GD20">
        <v>1472.4586078631701</v>
      </c>
      <c r="GE20">
        <v>1486.5208945376601</v>
      </c>
      <c r="GF20">
        <v>1480.54447459882</v>
      </c>
      <c r="GG20">
        <v>1476.8833875908899</v>
      </c>
      <c r="GH20">
        <v>1476.95995040448</v>
      </c>
      <c r="GI20">
        <v>1477.0365171871599</v>
      </c>
      <c r="GJ20">
        <v>1476.54605530498</v>
      </c>
      <c r="GK20">
        <v>1479.39617172513</v>
      </c>
      <c r="GL20">
        <v>1479.47286480346</v>
      </c>
      <c r="GM20">
        <v>1479.5495618576199</v>
      </c>
      <c r="GN20">
        <v>1479.6262628878201</v>
      </c>
      <c r="GO20">
        <v>1483.5633563557501</v>
      </c>
      <c r="GP20">
        <v>1483.64026546426</v>
      </c>
      <c r="GQ20">
        <v>1483.7171785598</v>
      </c>
      <c r="GR20">
        <v>1483.79409564257</v>
      </c>
      <c r="GS20">
        <v>1483.8710167127899</v>
      </c>
      <c r="GT20">
        <v>1483.94794177065</v>
      </c>
      <c r="GU20">
        <v>1483.12689429737</v>
      </c>
      <c r="GV20">
        <v>1483.1529540742099</v>
      </c>
      <c r="GW20">
        <v>1483.1790143089399</v>
      </c>
      <c r="GX20">
        <v>1483.2050750015701</v>
      </c>
      <c r="GY20">
        <v>1482.50886536184</v>
      </c>
      <c r="GZ20">
        <v>1482.5349142794</v>
      </c>
      <c r="HA20">
        <v>1482.5609636546501</v>
      </c>
      <c r="HB20">
        <v>1482.58701348762</v>
      </c>
      <c r="HC20">
        <v>1482.7544349094701</v>
      </c>
      <c r="HD20">
        <v>1482.7804881418899</v>
      </c>
      <c r="HE20">
        <v>1482.80654183208</v>
      </c>
      <c r="HF20">
        <v>1483.1764630764401</v>
      </c>
      <c r="HG20">
        <v>1483.2025237242401</v>
      </c>
      <c r="HH20">
        <v>1483.22858482995</v>
      </c>
      <c r="HI20">
        <v>1483.2546463935801</v>
      </c>
      <c r="HJ20">
        <v>1483.28070841513</v>
      </c>
      <c r="HK20">
        <v>1483.30114299257</v>
      </c>
      <c r="HL20">
        <v>1483.3272058311099</v>
      </c>
      <c r="HM20">
        <v>1483.35326912759</v>
      </c>
      <c r="HN20">
        <v>1482.1066546975801</v>
      </c>
      <c r="HO20">
        <v>1477.4154596051001</v>
      </c>
      <c r="HP20">
        <v>1470.53013832899</v>
      </c>
      <c r="HQ20">
        <v>1468.6475490668299</v>
      </c>
      <c r="HR20">
        <v>1462.6515779461499</v>
      </c>
      <c r="HS20">
        <v>1467.2575149207501</v>
      </c>
      <c r="HT20">
        <v>1467.2832958593499</v>
      </c>
      <c r="HU20">
        <v>1467.3090772509499</v>
      </c>
      <c r="HV20">
        <v>1467.33485909554</v>
      </c>
      <c r="HW20">
        <v>1467.36064139315</v>
      </c>
      <c r="HX20">
        <v>1467.7670784116899</v>
      </c>
      <c r="HY20">
        <v>1465.3980189730701</v>
      </c>
      <c r="HZ20">
        <v>1464.1991139444001</v>
      </c>
      <c r="IA20">
        <v>1460.15200024312</v>
      </c>
      <c r="IB20">
        <v>1472.3467394529</v>
      </c>
      <c r="IC20">
        <v>1465.10457040906</v>
      </c>
      <c r="ID20">
        <v>1467.8531814570199</v>
      </c>
      <c r="IE20">
        <v>1468.12175659424</v>
      </c>
      <c r="IF20">
        <v>1468.1475527182899</v>
      </c>
      <c r="IG20">
        <v>1468.1733492956</v>
      </c>
      <c r="IH20">
        <v>1468.19914632618</v>
      </c>
      <c r="II20">
        <v>1467.1899463751099</v>
      </c>
      <c r="IJ20">
        <v>1467.2157261264799</v>
      </c>
      <c r="IK20">
        <v>1466.43844503729</v>
      </c>
      <c r="IL20">
        <v>1474.4188875024099</v>
      </c>
      <c r="IM20">
        <v>1474.4520805033301</v>
      </c>
      <c r="IN20">
        <v>1474.47798785645</v>
      </c>
      <c r="IO20">
        <v>1474.50389566479</v>
      </c>
      <c r="IP20">
        <v>1475.40143595064</v>
      </c>
      <c r="IQ20">
        <v>1475.4273599847299</v>
      </c>
      <c r="IR20">
        <v>1475.4532844743301</v>
      </c>
      <c r="IS20">
        <v>1476.4775303050701</v>
      </c>
      <c r="IT20">
        <v>1476.5034732470299</v>
      </c>
      <c r="IU20">
        <v>1476.52941664484</v>
      </c>
      <c r="IV20">
        <v>1476.55536049849</v>
      </c>
      <c r="IW20">
        <v>1476.0140348327</v>
      </c>
      <c r="IX20">
        <v>1473.4997375702301</v>
      </c>
      <c r="IY20">
        <v>1473.8065880399799</v>
      </c>
      <c r="IZ20">
        <v>1472.46232029883</v>
      </c>
      <c r="JA20">
        <v>1477.1338951468499</v>
      </c>
      <c r="JB20">
        <v>1477.1598496217</v>
      </c>
      <c r="JC20">
        <v>1477.1858045525801</v>
      </c>
      <c r="JD20">
        <v>1477.11463659378</v>
      </c>
      <c r="JE20">
        <v>1482.9312218323801</v>
      </c>
      <c r="JF20">
        <v>1487.2507322563899</v>
      </c>
      <c r="JG20">
        <v>1487.31090680735</v>
      </c>
      <c r="JH20">
        <v>1487.3370401007801</v>
      </c>
      <c r="JI20">
        <v>1487.3631738534</v>
      </c>
      <c r="JJ20">
        <v>1487.3893080652001</v>
      </c>
      <c r="JK20">
        <v>1487.4154427362</v>
      </c>
      <c r="JL20">
        <v>1487.16335965959</v>
      </c>
      <c r="JM20">
        <v>1487.1894903605</v>
      </c>
      <c r="JN20">
        <v>1487.21562152054</v>
      </c>
      <c r="JO20">
        <v>1487.24175313972</v>
      </c>
      <c r="JP20">
        <v>1487.26788521806</v>
      </c>
      <c r="JQ20">
        <v>1487.2940177555699</v>
      </c>
      <c r="JR20">
        <v>1487.3201507522399</v>
      </c>
      <c r="JS20">
        <v>1487.3462842080901</v>
      </c>
      <c r="JT20">
        <v>1483.3162077868601</v>
      </c>
      <c r="JU20">
        <v>1476.6780874040801</v>
      </c>
      <c r="JV20">
        <v>1488.3041489811401</v>
      </c>
      <c r="JW20">
        <v>1489.1914317442699</v>
      </c>
      <c r="JX20">
        <v>1488.83168511022</v>
      </c>
      <c r="JY20">
        <v>1487.6076608404201</v>
      </c>
      <c r="JZ20">
        <v>1482.5397348593999</v>
      </c>
      <c r="KA20">
        <v>1477.43299576399</v>
      </c>
      <c r="KB20">
        <v>1478.34203692353</v>
      </c>
      <c r="KC20">
        <v>1462.04554091352</v>
      </c>
      <c r="KD20">
        <v>1480.8057256974</v>
      </c>
      <c r="KE20">
        <v>1471.06354080242</v>
      </c>
      <c r="KF20">
        <v>1228.5171231709101</v>
      </c>
      <c r="KG20">
        <v>1213.4922879876799</v>
      </c>
      <c r="KH20">
        <v>1226.0832241964499</v>
      </c>
      <c r="KI20">
        <v>1216.4214451098201</v>
      </c>
      <c r="KJ20">
        <v>1225.82851499354</v>
      </c>
      <c r="KK20">
        <v>1237.73354435693</v>
      </c>
      <c r="KL20">
        <v>1247.3357688764499</v>
      </c>
      <c r="KM20">
        <v>1246.60760419601</v>
      </c>
      <c r="KN20">
        <v>1246.90607246544</v>
      </c>
      <c r="KO20">
        <v>1246.98558304572</v>
      </c>
      <c r="KP20">
        <v>1247.4065110214301</v>
      </c>
      <c r="KQ20">
        <v>1247.4284289944901</v>
      </c>
      <c r="KR20">
        <v>1247.4503473526599</v>
      </c>
      <c r="KS20">
        <v>1247.4722660959501</v>
      </c>
      <c r="KT20">
        <v>1247.5907905256099</v>
      </c>
      <c r="KU20">
        <v>1247.61271173661</v>
      </c>
      <c r="KV20">
        <v>1247.6346333327799</v>
      </c>
      <c r="KW20">
        <v>1247.65655531414</v>
      </c>
      <c r="KX20">
        <v>1244.9340592920501</v>
      </c>
      <c r="KY20">
        <v>1247.86765969311</v>
      </c>
      <c r="KZ20">
        <v>1247.8895857689299</v>
      </c>
      <c r="LA20">
        <v>1247.91151223001</v>
      </c>
      <c r="LB20">
        <v>1249.7040497569801</v>
      </c>
      <c r="LC20">
        <v>1249.7260080997</v>
      </c>
      <c r="LD20">
        <v>1249.7479668282499</v>
      </c>
      <c r="LE20">
        <v>1249.7699259426399</v>
      </c>
      <c r="LF20">
        <v>1251.2270412545899</v>
      </c>
      <c r="LG20">
        <v>1251.2490263575501</v>
      </c>
      <c r="LH20">
        <v>1251.0733932806199</v>
      </c>
      <c r="LI20">
        <v>1258.1095523106601</v>
      </c>
      <c r="LJ20">
        <v>1258.13165834507</v>
      </c>
      <c r="LK20">
        <v>1260.8035772154501</v>
      </c>
      <c r="LL20">
        <v>1259.2291697312301</v>
      </c>
      <c r="LM20">
        <v>1259.2512954382601</v>
      </c>
      <c r="LN20">
        <v>1258.2783334891701</v>
      </c>
      <c r="LO20">
        <v>1259.25417945498</v>
      </c>
      <c r="LP20">
        <v>1259.2763056014501</v>
      </c>
      <c r="LQ20">
        <v>1259.2984321367001</v>
      </c>
    </row>
    <row r="21" spans="1:329" x14ac:dyDescent="0.2">
      <c r="A21">
        <v>1.5187948758513701</v>
      </c>
      <c r="B21" s="70">
        <v>-0.78851224664153297</v>
      </c>
      <c r="C21">
        <v>0.81575912129239803</v>
      </c>
      <c r="D21">
        <v>0</v>
      </c>
      <c r="E21">
        <v>0.17083484713579999</v>
      </c>
      <c r="F21">
        <v>1.6324456575985E-2</v>
      </c>
      <c r="G21">
        <f>SQRT(Calcs!J22)</f>
        <v>0.2413999215853305</v>
      </c>
      <c r="H21" s="84">
        <f t="shared" si="0"/>
        <v>-7.0565074449530502E-2</v>
      </c>
      <c r="I21" s="71">
        <f>LN(Calcs!L23/Calcs!L22)</f>
        <v>-1.8906114745851809E-2</v>
      </c>
      <c r="J21" s="76">
        <f t="shared" si="1"/>
        <v>-3.5230571321836809E-2</v>
      </c>
      <c r="K21" s="72">
        <v>1548.1694148331501</v>
      </c>
      <c r="L21" s="72">
        <f t="shared" si="3"/>
        <v>1565.2037330506537</v>
      </c>
      <c r="M21" s="75">
        <f t="shared" si="2"/>
        <v>-17.034318217503596</v>
      </c>
    </row>
    <row r="22" spans="1:329" x14ac:dyDescent="0.2">
      <c r="A22">
        <v>-1.01808374497224</v>
      </c>
      <c r="B22" s="70">
        <v>0.67596154272892495</v>
      </c>
      <c r="C22">
        <v>0.89867001044635997</v>
      </c>
      <c r="D22">
        <v>0</v>
      </c>
      <c r="E22">
        <v>0.14857610474767199</v>
      </c>
      <c r="F22">
        <v>-9.5347434051147595E-3</v>
      </c>
      <c r="G22">
        <f>SQRT(Calcs!J23)</f>
        <v>0.23664173719419093</v>
      </c>
      <c r="H22" s="84">
        <f t="shared" si="0"/>
        <v>-8.8065632446518938E-2</v>
      </c>
      <c r="I22" s="71">
        <f>LN(Calcs!L24/Calcs!L23)</f>
        <v>-6.6765687415959261E-3</v>
      </c>
      <c r="J22" s="76">
        <f t="shared" si="1"/>
        <v>2.8581746635188334E-3</v>
      </c>
      <c r="K22" s="72">
        <v>1548.1746017820001</v>
      </c>
      <c r="L22" s="72">
        <f t="shared" si="3"/>
        <v>1550.3508388712287</v>
      </c>
      <c r="M22" s="75">
        <f t="shared" si="2"/>
        <v>-2.1762370892286071</v>
      </c>
    </row>
    <row r="23" spans="1:329" x14ac:dyDescent="0.2">
      <c r="A23">
        <v>1.44180903245106</v>
      </c>
      <c r="B23" s="70">
        <v>-1.42931362612353</v>
      </c>
      <c r="C23">
        <v>-0.65024945312305604</v>
      </c>
      <c r="D23">
        <v>0</v>
      </c>
      <c r="E23">
        <v>0.164252024449211</v>
      </c>
      <c r="F23">
        <v>1.4902455877256899E-2</v>
      </c>
      <c r="G23">
        <f>SQRT(Calcs!J24)</f>
        <v>0.25615946290153802</v>
      </c>
      <c r="H23" s="84">
        <f>E23-G23</f>
        <v>-9.1907438452327017E-2</v>
      </c>
      <c r="I23" s="71">
        <f>LN(Calcs!L25/Calcs!L24)</f>
        <v>2.3029761981591707E-2</v>
      </c>
      <c r="J23" s="76">
        <f t="shared" si="1"/>
        <v>8.1273061043348072E-3</v>
      </c>
      <c r="K23" s="72">
        <v>1553.1342720918999</v>
      </c>
      <c r="L23" s="72">
        <f t="shared" si="3"/>
        <v>1573.6278856378303</v>
      </c>
      <c r="M23" s="75">
        <f t="shared" si="2"/>
        <v>-20.49361354593043</v>
      </c>
    </row>
    <row r="24" spans="1:329" x14ac:dyDescent="0.2">
      <c r="A24">
        <v>1.5215459940362599</v>
      </c>
      <c r="B24" s="70">
        <v>-0.56118308812662798</v>
      </c>
      <c r="C24">
        <v>-0.37698975189185902</v>
      </c>
      <c r="D24">
        <v>0</v>
      </c>
      <c r="E24">
        <v>0.12518134351917901</v>
      </c>
      <c r="F24">
        <v>1.2005062064815599E-2</v>
      </c>
      <c r="G24">
        <f>SQRT(Calcs!J25)</f>
        <v>0.19839591992964165</v>
      </c>
      <c r="H24" s="84">
        <f t="shared" si="0"/>
        <v>-7.321457641046264E-2</v>
      </c>
      <c r="I24" s="71">
        <f>LN(Calcs!L26/Calcs!L25)</f>
        <v>-2.113847397631566E-3</v>
      </c>
      <c r="J24" s="76">
        <f t="shared" si="1"/>
        <v>-1.4118909462447166E-2</v>
      </c>
      <c r="K24" s="72">
        <v>1553.13947567488</v>
      </c>
      <c r="L24" s="72">
        <f t="shared" si="3"/>
        <v>1592.6332380332387</v>
      </c>
      <c r="M24" s="75">
        <f t="shared" si="2"/>
        <v>-39.493762358358708</v>
      </c>
    </row>
    <row r="25" spans="1:329" x14ac:dyDescent="0.2">
      <c r="A25">
        <v>1.39033712146357</v>
      </c>
      <c r="B25" s="70">
        <v>-0.82478722140731398</v>
      </c>
      <c r="C25">
        <v>1.6404032080175199</v>
      </c>
      <c r="D25">
        <v>0</v>
      </c>
      <c r="E25">
        <v>0.10828119573146899</v>
      </c>
      <c r="F25">
        <v>9.4980531594531202E-3</v>
      </c>
      <c r="G25">
        <f>SQRT(Calcs!J26)</f>
        <v>0.16613992312233516</v>
      </c>
      <c r="H25" s="84">
        <f t="shared" si="0"/>
        <v>-5.7858727390866171E-2</v>
      </c>
      <c r="I25" s="71">
        <f>LN(Calcs!L27/Calcs!L26)</f>
        <v>-1.3052190997429771E-2</v>
      </c>
      <c r="J25" s="76">
        <f t="shared" si="1"/>
        <v>-2.2550244156882893E-2</v>
      </c>
      <c r="K25" s="72">
        <v>1558.3596602305299</v>
      </c>
      <c r="L25" s="72">
        <f t="shared" si="3"/>
        <v>1607.8322192956032</v>
      </c>
      <c r="M25" s="75">
        <f t="shared" si="2"/>
        <v>-49.472559065073256</v>
      </c>
    </row>
    <row r="26" spans="1:329" x14ac:dyDescent="0.2">
      <c r="A26">
        <v>-0.19466440639579</v>
      </c>
      <c r="B26" s="70">
        <v>1.20635835419064</v>
      </c>
      <c r="C26">
        <v>1.0234492785821701</v>
      </c>
      <c r="D26">
        <v>0</v>
      </c>
      <c r="E26">
        <v>8.3997446292130101E-2</v>
      </c>
      <c r="F26">
        <v>-1.00631100539755E-3</v>
      </c>
      <c r="G26">
        <f>SQRT(Calcs!J27)</f>
        <v>0.16756326087571694</v>
      </c>
      <c r="H26" s="84">
        <f t="shared" si="0"/>
        <v>-8.3565814583586834E-2</v>
      </c>
      <c r="I26" s="71">
        <f>LN(Calcs!L28/Calcs!L27)</f>
        <v>1.259230880559282E-3</v>
      </c>
      <c r="J26" s="76">
        <f t="shared" si="1"/>
        <v>2.265541885956832E-3</v>
      </c>
      <c r="K26" s="72">
        <v>1558.36488132052</v>
      </c>
      <c r="L26" s="72">
        <f t="shared" si="3"/>
        <v>1606.2150538606509</v>
      </c>
      <c r="M26" s="75">
        <f t="shared" si="2"/>
        <v>-47.85017254013087</v>
      </c>
    </row>
    <row r="27" spans="1:329" x14ac:dyDescent="0.2">
      <c r="A27">
        <v>-0.42549919496126698</v>
      </c>
      <c r="B27" s="70">
        <v>-8.8298377178814502E-2</v>
      </c>
      <c r="C27">
        <v>0.280632311159147</v>
      </c>
      <c r="D27">
        <v>0</v>
      </c>
      <c r="E27">
        <v>0.11279793754946001</v>
      </c>
      <c r="F27">
        <v>-3.0109487494311199E-3</v>
      </c>
      <c r="G27">
        <f>SQRT(Calcs!J28)</f>
        <v>0.19007424290050889</v>
      </c>
      <c r="H27" s="84">
        <f t="shared" si="0"/>
        <v>-7.7276305351048888E-2</v>
      </c>
      <c r="I27" s="71">
        <f>LN(Calcs!L29/Calcs!L28)</f>
        <v>1.3392617799818426E-2</v>
      </c>
      <c r="J27" s="76">
        <f t="shared" si="1"/>
        <v>1.6403566549249547E-2</v>
      </c>
      <c r="K27" s="72">
        <v>1558.3701024280099</v>
      </c>
      <c r="L27" s="72">
        <f t="shared" si="3"/>
        <v>1601.3860961731682</v>
      </c>
      <c r="M27" s="75">
        <f t="shared" si="2"/>
        <v>-43.015993745158312</v>
      </c>
    </row>
    <row r="28" spans="1:329" x14ac:dyDescent="0.2">
      <c r="A28">
        <v>1.67768431201393</v>
      </c>
      <c r="B28" s="70">
        <v>-1.37438842292651</v>
      </c>
      <c r="C28">
        <v>-0.65495804087140297</v>
      </c>
      <c r="D28">
        <v>0</v>
      </c>
      <c r="E28">
        <v>0.108107341025656</v>
      </c>
      <c r="F28">
        <v>1.1439770613224201E-2</v>
      </c>
      <c r="G28">
        <f>SQRT(Calcs!J29)</f>
        <v>0.18553710547744912</v>
      </c>
      <c r="H28" s="84">
        <f t="shared" si="0"/>
        <v>-7.7429764451793115E-2</v>
      </c>
      <c r="I28" s="71">
        <f>LN(Calcs!L30/Calcs!L29)</f>
        <v>7.2314007533201127E-3</v>
      </c>
      <c r="J28" s="76">
        <f t="shared" si="1"/>
        <v>-4.208369859904088E-3</v>
      </c>
      <c r="K28" s="72">
        <v>1558.37532355298</v>
      </c>
      <c r="L28" s="72">
        <f t="shared" si="3"/>
        <v>1619.8107718749479</v>
      </c>
      <c r="M28" s="75">
        <f t="shared" si="2"/>
        <v>-61.435448321967897</v>
      </c>
    </row>
    <row r="29" spans="1:329" x14ac:dyDescent="0.2">
      <c r="A29">
        <v>0.81755647013676302</v>
      </c>
      <c r="B29" s="70">
        <v>0.31981275222623001</v>
      </c>
      <c r="C29">
        <v>0.29649396173868398</v>
      </c>
      <c r="D29">
        <v>0</v>
      </c>
      <c r="E29">
        <v>6.9055530063287296E-2</v>
      </c>
      <c r="F29">
        <v>3.5847062258574898E-3</v>
      </c>
      <c r="G29">
        <f>SQRT(Calcs!J30)</f>
        <v>0.15252686465024523</v>
      </c>
      <c r="H29" s="84">
        <f t="shared" si="0"/>
        <v>-8.3471334586957935E-2</v>
      </c>
      <c r="I29" s="71">
        <f>LN(Calcs!L31/Calcs!L30)</f>
        <v>-4.9779013882086586E-3</v>
      </c>
      <c r="J29" s="76">
        <f t="shared" si="1"/>
        <v>-8.5626076140661485E-3</v>
      </c>
      <c r="K29" s="72">
        <v>1560.09650060279</v>
      </c>
      <c r="L29" s="72">
        <f t="shared" si="3"/>
        <v>1625.6277374609181</v>
      </c>
      <c r="M29" s="75">
        <f t="shared" si="2"/>
        <v>-65.531236858128068</v>
      </c>
    </row>
    <row r="30" spans="1:329" x14ac:dyDescent="0.2">
      <c r="A30">
        <v>0.48089460535293999</v>
      </c>
      <c r="B30" s="70">
        <v>-1.1576360144489</v>
      </c>
      <c r="C30">
        <v>-0.19469173330808001</v>
      </c>
      <c r="D30">
        <v>0</v>
      </c>
      <c r="E30">
        <v>7.3984372688817704E-2</v>
      </c>
      <c r="F30">
        <v>2.2681100862492198E-3</v>
      </c>
      <c r="G30">
        <f>SQRT(Calcs!J31)</f>
        <v>0.20778408246995894</v>
      </c>
      <c r="H30" s="84">
        <f t="shared" si="0"/>
        <v>-0.13379970978114125</v>
      </c>
      <c r="I30" s="71">
        <f>LN(Calcs!L32/Calcs!L31)</f>
        <v>-8.9472094255860755E-4</v>
      </c>
      <c r="J30" s="76">
        <f t="shared" si="1"/>
        <v>-3.1628310288078273E-3</v>
      </c>
      <c r="K30" s="72">
        <v>1560.10172751185</v>
      </c>
      <c r="L30" s="72">
        <f t="shared" si="3"/>
        <v>1629.3190246691827</v>
      </c>
      <c r="M30" s="75">
        <f t="shared" si="2"/>
        <v>-69.217297157332723</v>
      </c>
    </row>
    <row r="31" spans="1:329" x14ac:dyDescent="0.2">
      <c r="A31">
        <v>-0.51747580531538195</v>
      </c>
      <c r="B31" s="70">
        <v>1.1769573285642501</v>
      </c>
      <c r="C31">
        <v>-5.8248206041269103E-2</v>
      </c>
      <c r="D31">
        <v>0</v>
      </c>
      <c r="E31">
        <v>3.8120021835534902E-2</v>
      </c>
      <c r="F31">
        <v>-1.2077922664363899E-3</v>
      </c>
      <c r="G31">
        <f>SQRT(Calcs!J32)</f>
        <v>0.19779090186636236</v>
      </c>
      <c r="H31" s="84">
        <f t="shared" si="0"/>
        <v>-0.15967088003082747</v>
      </c>
      <c r="I31" s="71">
        <f>LN(Calcs!L33/Calcs!L32)</f>
        <v>2.226876557709658E-3</v>
      </c>
      <c r="J31" s="76">
        <f t="shared" si="1"/>
        <v>3.4346688241460479E-3</v>
      </c>
      <c r="K31" s="72">
        <v>1560.10695443842</v>
      </c>
      <c r="L31" s="72">
        <f t="shared" si="3"/>
        <v>1627.3523336677983</v>
      </c>
      <c r="M31" s="75">
        <f t="shared" si="2"/>
        <v>-67.245379229378386</v>
      </c>
    </row>
    <row r="32" spans="1:329" x14ac:dyDescent="0.2">
      <c r="A32">
        <v>-1.2200949971459201</v>
      </c>
      <c r="B32" s="70">
        <v>0.88004734344713997</v>
      </c>
      <c r="C32">
        <v>1.9639964024701</v>
      </c>
      <c r="D32">
        <v>0</v>
      </c>
      <c r="E32">
        <v>6.4740560557281099E-2</v>
      </c>
      <c r="F32">
        <v>-4.9464713406415801E-3</v>
      </c>
      <c r="G32">
        <f>SQRT(Calcs!J33)</f>
        <v>0.20945591414658724</v>
      </c>
      <c r="H32" s="84">
        <f t="shared" si="0"/>
        <v>-0.14471535358930615</v>
      </c>
      <c r="I32" s="71">
        <f>LN(Calcs!L34/Calcs!L33)</f>
        <v>-2.9581924267950196E-3</v>
      </c>
      <c r="J32" s="76">
        <f t="shared" si="1"/>
        <v>1.9882789138465605E-3</v>
      </c>
      <c r="K32" s="72">
        <v>1560.1121813825</v>
      </c>
      <c r="L32" s="72">
        <f t="shared" si="3"/>
        <v>1619.3225578884906</v>
      </c>
      <c r="M32" s="75">
        <f t="shared" si="2"/>
        <v>-59.210376505990553</v>
      </c>
    </row>
    <row r="33" spans="1:13" x14ac:dyDescent="0.2">
      <c r="A33">
        <v>3.78279935788334E-3</v>
      </c>
      <c r="B33" s="70">
        <v>0.52883336912073098</v>
      </c>
      <c r="C33">
        <v>0.31417001010850998</v>
      </c>
      <c r="D33">
        <v>0</v>
      </c>
      <c r="E33">
        <v>8.4486593444952601E-2</v>
      </c>
      <c r="F33">
        <v>4.3694022289367602E-5</v>
      </c>
      <c r="G33">
        <f>SQRT(Calcs!J34)</f>
        <v>0.20805866666179751</v>
      </c>
      <c r="H33" s="84">
        <f t="shared" si="0"/>
        <v>-0.12357207321684491</v>
      </c>
      <c r="I33" s="71">
        <f>LN(Calcs!L35/Calcs!L34)</f>
        <v>-7.5222470532025961E-3</v>
      </c>
      <c r="J33" s="76">
        <f t="shared" si="1"/>
        <v>-7.5659410754919639E-3</v>
      </c>
      <c r="K33" s="72">
        <v>1560.1174083441001</v>
      </c>
      <c r="L33" s="72">
        <f t="shared" si="3"/>
        <v>1619.3933141502305</v>
      </c>
      <c r="M33" s="75">
        <f t="shared" si="2"/>
        <v>-59.275905806130368</v>
      </c>
    </row>
    <row r="34" spans="1:13" x14ac:dyDescent="0.2">
      <c r="A34">
        <v>1.0430765798955099</v>
      </c>
      <c r="B34" s="70">
        <v>0.103058726863128</v>
      </c>
      <c r="C34">
        <v>9.8048082777014198E-2</v>
      </c>
      <c r="D34">
        <v>0</v>
      </c>
      <c r="E34">
        <v>9.5465112989922801E-2</v>
      </c>
      <c r="F34">
        <v>6.2924295991338402E-3</v>
      </c>
      <c r="G34">
        <f>SQRT(Calcs!J35)</f>
        <v>0.25980969003292803</v>
      </c>
      <c r="H34" s="84">
        <f t="shared" si="0"/>
        <v>-0.16434457704300523</v>
      </c>
      <c r="I34" s="71">
        <f>LN(Calcs!L36/Calcs!L35)</f>
        <v>-2.5447968535960198E-2</v>
      </c>
      <c r="J34" s="76">
        <f t="shared" si="1"/>
        <v>-3.1740398135094036E-2</v>
      </c>
      <c r="K34" s="72">
        <v>1562.51792169437</v>
      </c>
      <c r="L34" s="72">
        <f t="shared" si="3"/>
        <v>1629.6153595953022</v>
      </c>
      <c r="M34" s="75">
        <f t="shared" si="2"/>
        <v>-67.097437900932164</v>
      </c>
    </row>
    <row r="35" spans="1:13" x14ac:dyDescent="0.2">
      <c r="A35">
        <v>-0.95560570530264499</v>
      </c>
      <c r="B35" s="70">
        <v>0.29324792445277698</v>
      </c>
      <c r="C35">
        <v>0.23556103669082101</v>
      </c>
      <c r="D35">
        <v>0</v>
      </c>
      <c r="E35">
        <v>9.5453998705542498E-2</v>
      </c>
      <c r="F35">
        <v>-5.7264464558100404E-3</v>
      </c>
      <c r="G35">
        <f>SQRT(Calcs!J36)</f>
        <v>0.25811718903106251</v>
      </c>
      <c r="H35" s="84">
        <f t="shared" si="0"/>
        <v>-0.16266319032552001</v>
      </c>
      <c r="I35" s="71">
        <f>LN(Calcs!L37/Calcs!L36)</f>
        <v>-2.4212121875081321E-3</v>
      </c>
      <c r="J35" s="76">
        <f t="shared" si="1"/>
        <v>3.3052342683019082E-3</v>
      </c>
      <c r="K35" s="72">
        <v>1559.86354878311</v>
      </c>
      <c r="L35" s="72">
        <f t="shared" si="3"/>
        <v>1620.3101228931237</v>
      </c>
      <c r="M35" s="75">
        <f t="shared" si="2"/>
        <v>-60.446574110013671</v>
      </c>
    </row>
    <row r="36" spans="1:13" x14ac:dyDescent="0.2">
      <c r="A36">
        <v>-0.73805144855348204</v>
      </c>
      <c r="B36" s="70">
        <v>0.75821041382999999</v>
      </c>
      <c r="C36">
        <v>1.0919477561734301</v>
      </c>
      <c r="D36">
        <v>0</v>
      </c>
      <c r="E36">
        <v>0.100464005556453</v>
      </c>
      <c r="F36">
        <v>-4.6531618453020604E-3</v>
      </c>
      <c r="G36">
        <f>SQRT(Calcs!J37)</f>
        <v>0.26090089081647577</v>
      </c>
      <c r="H36" s="84">
        <f t="shared" si="0"/>
        <v>-0.16043688526002275</v>
      </c>
      <c r="I36" s="71">
        <f>LN(Calcs!L38/Calcs!L37)</f>
        <v>-4.0099244224843698E-2</v>
      </c>
      <c r="J36" s="76">
        <f t="shared" si="1"/>
        <v>-3.5446082379541638E-2</v>
      </c>
      <c r="K36" s="72">
        <v>1558.3449444922001</v>
      </c>
      <c r="L36" s="72">
        <f t="shared" si="3"/>
        <v>1612.7880718843264</v>
      </c>
      <c r="M36" s="75">
        <f t="shared" si="2"/>
        <v>-54.443127392126371</v>
      </c>
    </row>
    <row r="37" spans="1:13" x14ac:dyDescent="0.2">
      <c r="A37">
        <v>-0.36286982829248099</v>
      </c>
      <c r="B37" s="70">
        <v>0.48155092345707601</v>
      </c>
      <c r="C37">
        <v>1.4646637305614001</v>
      </c>
      <c r="D37">
        <v>0</v>
      </c>
      <c r="E37">
        <v>0.117782377118021</v>
      </c>
      <c r="F37">
        <v>-2.68214733229939E-3</v>
      </c>
      <c r="G37">
        <f>SQRT(Calcs!J38)</f>
        <v>0.29921501939072676</v>
      </c>
      <c r="H37" s="84">
        <f t="shared" si="0"/>
        <v>-0.18143264227270575</v>
      </c>
      <c r="I37" s="71">
        <f>LN(Calcs!L39/Calcs!L38)</f>
        <v>3.4867810826651129E-2</v>
      </c>
      <c r="J37" s="76">
        <f t="shared" si="1"/>
        <v>3.7549958158950521E-2</v>
      </c>
      <c r="K37" s="72">
        <v>1557.6780696906301</v>
      </c>
      <c r="L37" s="72">
        <f t="shared" si="3"/>
        <v>1608.4681326063351</v>
      </c>
      <c r="M37" s="75">
        <f t="shared" si="2"/>
        <v>-50.790062915704993</v>
      </c>
    </row>
    <row r="38" spans="1:13" x14ac:dyDescent="0.2">
      <c r="A38">
        <v>1.5078781080360499</v>
      </c>
      <c r="B38" s="70">
        <v>-2.9182543325029502</v>
      </c>
      <c r="C38">
        <v>-0.23685485977453499</v>
      </c>
      <c r="D38">
        <v>0</v>
      </c>
      <c r="E38">
        <v>0.12810273597534599</v>
      </c>
      <c r="F38">
        <v>1.2173308755102299E-2</v>
      </c>
      <c r="G38">
        <f>SQRT(Calcs!J39)</f>
        <v>0.22394345964842519</v>
      </c>
      <c r="H38" s="84">
        <f t="shared" si="0"/>
        <v>-9.5840723673079192E-2</v>
      </c>
      <c r="I38" s="71">
        <f>LN(Calcs!L40/Calcs!L39)</f>
        <v>1.86217763182395E-2</v>
      </c>
      <c r="J38" s="76">
        <f t="shared" si="1"/>
        <v>6.4484675631372012E-3</v>
      </c>
      <c r="K38" s="72">
        <v>1557.6832884970399</v>
      </c>
      <c r="L38" s="72">
        <f t="shared" si="3"/>
        <v>1628.1681758843436</v>
      </c>
      <c r="M38" s="75">
        <f t="shared" si="2"/>
        <v>-70.484887387303615</v>
      </c>
    </row>
    <row r="39" spans="1:13" x14ac:dyDescent="0.2">
      <c r="A39">
        <v>2.4290638899639099</v>
      </c>
      <c r="B39" s="70">
        <v>-1.12855075979409</v>
      </c>
      <c r="C39">
        <v>-0.66086637019479499</v>
      </c>
      <c r="D39">
        <v>0</v>
      </c>
      <c r="E39">
        <v>4.7652059158198798E-2</v>
      </c>
      <c r="F39">
        <v>7.3247767358805499E-3</v>
      </c>
      <c r="G39">
        <f>SQRT(Calcs!J40)</f>
        <v>0.21979084199225288</v>
      </c>
      <c r="H39" s="84">
        <f t="shared" si="0"/>
        <v>-0.17213878283405409</v>
      </c>
      <c r="I39" s="71">
        <f>LN(Calcs!L41/Calcs!L40)</f>
        <v>1.7657026841095515E-2</v>
      </c>
      <c r="J39" s="76">
        <f t="shared" si="1"/>
        <v>1.0332250105214966E-2</v>
      </c>
      <c r="K39" s="72">
        <v>1559.42767657475</v>
      </c>
      <c r="L39" s="72">
        <f t="shared" si="3"/>
        <v>1640.1379286273052</v>
      </c>
      <c r="M39" s="75">
        <f t="shared" si="2"/>
        <v>-80.710252052555234</v>
      </c>
    </row>
    <row r="40" spans="1:13" x14ac:dyDescent="0.2">
      <c r="A40">
        <v>0.438211027225125</v>
      </c>
      <c r="B40" s="70">
        <v>-4.3290985049512801E-2</v>
      </c>
      <c r="C40">
        <v>1.8020846236271</v>
      </c>
      <c r="D40">
        <v>0</v>
      </c>
      <c r="E40">
        <v>0</v>
      </c>
      <c r="F40">
        <v>3.7724044891802102E-5</v>
      </c>
      <c r="G40">
        <f>SQRT(Calcs!J41)</f>
        <v>0.19299495859024737</v>
      </c>
      <c r="H40" s="84">
        <f t="shared" si="0"/>
        <v>-0.19299495859024737</v>
      </c>
      <c r="I40" s="71">
        <f>LN(Calcs!L42/Calcs!L41)</f>
        <v>6.2200311220742387E-3</v>
      </c>
      <c r="J40" s="76">
        <f t="shared" si="1"/>
        <v>6.1823070771824364E-3</v>
      </c>
      <c r="K40" s="72">
        <v>1560.91058123983</v>
      </c>
      <c r="L40" s="72">
        <f t="shared" si="3"/>
        <v>1640.1998024312111</v>
      </c>
      <c r="M40" s="75">
        <f t="shared" si="2"/>
        <v>-79.289221191381102</v>
      </c>
    </row>
    <row r="41" spans="1:13" x14ac:dyDescent="0.2">
      <c r="A41">
        <v>1.2764589397186099</v>
      </c>
      <c r="B41" s="70">
        <v>-1.2460328479757501</v>
      </c>
      <c r="C41">
        <v>-0.55852143710066604</v>
      </c>
      <c r="D41">
        <v>0</v>
      </c>
      <c r="E41">
        <v>0</v>
      </c>
      <c r="F41">
        <v>3.7724044891802102E-5</v>
      </c>
      <c r="G41">
        <f>SQRT(Calcs!J42)</f>
        <v>0.17853020435770164</v>
      </c>
      <c r="H41" s="84">
        <f t="shared" si="0"/>
        <v>-0.17853020435770164</v>
      </c>
      <c r="I41" s="71">
        <f>LN(Calcs!L43/Calcs!L42)</f>
        <v>-4.5641522299244108E-4</v>
      </c>
      <c r="J41" s="76">
        <f t="shared" si="1"/>
        <v>-4.9413926788424321E-4</v>
      </c>
      <c r="K41" s="72">
        <v>1560.91581087637</v>
      </c>
      <c r="L41" s="72">
        <f t="shared" si="3"/>
        <v>1640.2616785692912</v>
      </c>
      <c r="M41" s="75">
        <f t="shared" si="2"/>
        <v>-79.345867692921274</v>
      </c>
    </row>
    <row r="42" spans="1:13" x14ac:dyDescent="0.2">
      <c r="A42">
        <v>0.51631451997670996</v>
      </c>
      <c r="B42" s="70">
        <v>-0.27862099378812</v>
      </c>
      <c r="C42">
        <v>-0.177167711749766</v>
      </c>
      <c r="D42">
        <v>0</v>
      </c>
      <c r="E42">
        <v>2.3378653260722599E-2</v>
      </c>
      <c r="F42">
        <v>7.9702462734848297E-4</v>
      </c>
      <c r="G42">
        <f>SQRT(Calcs!J43)</f>
        <v>0.19765596744558309</v>
      </c>
      <c r="H42" s="84">
        <f t="shared" si="0"/>
        <v>-0.17427731418486048</v>
      </c>
      <c r="I42" s="71">
        <f>LN(Calcs!L44/Calcs!L43)</f>
        <v>-5.8396975412342124E-3</v>
      </c>
      <c r="J42" s="76">
        <f t="shared" si="1"/>
        <v>-6.6367221685826958E-3</v>
      </c>
      <c r="K42" s="72">
        <v>1563.3992623275001</v>
      </c>
      <c r="L42" s="72">
        <f t="shared" si="3"/>
        <v>1641.5695286475332</v>
      </c>
      <c r="M42" s="75">
        <f t="shared" si="2"/>
        <v>-78.170266320033079</v>
      </c>
    </row>
    <row r="43" spans="1:13" x14ac:dyDescent="0.2">
      <c r="A43">
        <v>0.35195695885758299</v>
      </c>
      <c r="B43" s="70">
        <v>-0.31677126996365501</v>
      </c>
      <c r="C43">
        <v>-0.37929606402322202</v>
      </c>
      <c r="D43">
        <v>0</v>
      </c>
      <c r="E43">
        <v>0</v>
      </c>
      <c r="F43">
        <v>3.7724044891802102E-5</v>
      </c>
      <c r="G43">
        <f>SQRT(Calcs!J44)</f>
        <v>0.21917445846604883</v>
      </c>
      <c r="H43" s="84">
        <f t="shared" si="0"/>
        <v>-0.21917445846604883</v>
      </c>
      <c r="I43" s="71">
        <f>LN(Calcs!L45/Calcs!L44)</f>
        <v>-4.9078359638214056E-3</v>
      </c>
      <c r="J43" s="76">
        <f t="shared" si="1"/>
        <v>-4.945560008713208E-3</v>
      </c>
      <c r="K43" s="72">
        <v>1563.4045003020501</v>
      </c>
      <c r="L43" s="72">
        <f t="shared" si="3"/>
        <v>1641.6314564582012</v>
      </c>
      <c r="M43" s="75">
        <f t="shared" si="2"/>
        <v>-78.226956156151118</v>
      </c>
    </row>
    <row r="44" spans="1:13" x14ac:dyDescent="0.2">
      <c r="A44">
        <v>0.30968492937779302</v>
      </c>
      <c r="B44" s="70">
        <v>-0.35641852530739299</v>
      </c>
      <c r="C44">
        <v>-1.69496350576345</v>
      </c>
      <c r="D44">
        <v>0</v>
      </c>
      <c r="E44">
        <v>0</v>
      </c>
      <c r="F44">
        <v>3.7724044891802102E-5</v>
      </c>
      <c r="G44">
        <f>SQRT(Calcs!J45)</f>
        <v>0.24733120745461351</v>
      </c>
      <c r="H44" s="84">
        <f t="shared" si="0"/>
        <v>-0.24733120745461351</v>
      </c>
      <c r="I44" s="71">
        <f>LN(Calcs!L46/Calcs!L45)</f>
        <v>-5.0775600963206659E-3</v>
      </c>
      <c r="J44" s="76">
        <f t="shared" si="1"/>
        <v>-5.1152841412124683E-3</v>
      </c>
      <c r="K44" s="72">
        <v>1563.4381115162601</v>
      </c>
      <c r="L44" s="72">
        <f t="shared" si="3"/>
        <v>1641.6933866050808</v>
      </c>
      <c r="M44" s="75">
        <f t="shared" si="2"/>
        <v>-78.255275088820781</v>
      </c>
    </row>
    <row r="45" spans="1:13" x14ac:dyDescent="0.2">
      <c r="A45">
        <v>0.51985511770896498</v>
      </c>
      <c r="B45" s="70">
        <v>-0.60161936933819105</v>
      </c>
      <c r="C45">
        <v>0.75448914716260096</v>
      </c>
      <c r="D45">
        <v>0</v>
      </c>
      <c r="E45">
        <v>0</v>
      </c>
      <c r="F45">
        <v>3.7724044891802102E-5</v>
      </c>
      <c r="G45">
        <f>SQRT(Calcs!J46)</f>
        <v>0.27018277738987445</v>
      </c>
      <c r="H45" s="84">
        <f t="shared" si="0"/>
        <v>-0.27018277738987445</v>
      </c>
      <c r="I45" s="71">
        <f>LN(Calcs!L47/Calcs!L46)</f>
        <v>9.0572958669053114E-3</v>
      </c>
      <c r="J45" s="76">
        <f t="shared" si="1"/>
        <v>9.0195718220135099E-3</v>
      </c>
      <c r="K45" s="72">
        <v>1563.4433496209699</v>
      </c>
      <c r="L45" s="72">
        <f t="shared" si="3"/>
        <v>1641.7553190882602</v>
      </c>
      <c r="M45" s="75">
        <f t="shared" si="2"/>
        <v>-78.311969467290282</v>
      </c>
    </row>
    <row r="46" spans="1:13" x14ac:dyDescent="0.2">
      <c r="A46">
        <v>-1.50839658692142</v>
      </c>
      <c r="B46" s="70">
        <v>0.70696729436407602</v>
      </c>
      <c r="C46">
        <v>-1.3690784232507001</v>
      </c>
      <c r="D46">
        <v>0</v>
      </c>
      <c r="E46">
        <v>0</v>
      </c>
      <c r="F46">
        <v>8.3420669149042502E-5</v>
      </c>
      <c r="G46">
        <f>SQRT(Calcs!J47)</f>
        <v>0.25398369392145986</v>
      </c>
      <c r="H46" s="84">
        <f t="shared" si="0"/>
        <v>-0.25398369392145986</v>
      </c>
      <c r="I46" s="71">
        <f>LN(Calcs!L48/Calcs!L47)</f>
        <v>4.2646752615502076E-3</v>
      </c>
      <c r="J46" s="76">
        <f t="shared" si="1"/>
        <v>4.1812545924011651E-3</v>
      </c>
      <c r="K46" s="72">
        <v>1563.5200336983</v>
      </c>
      <c r="L46" s="72">
        <f t="shared" si="3"/>
        <v>1641.8922811282105</v>
      </c>
      <c r="M46" s="75">
        <f t="shared" si="2"/>
        <v>-78.372247429910431</v>
      </c>
    </row>
    <row r="47" spans="1:13" x14ac:dyDescent="0.2">
      <c r="A47">
        <v>6.4869137154671894E-2</v>
      </c>
      <c r="B47" s="70">
        <v>8.2050737547852401E-2</v>
      </c>
      <c r="C47">
        <v>5.8422544045552598E-3</v>
      </c>
      <c r="D47">
        <v>0</v>
      </c>
      <c r="E47">
        <v>0</v>
      </c>
      <c r="F47">
        <v>8.3420669149042502E-5</v>
      </c>
      <c r="G47">
        <f>SQRT(Calcs!J48)</f>
        <v>0.23989755054486958</v>
      </c>
      <c r="H47" s="84">
        <f t="shared" si="0"/>
        <v>-0.23989755054486958</v>
      </c>
      <c r="I47" s="71">
        <f>LN(Calcs!L49/Calcs!L48)</f>
        <v>2.4739743163836375E-3</v>
      </c>
      <c r="J47" s="76">
        <f t="shared" si="1"/>
        <v>2.390553647234595E-3</v>
      </c>
      <c r="K47" s="72">
        <v>1563.5967215368401</v>
      </c>
      <c r="L47" s="72">
        <f t="shared" si="3"/>
        <v>1642.0292545941024</v>
      </c>
      <c r="M47" s="75">
        <f t="shared" si="2"/>
        <v>-78.43253305726239</v>
      </c>
    </row>
    <row r="48" spans="1:13" x14ac:dyDescent="0.2">
      <c r="A48">
        <v>1.97832033379859</v>
      </c>
      <c r="B48" s="70">
        <v>-2.8139827310454999</v>
      </c>
      <c r="C48">
        <v>-0.53592676327937605</v>
      </c>
      <c r="D48">
        <v>0</v>
      </c>
      <c r="E48">
        <v>0</v>
      </c>
      <c r="F48">
        <v>8.3420669149042502E-5</v>
      </c>
      <c r="G48">
        <f>SQRT(Calcs!J49)</f>
        <v>0.21983448392071431</v>
      </c>
      <c r="H48" s="84">
        <f t="shared" si="0"/>
        <v>-0.21983448392071431</v>
      </c>
      <c r="I48" s="71">
        <f>LN(Calcs!L50/Calcs!L49)</f>
        <v>5.1579019024186532E-3</v>
      </c>
      <c r="J48" s="76">
        <f t="shared" si="1"/>
        <v>5.0744812332696107E-3</v>
      </c>
      <c r="K48" s="72">
        <v>1563.67341313678</v>
      </c>
      <c r="L48" s="72">
        <f t="shared" si="3"/>
        <v>1642.166239486889</v>
      </c>
      <c r="M48" s="75">
        <f t="shared" si="2"/>
        <v>-78.492826350108999</v>
      </c>
    </row>
    <row r="49" spans="1:13" x14ac:dyDescent="0.2">
      <c r="A49">
        <v>-1.4824694743898901</v>
      </c>
      <c r="B49" s="70">
        <v>1.82670103343976</v>
      </c>
      <c r="C49">
        <v>0.66213204006512005</v>
      </c>
      <c r="D49">
        <v>0</v>
      </c>
      <c r="E49">
        <v>6.8976498357239097E-2</v>
      </c>
      <c r="F49">
        <v>-6.3675137092178702E-3</v>
      </c>
      <c r="G49">
        <f>SQRT(Calcs!J50)</f>
        <v>0.24577421223572146</v>
      </c>
      <c r="H49" s="84">
        <f t="shared" si="0"/>
        <v>-0.17679771387848237</v>
      </c>
      <c r="I49" s="71">
        <f>LN(Calcs!L51/Calcs!L50)</f>
        <v>-9.6114717356244449E-3</v>
      </c>
      <c r="J49" s="76">
        <f t="shared" si="1"/>
        <v>-3.2439580264065748E-3</v>
      </c>
      <c r="K49" s="72">
        <v>1561.7858425965901</v>
      </c>
      <c r="L49" s="72">
        <f t="shared" si="3"/>
        <v>1631.7429439007979</v>
      </c>
      <c r="M49" s="75">
        <f t="shared" si="2"/>
        <v>-69.957101304207754</v>
      </c>
    </row>
    <row r="50" spans="1:13" x14ac:dyDescent="0.2">
      <c r="A50">
        <v>0.28015755645292201</v>
      </c>
      <c r="B50" s="70">
        <v>0.13233283500492199</v>
      </c>
      <c r="C50">
        <v>0.94900750844397697</v>
      </c>
      <c r="D50">
        <v>0</v>
      </c>
      <c r="E50">
        <v>0.11378904215373201</v>
      </c>
      <c r="F50">
        <v>2.06590971993774E-3</v>
      </c>
      <c r="G50">
        <f>SQRT(Calcs!J51)</f>
        <v>0.26209435574736872</v>
      </c>
      <c r="H50" s="84">
        <f t="shared" si="0"/>
        <v>-0.14830531359363672</v>
      </c>
      <c r="I50" s="71">
        <f>LN(Calcs!L52/Calcs!L51)</f>
        <v>2.3643886614562865E-2</v>
      </c>
      <c r="J50" s="76">
        <f t="shared" si="1"/>
        <v>2.1577976894625126E-2</v>
      </c>
      <c r="K50" s="72">
        <v>1563.24427014964</v>
      </c>
      <c r="L50" s="72">
        <f t="shared" si="3"/>
        <v>1635.117462033749</v>
      </c>
      <c r="M50" s="75">
        <f t="shared" si="2"/>
        <v>-71.873191884109019</v>
      </c>
    </row>
    <row r="51" spans="1:13" x14ac:dyDescent="0.2">
      <c r="A51">
        <v>-0.83991181094072298</v>
      </c>
      <c r="B51" s="70">
        <v>7.2191571996428797E-2</v>
      </c>
      <c r="C51">
        <v>-0.29934010847159298</v>
      </c>
      <c r="D51">
        <v>0</v>
      </c>
      <c r="E51">
        <v>0.11490981736129199</v>
      </c>
      <c r="F51">
        <v>-6.0225959016498203E-3</v>
      </c>
      <c r="G51">
        <f>SQRT(Calcs!J52)</f>
        <v>0.21083943707761377</v>
      </c>
      <c r="H51" s="84">
        <f t="shared" si="0"/>
        <v>-9.5929619716321773E-2</v>
      </c>
      <c r="I51" s="71">
        <f>LN(Calcs!L53/Calcs!L52)</f>
        <v>1.4629515676265485E-3</v>
      </c>
      <c r="J51" s="76">
        <f t="shared" si="1"/>
        <v>7.485547469276369E-3</v>
      </c>
      <c r="K51" s="72">
        <v>1559.4437775024301</v>
      </c>
      <c r="L51" s="72">
        <f t="shared" si="3"/>
        <v>1625.2994050793948</v>
      </c>
      <c r="M51" s="75">
        <f t="shared" si="2"/>
        <v>-65.855627576964707</v>
      </c>
    </row>
    <row r="52" spans="1:13" x14ac:dyDescent="0.2">
      <c r="A52">
        <v>-1.6621856590267901</v>
      </c>
      <c r="B52" s="70">
        <v>1.88728491104506</v>
      </c>
      <c r="C52">
        <v>-0.34041734231654602</v>
      </c>
      <c r="D52">
        <v>0</v>
      </c>
      <c r="E52">
        <v>0.11447099094074301</v>
      </c>
      <c r="F52">
        <v>-1.1928590409971599E-2</v>
      </c>
      <c r="G52">
        <f>SQRT(Calcs!J53)</f>
        <v>0.18154954075389615</v>
      </c>
      <c r="H52" s="84">
        <f t="shared" si="0"/>
        <v>-6.7078549813153143E-2</v>
      </c>
      <c r="I52" s="71">
        <f>LN(Calcs!L54/Calcs!L53)</f>
        <v>1.0172147439396297E-2</v>
      </c>
      <c r="J52" s="76">
        <f t="shared" si="1"/>
        <v>2.2100737849367898E-2</v>
      </c>
      <c r="K52" s="72">
        <v>1544.7327551825699</v>
      </c>
      <c r="L52" s="72">
        <f t="shared" si="3"/>
        <v>1606.0270487286655</v>
      </c>
      <c r="M52" s="75">
        <f t="shared" si="2"/>
        <v>-61.29429354609556</v>
      </c>
    </row>
    <row r="53" spans="1:13" x14ac:dyDescent="0.2">
      <c r="A53">
        <v>0.445671743856971</v>
      </c>
      <c r="B53" s="70">
        <v>0.86077366630280105</v>
      </c>
      <c r="C53">
        <v>-0.58524326145234795</v>
      </c>
      <c r="D53">
        <v>0</v>
      </c>
      <c r="E53">
        <v>0.16137694762304899</v>
      </c>
      <c r="F53">
        <v>4.5623553239672503E-3</v>
      </c>
      <c r="G53">
        <f>SQRT(Calcs!J54)</f>
        <v>0.1391749665560415</v>
      </c>
      <c r="H53" s="84">
        <f t="shared" si="0"/>
        <v>2.2201981067007492E-2</v>
      </c>
      <c r="I53" s="71">
        <f>LN(Calcs!L55/Calcs!L54)</f>
        <v>2.9369278804730692E-3</v>
      </c>
      <c r="J53" s="76">
        <f t="shared" si="1"/>
        <v>-1.6254274434941811E-3</v>
      </c>
      <c r="K53" s="72">
        <v>1550.31605948633</v>
      </c>
      <c r="L53" s="72">
        <f t="shared" si="3"/>
        <v>1613.371055029151</v>
      </c>
      <c r="M53" s="75">
        <f t="shared" si="2"/>
        <v>-63.054995542820961</v>
      </c>
    </row>
    <row r="54" spans="1:13" x14ac:dyDescent="0.2">
      <c r="A54">
        <v>0.41798033057713102</v>
      </c>
      <c r="B54" s="70">
        <v>0.27634212144179998</v>
      </c>
      <c r="C54">
        <v>0.82366490065671305</v>
      </c>
      <c r="D54">
        <v>0</v>
      </c>
      <c r="E54">
        <v>0.18192973488188399</v>
      </c>
      <c r="F54">
        <v>4.8080111165478999E-3</v>
      </c>
      <c r="G54">
        <f>SQRT(Calcs!J55)</f>
        <v>0.14582165912455117</v>
      </c>
      <c r="H54" s="84">
        <f t="shared" si="0"/>
        <v>3.6108075757332825E-2</v>
      </c>
      <c r="I54" s="71">
        <f>LN(Calcs!L56/Calcs!L55)</f>
        <v>-4.6536176843142516E-3</v>
      </c>
      <c r="J54" s="76">
        <f t="shared" si="1"/>
        <v>-9.4616288008621506E-3</v>
      </c>
      <c r="K54" s="72">
        <v>1556.94479757873</v>
      </c>
      <c r="L54" s="72">
        <f t="shared" si="3"/>
        <v>1621.1468390454675</v>
      </c>
      <c r="M54" s="75">
        <f t="shared" si="2"/>
        <v>-64.202041466737455</v>
      </c>
    </row>
    <row r="55" spans="1:13" x14ac:dyDescent="0.2">
      <c r="A55">
        <v>-0.48625935600091702</v>
      </c>
      <c r="B55" s="70">
        <v>-0.45662468779027299</v>
      </c>
      <c r="C55">
        <v>-1.08672556743805</v>
      </c>
      <c r="D55">
        <v>0</v>
      </c>
      <c r="E55">
        <v>0.18742589438312601</v>
      </c>
      <c r="F55">
        <v>-5.7274074933173196E-3</v>
      </c>
      <c r="G55">
        <f>SQRT(Calcs!J56)</f>
        <v>0.12374961867586978</v>
      </c>
      <c r="H55" s="84">
        <f t="shared" si="0"/>
        <v>6.367627570725623E-2</v>
      </c>
      <c r="I55" s="71">
        <f>LN(Calcs!L57/Calcs!L56)</f>
        <v>-1.3656974304801896E-2</v>
      </c>
      <c r="J55" s="76">
        <f t="shared" si="1"/>
        <v>-7.9295668114845765E-3</v>
      </c>
      <c r="K55" s="72">
        <v>1549.2304587137901</v>
      </c>
      <c r="L55" s="72">
        <f t="shared" si="3"/>
        <v>1611.8884092008125</v>
      </c>
      <c r="M55" s="75">
        <f t="shared" si="2"/>
        <v>-62.65795048702239</v>
      </c>
    </row>
    <row r="56" spans="1:13" x14ac:dyDescent="0.2">
      <c r="A56">
        <v>2.9308751173782501</v>
      </c>
      <c r="B56" s="70">
        <v>-2.8178289204482398</v>
      </c>
      <c r="C56">
        <v>1.73130613681412</v>
      </c>
      <c r="D56">
        <v>0</v>
      </c>
      <c r="E56">
        <v>0.17392415349165699</v>
      </c>
      <c r="F56">
        <v>3.2134631633728303E-2</v>
      </c>
      <c r="G56">
        <f>SQRT(Calcs!J57)</f>
        <v>0.13439004051595826</v>
      </c>
      <c r="H56" s="84">
        <f t="shared" si="0"/>
        <v>3.9534112975698726E-2</v>
      </c>
      <c r="I56" s="71">
        <f>LN(Calcs!L58/Calcs!L57)</f>
        <v>1.5123280086762466E-3</v>
      </c>
      <c r="J56" s="76">
        <f t="shared" si="1"/>
        <v>-3.0622303625052055E-2</v>
      </c>
      <c r="K56" s="72">
        <v>1592.8426409280501</v>
      </c>
      <c r="L56" s="72">
        <f t="shared" si="3"/>
        <v>1664.5270820140322</v>
      </c>
      <c r="M56" s="75">
        <f t="shared" si="2"/>
        <v>-71.684441085982144</v>
      </c>
    </row>
    <row r="57" spans="1:13" x14ac:dyDescent="0.2">
      <c r="A57">
        <v>1.8228542710836699</v>
      </c>
      <c r="B57" s="70">
        <v>-2.0856866249595098</v>
      </c>
      <c r="C57">
        <v>0.77427735497514705</v>
      </c>
      <c r="D57">
        <v>0</v>
      </c>
      <c r="E57">
        <v>9.8469203178297507E-2</v>
      </c>
      <c r="F57">
        <v>1.13713048670796E-2</v>
      </c>
      <c r="G57">
        <f>SQRT(Calcs!J58)</f>
        <v>0.12386490755925425</v>
      </c>
      <c r="H57" s="84">
        <f t="shared" si="0"/>
        <v>-2.5395704380956743E-2</v>
      </c>
      <c r="I57" s="71">
        <f>LN(Calcs!L59/Calcs!L58)</f>
        <v>-1.9532614146857306E-3</v>
      </c>
      <c r="J57" s="76">
        <f t="shared" si="1"/>
        <v>-1.3324566281765329E-2</v>
      </c>
      <c r="K57" s="72">
        <v>1613.89680762184</v>
      </c>
      <c r="L57" s="72">
        <f t="shared" si="3"/>
        <v>1683.5629531486668</v>
      </c>
      <c r="M57" s="75">
        <f t="shared" si="2"/>
        <v>-69.666145526826767</v>
      </c>
    </row>
    <row r="58" spans="1:13" x14ac:dyDescent="0.2">
      <c r="A58">
        <v>-2.0321288863395401</v>
      </c>
      <c r="B58" s="70">
        <v>1.46069781027816</v>
      </c>
      <c r="C58">
        <v>-1.8591025249149999</v>
      </c>
      <c r="D58">
        <v>0</v>
      </c>
      <c r="E58">
        <v>3.8624191897933202E-2</v>
      </c>
      <c r="F58">
        <v>-4.8639027313587399E-3</v>
      </c>
      <c r="G58">
        <f>SQRT(Calcs!J59)</f>
        <v>0.1321766844970779</v>
      </c>
      <c r="H58" s="84">
        <f t="shared" si="0"/>
        <v>-9.3552492599144693E-2</v>
      </c>
      <c r="I58" s="71">
        <f>LN(Calcs!L60/Calcs!L59)</f>
        <v>-2.1333628861553711E-3</v>
      </c>
      <c r="J58" s="76">
        <f t="shared" si="1"/>
        <v>2.7305398452033688E-3</v>
      </c>
      <c r="K58" s="72">
        <v>1600.88794680201</v>
      </c>
      <c r="L58" s="72">
        <f t="shared" si="3"/>
        <v>1675.3941489414649</v>
      </c>
      <c r="M58" s="75">
        <f t="shared" si="2"/>
        <v>-74.506202139454899</v>
      </c>
    </row>
    <row r="59" spans="1:13" x14ac:dyDescent="0.2">
      <c r="A59">
        <v>0.87635125385206702</v>
      </c>
      <c r="B59" s="70">
        <v>7.3479495531942898E-2</v>
      </c>
      <c r="C59">
        <v>-1.0733525337399901</v>
      </c>
      <c r="D59">
        <v>0</v>
      </c>
      <c r="E59">
        <v>7.2933158977436796E-2</v>
      </c>
      <c r="F59">
        <v>4.0991372735952498E-3</v>
      </c>
      <c r="G59">
        <f>SQRT(Calcs!J60)</f>
        <v>0.12646874431827571</v>
      </c>
      <c r="H59" s="84">
        <f t="shared" si="0"/>
        <v>-5.3535585340838909E-2</v>
      </c>
      <c r="I59" s="71">
        <f>LN(Calcs!L61/Calcs!L60)</f>
        <v>7.9832374467994002E-3</v>
      </c>
      <c r="J59" s="76">
        <f t="shared" si="1"/>
        <v>3.8841001732041504E-3</v>
      </c>
      <c r="K59" s="72">
        <v>1611.30513273665</v>
      </c>
      <c r="L59" s="72">
        <f t="shared" si="3"/>
        <v>1682.2759145601847</v>
      </c>
      <c r="M59" s="75">
        <f t="shared" si="2"/>
        <v>-70.970781823534708</v>
      </c>
    </row>
    <row r="60" spans="1:13" x14ac:dyDescent="0.2">
      <c r="A60">
        <v>1.21445824583933</v>
      </c>
      <c r="B60" s="70">
        <v>-2.06325663266266</v>
      </c>
      <c r="C60">
        <v>-1.20657448407402</v>
      </c>
      <c r="D60">
        <v>0</v>
      </c>
      <c r="E60">
        <v>7.1398206828392194E-2</v>
      </c>
      <c r="F60">
        <v>5.5355316364602202E-3</v>
      </c>
      <c r="G60">
        <f>SQRT(Calcs!J61)</f>
        <v>0.10080303126033399</v>
      </c>
      <c r="H60" s="84">
        <f t="shared" si="0"/>
        <v>-2.9404824431941798E-2</v>
      </c>
      <c r="I60" s="71">
        <f>LN(Calcs!L62/Calcs!L61)</f>
        <v>-6.1046799654333305E-3</v>
      </c>
      <c r="J60" s="76">
        <f t="shared" si="1"/>
        <v>-1.164021160189355E-2</v>
      </c>
      <c r="K60" s="72">
        <v>1623.5330521378601</v>
      </c>
      <c r="L60" s="72">
        <f t="shared" si="3"/>
        <v>1691.6140279726512</v>
      </c>
      <c r="M60" s="75">
        <f t="shared" si="2"/>
        <v>-68.080975834791161</v>
      </c>
    </row>
    <row r="61" spans="1:13" x14ac:dyDescent="0.2">
      <c r="A61">
        <v>-0.28735931298975698</v>
      </c>
      <c r="B61" s="70">
        <v>0.89242763471875197</v>
      </c>
      <c r="C61">
        <v>2.3794743736173799E-2</v>
      </c>
      <c r="D61">
        <v>0</v>
      </c>
      <c r="E61">
        <v>0</v>
      </c>
      <c r="F61">
        <v>8.3420669149042502E-5</v>
      </c>
      <c r="G61">
        <f>SQRT(Calcs!J62)</f>
        <v>0.14284405733908206</v>
      </c>
      <c r="H61" s="84">
        <f t="shared" si="0"/>
        <v>-0.14284405733908206</v>
      </c>
      <c r="I61" s="71">
        <f>LN(Calcs!L63/Calcs!L62)</f>
        <v>-1.4048234025444784E-3</v>
      </c>
      <c r="J61" s="76">
        <f t="shared" si="1"/>
        <v>-1.4882440716935208E-3</v>
      </c>
      <c r="K61" s="72">
        <v>1622.57078227959</v>
      </c>
      <c r="L61" s="72">
        <f t="shared" si="3"/>
        <v>1691.755149432948</v>
      </c>
      <c r="M61" s="75">
        <f t="shared" si="2"/>
        <v>-69.184367153357925</v>
      </c>
    </row>
    <row r="62" spans="1:13" x14ac:dyDescent="0.2">
      <c r="A62">
        <v>0.20303197079625099</v>
      </c>
      <c r="B62" s="70">
        <v>0.58531582163889495</v>
      </c>
      <c r="C62">
        <v>-2.0448612411716801E-2</v>
      </c>
      <c r="D62">
        <v>0</v>
      </c>
      <c r="E62">
        <v>6.8070812966455297E-3</v>
      </c>
      <c r="F62">
        <v>1.7039002181332599E-4</v>
      </c>
      <c r="G62">
        <f>SQRT(Calcs!J63)</f>
        <v>0.16311386429881236</v>
      </c>
      <c r="H62" s="84">
        <f t="shared" si="0"/>
        <v>-0.15630678300216683</v>
      </c>
      <c r="I62" s="71">
        <f>LN(Calcs!L64/Calcs!L63)</f>
        <v>1.3078592577422726E-2</v>
      </c>
      <c r="J62" s="76">
        <f t="shared" si="1"/>
        <v>1.2908202555609399E-2</v>
      </c>
      <c r="K62" s="72">
        <v>1623.4354809871299</v>
      </c>
      <c r="L62" s="72">
        <f t="shared" si="3"/>
        <v>1692.0434321893179</v>
      </c>
      <c r="M62" s="75">
        <f t="shared" si="2"/>
        <v>-68.607951202187905</v>
      </c>
    </row>
    <row r="63" spans="1:13" x14ac:dyDescent="0.2">
      <c r="A63">
        <v>1.7505132779426</v>
      </c>
      <c r="B63" s="70">
        <v>-1.3856929151565101</v>
      </c>
      <c r="C63">
        <v>-0.97293095662925799</v>
      </c>
      <c r="D63">
        <v>0</v>
      </c>
      <c r="E63">
        <v>0</v>
      </c>
      <c r="F63">
        <v>8.3420669149042502E-5</v>
      </c>
      <c r="G63">
        <f>SQRT(Calcs!J64)</f>
        <v>0.15953608906882522</v>
      </c>
      <c r="H63" s="84">
        <f t="shared" si="0"/>
        <v>-0.15953608906882522</v>
      </c>
      <c r="I63" s="71">
        <f>LN(Calcs!L65/Calcs!L64)</f>
        <v>3.9253895125685185E-3</v>
      </c>
      <c r="J63" s="76">
        <f t="shared" si="1"/>
        <v>3.841968843419476E-3</v>
      </c>
      <c r="K63" s="72">
        <v>1628.0096785773701</v>
      </c>
      <c r="L63" s="72">
        <f t="shared" si="3"/>
        <v>1692.1845894722958</v>
      </c>
      <c r="M63" s="75">
        <f t="shared" si="2"/>
        <v>-64.174910894925688</v>
      </c>
    </row>
    <row r="64" spans="1:13" x14ac:dyDescent="0.2">
      <c r="A64">
        <v>-3.3031194774278201E-3</v>
      </c>
      <c r="B64" s="70">
        <v>-0.44661971263493999</v>
      </c>
      <c r="C64">
        <v>0.40338931425917601</v>
      </c>
      <c r="D64">
        <v>0</v>
      </c>
      <c r="E64">
        <v>2.8101647048112001E-2</v>
      </c>
      <c r="F64">
        <v>7.6006493441793993E-5</v>
      </c>
      <c r="G64">
        <f>SQRT(Calcs!J65)</f>
        <v>0.14174903404136729</v>
      </c>
      <c r="H64" s="84">
        <f t="shared" si="0"/>
        <v>-0.1136473869932553</v>
      </c>
      <c r="I64" s="71">
        <f>LN(Calcs!L66/Calcs!L65)</f>
        <v>4.5103112117096771E-3</v>
      </c>
      <c r="J64" s="76">
        <f t="shared" si="1"/>
        <v>4.4343047182678827E-3</v>
      </c>
      <c r="K64" s="72">
        <v>1628.0755917653401</v>
      </c>
      <c r="L64" s="72">
        <f t="shared" si="3"/>
        <v>1692.3132113771858</v>
      </c>
      <c r="M64" s="75">
        <f t="shared" si="2"/>
        <v>-64.23761961184573</v>
      </c>
    </row>
    <row r="65" spans="1:13" x14ac:dyDescent="0.2">
      <c r="A65">
        <v>-0.35410253857703999</v>
      </c>
      <c r="B65" s="70">
        <v>1.0273405377304601</v>
      </c>
      <c r="C65">
        <v>1.5697708637260099</v>
      </c>
      <c r="D65">
        <v>0</v>
      </c>
      <c r="E65">
        <v>0</v>
      </c>
      <c r="F65">
        <v>5.0953856075070497E-5</v>
      </c>
      <c r="G65">
        <f>SQRT(Calcs!J66)</f>
        <v>0.11596343736028136</v>
      </c>
      <c r="H65" s="84">
        <f t="shared" si="0"/>
        <v>-0.11596343736028136</v>
      </c>
      <c r="I65" s="71">
        <f>LN(Calcs!L67/Calcs!L66)</f>
        <v>5.4302184182423927E-3</v>
      </c>
      <c r="J65" s="76">
        <f t="shared" si="1"/>
        <v>5.3792645621673222E-3</v>
      </c>
      <c r="K65" s="72">
        <v>1628.1025857771999</v>
      </c>
      <c r="L65" s="72">
        <f t="shared" si="3"/>
        <v>1692.3994434579022</v>
      </c>
      <c r="M65" s="75">
        <f t="shared" si="2"/>
        <v>-64.29685768070226</v>
      </c>
    </row>
    <row r="66" spans="1:13" x14ac:dyDescent="0.2">
      <c r="A66">
        <v>-0.42756099040808498</v>
      </c>
      <c r="B66" s="70">
        <v>0.17109390708820099</v>
      </c>
      <c r="C66">
        <v>9.6197971821052997E-2</v>
      </c>
      <c r="D66">
        <v>0</v>
      </c>
      <c r="E66">
        <v>1.4753713004790701E-2</v>
      </c>
      <c r="F66">
        <v>-3.4685174663933599E-4</v>
      </c>
      <c r="G66">
        <f>SQRT(Calcs!J67)</f>
        <v>9.7720685836126212E-2</v>
      </c>
      <c r="H66" s="84">
        <f t="shared" si="0"/>
        <v>-8.2966972831335514E-2</v>
      </c>
      <c r="I66" s="71">
        <f>LN(Calcs!L68/Calcs!L67)</f>
        <v>6.6850968456227868E-3</v>
      </c>
      <c r="J66" s="76">
        <f t="shared" si="1"/>
        <v>7.0319485922621227E-3</v>
      </c>
      <c r="K66" s="72">
        <v>1628.1295802366201</v>
      </c>
      <c r="L66" s="72">
        <f t="shared" si="3"/>
        <v>1691.8125335461755</v>
      </c>
      <c r="M66" s="75">
        <f t="shared" si="2"/>
        <v>-63.682953309555387</v>
      </c>
    </row>
    <row r="67" spans="1:13" x14ac:dyDescent="0.2">
      <c r="A67">
        <v>0.27698477443379599</v>
      </c>
      <c r="B67" s="70">
        <v>-0.28562295266065701</v>
      </c>
      <c r="C67">
        <v>0.207428847840326</v>
      </c>
      <c r="D67">
        <v>0</v>
      </c>
      <c r="E67">
        <v>0</v>
      </c>
      <c r="F67">
        <v>5.0953856075070497E-5</v>
      </c>
      <c r="G67">
        <f>SQRT(Calcs!J68)</f>
        <v>8.3705848064144231E-2</v>
      </c>
      <c r="H67" s="84">
        <f t="shared" ref="H67:H130" si="4">E67-G67</f>
        <v>-8.3705848064144231E-2</v>
      </c>
      <c r="I67" s="71">
        <f>LN(Calcs!L69/Calcs!L68)</f>
        <v>1.1417862237263227E-3</v>
      </c>
      <c r="J67" s="76">
        <f t="shared" ref="J67:J130" si="5">I67-F67</f>
        <v>1.0908323676512522E-3</v>
      </c>
      <c r="K67" s="72">
        <v>1628.1565751436301</v>
      </c>
      <c r="L67" s="72">
        <f t="shared" ref="L67:L130" si="6">EXP(F67)*L66</f>
        <v>1691.8987401147758</v>
      </c>
      <c r="M67" s="75">
        <f t="shared" ref="M67:M130" si="7">K67-L67</f>
        <v>-63.742164971145712</v>
      </c>
    </row>
    <row r="68" spans="1:13" x14ac:dyDescent="0.2">
      <c r="A68">
        <v>-1.73209595130064</v>
      </c>
      <c r="B68" s="70">
        <v>-0.60614384574220403</v>
      </c>
      <c r="C68">
        <v>1.7877943186265399</v>
      </c>
      <c r="D68">
        <v>0</v>
      </c>
      <c r="E68">
        <v>0</v>
      </c>
      <c r="F68">
        <v>5.0953856075070497E-5</v>
      </c>
      <c r="G68">
        <f>SQRT(Calcs!J69)</f>
        <v>0.10165966720968383</v>
      </c>
      <c r="H68" s="84">
        <f t="shared" si="4"/>
        <v>-0.10165966720968383</v>
      </c>
      <c r="I68" s="71">
        <f>LN(Calcs!L70/Calcs!L69)</f>
        <v>-7.3471611836554125E-3</v>
      </c>
      <c r="J68" s="76">
        <f t="shared" si="5"/>
        <v>-7.398115039730483E-3</v>
      </c>
      <c r="K68" s="72">
        <v>1628.18357049821</v>
      </c>
      <c r="L68" s="72">
        <f t="shared" si="6"/>
        <v>1691.984951076045</v>
      </c>
      <c r="M68" s="75">
        <f t="shared" si="7"/>
        <v>-63.801380577835062</v>
      </c>
    </row>
    <row r="69" spans="1:13" x14ac:dyDescent="0.2">
      <c r="A69">
        <v>6.8643854309852204E-2</v>
      </c>
      <c r="B69" s="70">
        <v>-0.36086035595257199</v>
      </c>
      <c r="C69">
        <v>0.11540050567687</v>
      </c>
      <c r="D69">
        <v>0</v>
      </c>
      <c r="E69">
        <v>0</v>
      </c>
      <c r="F69">
        <v>5.0953856075070497E-5</v>
      </c>
      <c r="G69">
        <f>SQRT(Calcs!J70)</f>
        <v>0.11786603185324558</v>
      </c>
      <c r="H69" s="84">
        <f t="shared" si="4"/>
        <v>-0.11786603185324558</v>
      </c>
      <c r="I69" s="71">
        <f>LN(Calcs!L71/Calcs!L70)</f>
        <v>-1.048023211533906E-2</v>
      </c>
      <c r="J69" s="76">
        <f t="shared" si="5"/>
        <v>-1.0531185971414132E-2</v>
      </c>
      <c r="K69" s="72">
        <v>1628.4608694649201</v>
      </c>
      <c r="L69" s="72">
        <f t="shared" si="6"/>
        <v>1692.0711664302071</v>
      </c>
      <c r="M69" s="75">
        <f t="shared" si="7"/>
        <v>-63.610296965287034</v>
      </c>
    </row>
    <row r="70" spans="1:13" x14ac:dyDescent="0.2">
      <c r="A70">
        <v>0.79387626421305602</v>
      </c>
      <c r="B70" s="70">
        <v>-1.16801580125792</v>
      </c>
      <c r="C70">
        <v>-1.41717405189222</v>
      </c>
      <c r="D70">
        <v>0</v>
      </c>
      <c r="E70">
        <v>0</v>
      </c>
      <c r="F70">
        <v>5.0953856075070497E-5</v>
      </c>
      <c r="G70">
        <f>SQRT(Calcs!J71)</f>
        <v>0.1207969339826597</v>
      </c>
      <c r="H70" s="84">
        <f t="shared" si="4"/>
        <v>-0.1207969339826597</v>
      </c>
      <c r="I70" s="71">
        <f>LN(Calcs!L72/Calcs!L71)</f>
        <v>-2.5591800041029201E-3</v>
      </c>
      <c r="J70" s="76">
        <f t="shared" si="5"/>
        <v>-2.6101338601779906E-3</v>
      </c>
      <c r="K70" s="72">
        <v>1632.6449640625599</v>
      </c>
      <c r="L70" s="72">
        <f t="shared" si="6"/>
        <v>1692.1573861774859</v>
      </c>
      <c r="M70" s="75">
        <f t="shared" si="7"/>
        <v>-59.512422114926039</v>
      </c>
    </row>
    <row r="71" spans="1:13" x14ac:dyDescent="0.2">
      <c r="A71">
        <v>0.949273326530512</v>
      </c>
      <c r="B71" s="70">
        <v>-0.42513271152769799</v>
      </c>
      <c r="C71">
        <v>0.762312713447579</v>
      </c>
      <c r="D71">
        <v>0</v>
      </c>
      <c r="E71">
        <v>2.0541957770230199E-2</v>
      </c>
      <c r="F71">
        <v>1.2784969005826101E-3</v>
      </c>
      <c r="G71">
        <f>SQRT(Calcs!J72)</f>
        <v>0.10701723187506276</v>
      </c>
      <c r="H71" s="84">
        <f t="shared" si="4"/>
        <v>-8.6475274104832564E-2</v>
      </c>
      <c r="I71" s="71">
        <f>LN(Calcs!L73/Calcs!L72)</f>
        <v>-4.7651952552902541E-3</v>
      </c>
      <c r="J71" s="76">
        <f t="shared" si="5"/>
        <v>-6.0436921558728639E-3</v>
      </c>
      <c r="K71" s="72">
        <v>1635.32071616453</v>
      </c>
      <c r="L71" s="72">
        <f t="shared" si="6"/>
        <v>1694.3221877021579</v>
      </c>
      <c r="M71" s="75">
        <f t="shared" si="7"/>
        <v>-59.001471537627822</v>
      </c>
    </row>
    <row r="72" spans="1:13" x14ac:dyDescent="0.2">
      <c r="A72">
        <v>0.78283083805502396</v>
      </c>
      <c r="B72" s="70">
        <v>0.64039548755977305</v>
      </c>
      <c r="C72">
        <v>-0.53883274804338099</v>
      </c>
      <c r="D72">
        <v>0</v>
      </c>
      <c r="E72">
        <v>0</v>
      </c>
      <c r="F72">
        <v>5.0953856075070497E-5</v>
      </c>
      <c r="G72">
        <f>SQRT(Calcs!J73)</f>
        <v>0.12749867254657127</v>
      </c>
      <c r="H72" s="84">
        <f t="shared" si="4"/>
        <v>-0.12749867254657127</v>
      </c>
      <c r="I72" s="71">
        <f>LN(Calcs!L74/Calcs!L73)</f>
        <v>-2.8190092193882646E-2</v>
      </c>
      <c r="J72" s="76">
        <f t="shared" si="5"/>
        <v>-2.8241046049957717E-2</v>
      </c>
      <c r="K72" s="72">
        <v>1635.3478303028601</v>
      </c>
      <c r="L72" s="72">
        <f t="shared" si="6"/>
        <v>1694.4085221505727</v>
      </c>
      <c r="M72" s="75">
        <f t="shared" si="7"/>
        <v>-59.060691847712633</v>
      </c>
    </row>
    <row r="73" spans="1:13" x14ac:dyDescent="0.2">
      <c r="A73">
        <v>4.46410901060783E-2</v>
      </c>
      <c r="B73" s="70">
        <v>-0.244971215372178</v>
      </c>
      <c r="C73">
        <v>0.46111887980982902</v>
      </c>
      <c r="D73">
        <v>0</v>
      </c>
      <c r="E73">
        <v>0</v>
      </c>
      <c r="F73">
        <v>5.0953856075070497E-5</v>
      </c>
      <c r="G73">
        <f>SQRT(Calcs!J74)</f>
        <v>0.1295036077365776</v>
      </c>
      <c r="H73" s="84">
        <f t="shared" si="4"/>
        <v>-0.1295036077365776</v>
      </c>
      <c r="I73" s="71">
        <f>LN(Calcs!L75/Calcs!L74)</f>
        <v>2.8359712791725909E-3</v>
      </c>
      <c r="J73" s="76">
        <f t="shared" si="5"/>
        <v>2.7850174230975204E-3</v>
      </c>
      <c r="K73" s="72">
        <v>1635.3749448907499</v>
      </c>
      <c r="L73" s="72">
        <f t="shared" si="6"/>
        <v>1694.4948609981727</v>
      </c>
      <c r="M73" s="75">
        <f t="shared" si="7"/>
        <v>-59.119916107422796</v>
      </c>
    </row>
    <row r="74" spans="1:13" x14ac:dyDescent="0.2">
      <c r="A74">
        <v>0.16140732446197301</v>
      </c>
      <c r="B74" s="70">
        <v>-7.4778219253190295E-2</v>
      </c>
      <c r="C74">
        <v>-0.60250927828897505</v>
      </c>
      <c r="D74">
        <v>0</v>
      </c>
      <c r="E74">
        <v>0</v>
      </c>
      <c r="F74">
        <v>5.0953856075070497E-5</v>
      </c>
      <c r="G74">
        <f>SQRT(Calcs!J75)</f>
        <v>0.12124444055496633</v>
      </c>
      <c r="H74" s="84">
        <f t="shared" si="4"/>
        <v>-0.12124444055496633</v>
      </c>
      <c r="I74" s="71">
        <f>LN(Calcs!L76/Calcs!L75)</f>
        <v>-1.4721885896803365E-2</v>
      </c>
      <c r="J74" s="76">
        <f t="shared" si="5"/>
        <v>-1.4772839752878436E-2</v>
      </c>
      <c r="K74" s="72">
        <v>1635.4020599282001</v>
      </c>
      <c r="L74" s="72">
        <f t="shared" si="6"/>
        <v>1694.5812042451821</v>
      </c>
      <c r="M74" s="75">
        <f t="shared" si="7"/>
        <v>-59.179144316982047</v>
      </c>
    </row>
    <row r="75" spans="1:13" x14ac:dyDescent="0.2">
      <c r="A75">
        <v>-2.0639317516267601</v>
      </c>
      <c r="B75" s="70">
        <v>1.62528280112089</v>
      </c>
      <c r="C75">
        <v>0.49596041186225498</v>
      </c>
      <c r="D75">
        <v>0</v>
      </c>
      <c r="E75">
        <v>0</v>
      </c>
      <c r="F75">
        <v>5.0953856075070497E-5</v>
      </c>
      <c r="G75">
        <f>SQRT(Calcs!J76)</f>
        <v>0.18779474785624264</v>
      </c>
      <c r="H75" s="84">
        <f t="shared" si="4"/>
        <v>-0.18779474785624264</v>
      </c>
      <c r="I75" s="71">
        <f>LN(Calcs!L77/Calcs!L76)</f>
        <v>-1.0493603302216589E-2</v>
      </c>
      <c r="J75" s="76">
        <f t="shared" si="5"/>
        <v>-1.0544557158291661E-2</v>
      </c>
      <c r="K75" s="72">
        <v>1633.6880804472</v>
      </c>
      <c r="L75" s="72">
        <f t="shared" si="6"/>
        <v>1694.667551891825</v>
      </c>
      <c r="M75" s="75">
        <f t="shared" si="7"/>
        <v>-60.979471444625005</v>
      </c>
    </row>
    <row r="76" spans="1:13" x14ac:dyDescent="0.2">
      <c r="A76">
        <v>1.15048780542285</v>
      </c>
      <c r="B76" s="70">
        <v>-1.2368033894613599</v>
      </c>
      <c r="C76">
        <v>0.224283697433978</v>
      </c>
      <c r="D76">
        <v>0</v>
      </c>
      <c r="E76">
        <v>3.5593896877476397E-2</v>
      </c>
      <c r="F76">
        <v>2.62806933247895E-3</v>
      </c>
      <c r="G76">
        <f>SQRT(Calcs!J77)</f>
        <v>0.19946026487697285</v>
      </c>
      <c r="H76" s="84">
        <f t="shared" si="4"/>
        <v>-0.16386636799949644</v>
      </c>
      <c r="I76" s="71">
        <f>LN(Calcs!L78/Calcs!L77)</f>
        <v>-7.6509044171996863E-3</v>
      </c>
      <c r="J76" s="76">
        <f t="shared" si="5"/>
        <v>-1.0278973749678635E-2</v>
      </c>
      <c r="K76" s="72">
        <v>1637.9077077055799</v>
      </c>
      <c r="L76" s="72">
        <f t="shared" si="6"/>
        <v>1699.1271131650528</v>
      </c>
      <c r="M76" s="75">
        <f t="shared" si="7"/>
        <v>-61.21940545947291</v>
      </c>
    </row>
    <row r="77" spans="1:13" x14ac:dyDescent="0.2">
      <c r="A77">
        <v>-0.47899001123924001</v>
      </c>
      <c r="B77" s="70">
        <v>-1.66787476751264</v>
      </c>
      <c r="C77">
        <v>-1.61256883148413</v>
      </c>
      <c r="D77">
        <v>0</v>
      </c>
      <c r="E77">
        <v>0</v>
      </c>
      <c r="F77">
        <v>5.0953856075070497E-5</v>
      </c>
      <c r="G77">
        <f>SQRT(Calcs!J78)</f>
        <v>0.21732093182028855</v>
      </c>
      <c r="H77" s="84">
        <f t="shared" si="4"/>
        <v>-0.21732093182028855</v>
      </c>
      <c r="I77" s="71">
        <f>LN(Calcs!L79/Calcs!L78)</f>
        <v>-7.4344488457360157E-3</v>
      </c>
      <c r="J77" s="76">
        <f t="shared" si="5"/>
        <v>-7.4854027018110862E-3</v>
      </c>
      <c r="K77" s="72">
        <v>1637.93486473705</v>
      </c>
      <c r="L77" s="72">
        <f t="shared" si="6"/>
        <v>1699.2136924491858</v>
      </c>
      <c r="M77" s="75">
        <f t="shared" si="7"/>
        <v>-61.278827712135808</v>
      </c>
    </row>
    <row r="78" spans="1:13" x14ac:dyDescent="0.2">
      <c r="A78">
        <v>1.67145668234658</v>
      </c>
      <c r="B78" s="70">
        <v>-0.74331089793744098</v>
      </c>
      <c r="C78">
        <v>-1.57950633890912</v>
      </c>
      <c r="D78">
        <v>0</v>
      </c>
      <c r="E78">
        <v>3.6874275634279301E-2</v>
      </c>
      <c r="F78">
        <v>3.9308175989471198E-3</v>
      </c>
      <c r="G78">
        <f>SQRT(Calcs!J79)</f>
        <v>0.23414736804468325</v>
      </c>
      <c r="H78" s="84">
        <f t="shared" si="4"/>
        <v>-0.19727309241040394</v>
      </c>
      <c r="I78" s="71">
        <f>LN(Calcs!L80/Calcs!L79)</f>
        <v>-9.5712030529892956E-3</v>
      </c>
      <c r="J78" s="76">
        <f t="shared" si="5"/>
        <v>-1.3502020651936415E-2</v>
      </c>
      <c r="K78" s="72">
        <v>1637.96202221879</v>
      </c>
      <c r="L78" s="72">
        <f t="shared" si="6"/>
        <v>1705.9061363066248</v>
      </c>
      <c r="M78" s="75">
        <f t="shared" si="7"/>
        <v>-67.944114087834805</v>
      </c>
    </row>
    <row r="79" spans="1:13" x14ac:dyDescent="0.2">
      <c r="A79">
        <v>-1.6141593439527699</v>
      </c>
      <c r="B79" s="70">
        <v>1.4641477213987999</v>
      </c>
      <c r="C79">
        <v>0.52492458951415799</v>
      </c>
      <c r="D79">
        <v>0</v>
      </c>
      <c r="E79">
        <v>0</v>
      </c>
      <c r="F79">
        <v>5.0953856075070497E-5</v>
      </c>
      <c r="G79">
        <f>SQRT(Calcs!J80)</f>
        <v>0.19807277087390474</v>
      </c>
      <c r="H79" s="84">
        <f t="shared" si="4"/>
        <v>-0.19807277087390474</v>
      </c>
      <c r="I79" s="71">
        <f>LN(Calcs!L81/Calcs!L80)</f>
        <v>1.3032504997335556E-2</v>
      </c>
      <c r="J79" s="76">
        <f t="shared" si="5"/>
        <v>1.2981551141260485E-2</v>
      </c>
      <c r="K79" s="72">
        <v>1637.9891801508099</v>
      </c>
      <c r="L79" s="72">
        <f t="shared" si="6"/>
        <v>1705.9930610169276</v>
      </c>
      <c r="M79" s="75">
        <f t="shared" si="7"/>
        <v>-68.003880866117697</v>
      </c>
    </row>
    <row r="80" spans="1:13" x14ac:dyDescent="0.2">
      <c r="A80">
        <v>-0.321989222053783</v>
      </c>
      <c r="B80" s="70">
        <v>-1.4207805837177701</v>
      </c>
      <c r="C80">
        <v>-0.50725541202773905</v>
      </c>
      <c r="D80">
        <v>0</v>
      </c>
      <c r="E80">
        <v>3.0620394090351801E-2</v>
      </c>
      <c r="F80">
        <v>-5.7199262190883802E-4</v>
      </c>
      <c r="G80">
        <f>SQRT(Calcs!J81)</f>
        <v>0.15056753518477753</v>
      </c>
      <c r="H80" s="84">
        <f t="shared" si="4"/>
        <v>-0.11994714109442572</v>
      </c>
      <c r="I80" s="71">
        <f>LN(Calcs!L82/Calcs!L81)</f>
        <v>-9.4512357303474653E-3</v>
      </c>
      <c r="J80" s="76">
        <f t="shared" si="5"/>
        <v>-8.8792431084386281E-3</v>
      </c>
      <c r="K80" s="72">
        <v>1637.4966531925199</v>
      </c>
      <c r="L80" s="72">
        <f t="shared" si="6"/>
        <v>1705.0175245994126</v>
      </c>
      <c r="M80" s="75">
        <f t="shared" si="7"/>
        <v>-67.520871406892638</v>
      </c>
    </row>
    <row r="81" spans="1:13" x14ac:dyDescent="0.2">
      <c r="A81">
        <v>0.84075990597786998</v>
      </c>
      <c r="B81" s="70">
        <v>7.6279955908056293E-2</v>
      </c>
      <c r="C81">
        <v>0.65287933196474801</v>
      </c>
      <c r="D81">
        <v>0</v>
      </c>
      <c r="E81">
        <v>0</v>
      </c>
      <c r="F81">
        <v>5.0953856075070497E-5</v>
      </c>
      <c r="G81">
        <f>SQRT(Calcs!J82)</f>
        <v>0.16925245603847355</v>
      </c>
      <c r="H81" s="84">
        <f t="shared" si="4"/>
        <v>-0.16925245603847355</v>
      </c>
      <c r="I81" s="71">
        <f>LN(Calcs!L83/Calcs!L82)</f>
        <v>4.8275107666087384E-3</v>
      </c>
      <c r="J81" s="76">
        <f t="shared" si="5"/>
        <v>4.7765569105336679E-3</v>
      </c>
      <c r="K81" s="72">
        <v>1637.5238034085801</v>
      </c>
      <c r="L81" s="72">
        <f t="shared" si="6"/>
        <v>1705.1044040303689</v>
      </c>
      <c r="M81" s="75">
        <f t="shared" si="7"/>
        <v>-67.58060062178879</v>
      </c>
    </row>
    <row r="82" spans="1:13" x14ac:dyDescent="0.2">
      <c r="A82">
        <v>1.85030989862787E-2</v>
      </c>
      <c r="B82" s="70">
        <v>9.7979632715018097E-2</v>
      </c>
      <c r="C82">
        <v>0.70964667611537302</v>
      </c>
      <c r="D82">
        <v>0</v>
      </c>
      <c r="E82">
        <v>0</v>
      </c>
      <c r="F82">
        <v>5.0953856075070497E-5</v>
      </c>
      <c r="G82">
        <f>SQRT(Calcs!J83)</f>
        <v>0.19276476537780701</v>
      </c>
      <c r="H82" s="84">
        <f t="shared" si="4"/>
        <v>-0.19276476537780701</v>
      </c>
      <c r="I82" s="71">
        <f>LN(Calcs!L84/Calcs!L83)</f>
        <v>-2.0771236968833678E-2</v>
      </c>
      <c r="J82" s="76">
        <f t="shared" si="5"/>
        <v>-2.082219082490875E-2</v>
      </c>
      <c r="K82" s="72">
        <v>1637.58423765872</v>
      </c>
      <c r="L82" s="72">
        <f t="shared" si="6"/>
        <v>1705.1912878882799</v>
      </c>
      <c r="M82" s="75">
        <f t="shared" si="7"/>
        <v>-67.607050229559945</v>
      </c>
    </row>
    <row r="83" spans="1:13" x14ac:dyDescent="0.2">
      <c r="A83">
        <v>-0.23047801668337201</v>
      </c>
      <c r="B83" s="70">
        <v>0.188596657248116</v>
      </c>
      <c r="C83">
        <v>-0.483903940320565</v>
      </c>
      <c r="D83">
        <v>0</v>
      </c>
      <c r="E83">
        <v>0</v>
      </c>
      <c r="F83">
        <v>5.0953856075070497E-5</v>
      </c>
      <c r="G83">
        <f>SQRT(Calcs!J84)</f>
        <v>0.20386166594507571</v>
      </c>
      <c r="H83" s="84">
        <f t="shared" si="4"/>
        <v>-0.20386166594507571</v>
      </c>
      <c r="I83" s="71">
        <f>LN(Calcs!L85/Calcs!L84)</f>
        <v>-3.1394458215305895E-3</v>
      </c>
      <c r="J83" s="76">
        <f t="shared" si="5"/>
        <v>-3.19039967760566E-3</v>
      </c>
      <c r="K83" s="72">
        <v>1636.7742496851299</v>
      </c>
      <c r="L83" s="72">
        <f t="shared" si="6"/>
        <v>1705.2781761733713</v>
      </c>
      <c r="M83" s="75">
        <f t="shared" si="7"/>
        <v>-68.503926488241405</v>
      </c>
    </row>
    <row r="84" spans="1:13" x14ac:dyDescent="0.2">
      <c r="A84">
        <v>0.37201131574635898</v>
      </c>
      <c r="B84" s="70">
        <v>0.40628130930814699</v>
      </c>
      <c r="C84">
        <v>-0.90267385778010301</v>
      </c>
      <c r="D84">
        <v>0</v>
      </c>
      <c r="E84">
        <v>0</v>
      </c>
      <c r="F84">
        <v>5.0953856075070497E-5</v>
      </c>
      <c r="G84">
        <f>SQRT(Calcs!J85)</f>
        <v>0.2167395063560183</v>
      </c>
      <c r="H84" s="84">
        <f t="shared" si="4"/>
        <v>-0.2167395063560183</v>
      </c>
      <c r="I84" s="71">
        <f>LN(Calcs!L86/Calcs!L85)</f>
        <v>5.4563710790084263E-3</v>
      </c>
      <c r="J84" s="76">
        <f t="shared" si="5"/>
        <v>5.4054172229333558E-3</v>
      </c>
      <c r="K84" s="72">
        <v>1637.8920195201499</v>
      </c>
      <c r="L84" s="72">
        <f t="shared" si="6"/>
        <v>1705.3650688858688</v>
      </c>
      <c r="M84" s="75">
        <f t="shared" si="7"/>
        <v>-67.473049365718907</v>
      </c>
    </row>
    <row r="85" spans="1:13" x14ac:dyDescent="0.2">
      <c r="A85">
        <v>-0.267307278403418</v>
      </c>
      <c r="B85" s="70">
        <v>1.6354136538202799</v>
      </c>
      <c r="C85">
        <v>-1.1019200602099</v>
      </c>
      <c r="D85">
        <v>0</v>
      </c>
      <c r="E85">
        <v>0</v>
      </c>
      <c r="F85">
        <v>7.8491581878254094E-5</v>
      </c>
      <c r="G85">
        <f>SQRT(Calcs!J86)</f>
        <v>0.1979719762601537</v>
      </c>
      <c r="H85" s="84">
        <f t="shared" si="4"/>
        <v>-0.1979719762601537</v>
      </c>
      <c r="I85" s="71">
        <f>LN(Calcs!L87/Calcs!L86)</f>
        <v>1.2504579748805304E-2</v>
      </c>
      <c r="J85" s="76">
        <f t="shared" si="5"/>
        <v>1.242608816692705E-2</v>
      </c>
      <c r="K85" s="72">
        <v>1637.5178100717201</v>
      </c>
      <c r="L85" s="72">
        <f t="shared" si="6"/>
        <v>1705.498930941259</v>
      </c>
      <c r="M85" s="75">
        <f t="shared" si="7"/>
        <v>-67.981120869538927</v>
      </c>
    </row>
    <row r="86" spans="1:13" x14ac:dyDescent="0.2">
      <c r="A86">
        <v>0.31174949861364099</v>
      </c>
      <c r="B86" s="70">
        <v>0.95170788477822599</v>
      </c>
      <c r="C86">
        <v>0.31164795058959899</v>
      </c>
      <c r="D86">
        <v>0</v>
      </c>
      <c r="E86">
        <v>3.5899554812183501E-2</v>
      </c>
      <c r="F86">
        <v>7.8094331231401003E-4</v>
      </c>
      <c r="G86">
        <f>SQRT(Calcs!J87)</f>
        <v>0.16276319199505587</v>
      </c>
      <c r="H86" s="84">
        <f t="shared" si="4"/>
        <v>-0.12686363718287236</v>
      </c>
      <c r="I86" s="71">
        <f>LN(Calcs!L88/Calcs!L87)</f>
        <v>1.3037141943631841E-2</v>
      </c>
      <c r="J86" s="76">
        <f t="shared" si="5"/>
        <v>1.2256198631317831E-2</v>
      </c>
      <c r="K86" s="72">
        <v>1637.5900555235901</v>
      </c>
      <c r="L86" s="72">
        <f t="shared" si="6"/>
        <v>1706.8313491293557</v>
      </c>
      <c r="M86" s="75">
        <f t="shared" si="7"/>
        <v>-69.241293605765577</v>
      </c>
    </row>
    <row r="87" spans="1:13" x14ac:dyDescent="0.2">
      <c r="A87">
        <v>-0.17026114406705201</v>
      </c>
      <c r="B87" s="70">
        <v>1.8496069172402201</v>
      </c>
      <c r="C87">
        <v>1.81886601692331</v>
      </c>
      <c r="D87">
        <v>0</v>
      </c>
      <c r="E87">
        <v>5.6214082006539698E-2</v>
      </c>
      <c r="F87">
        <v>-5.3069928980090998E-4</v>
      </c>
      <c r="G87">
        <f>SQRT(Calcs!J88)</f>
        <v>0.11281133274461562</v>
      </c>
      <c r="H87" s="84">
        <f t="shared" si="4"/>
        <v>-5.6597250738075922E-2</v>
      </c>
      <c r="I87" s="71">
        <f>LN(Calcs!L89/Calcs!L88)</f>
        <v>-7.111098627275856E-3</v>
      </c>
      <c r="J87" s="76">
        <f t="shared" si="5"/>
        <v>-6.5803993374749462E-3</v>
      </c>
      <c r="K87" s="72">
        <v>1637.66230416284</v>
      </c>
      <c r="L87" s="72">
        <f t="shared" si="6"/>
        <v>1705.9257752595215</v>
      </c>
      <c r="M87" s="75">
        <f t="shared" si="7"/>
        <v>-68.263471096681542</v>
      </c>
    </row>
    <row r="88" spans="1:13" x14ac:dyDescent="0.2">
      <c r="A88">
        <v>-0.32929336355307098</v>
      </c>
      <c r="B88" s="70">
        <v>-0.20177505493894701</v>
      </c>
      <c r="C88">
        <v>1.16901795332779</v>
      </c>
      <c r="D88">
        <v>0</v>
      </c>
      <c r="E88">
        <v>0.101385452498018</v>
      </c>
      <c r="F88">
        <v>-2.04499566790633E-3</v>
      </c>
      <c r="G88">
        <f>SQRT(Calcs!J89)</f>
        <v>0.1310244861809714</v>
      </c>
      <c r="H88" s="84">
        <f t="shared" si="4"/>
        <v>-2.9639033682953397E-2</v>
      </c>
      <c r="I88" s="71">
        <f>LN(Calcs!L90/Calcs!L89)</f>
        <v>4.7920053780405644E-3</v>
      </c>
      <c r="J88" s="76">
        <f t="shared" si="5"/>
        <v>6.8370010459468944E-3</v>
      </c>
      <c r="K88" s="72">
        <v>1637.73455598961</v>
      </c>
      <c r="L88" s="72">
        <f t="shared" si="6"/>
        <v>1702.4407291060299</v>
      </c>
      <c r="M88" s="75">
        <f t="shared" si="7"/>
        <v>-64.706173116419905</v>
      </c>
    </row>
    <row r="89" spans="1:13" x14ac:dyDescent="0.2">
      <c r="A89">
        <v>0.494453991341534</v>
      </c>
      <c r="B89" s="70">
        <v>-0.62590194590390802</v>
      </c>
      <c r="C89">
        <v>-3.2880841838627499</v>
      </c>
      <c r="D89">
        <v>0</v>
      </c>
      <c r="E89">
        <v>9.3455570693979403E-2</v>
      </c>
      <c r="F89">
        <v>2.9720859509489699E-3</v>
      </c>
      <c r="G89">
        <f>SQRT(Calcs!J90)</f>
        <v>9.6876419997910093E-2</v>
      </c>
      <c r="H89" s="84">
        <f t="shared" si="4"/>
        <v>-3.4208493039306898E-3</v>
      </c>
      <c r="I89" s="71">
        <f>LN(Calcs!L91/Calcs!L90)</f>
        <v>-4.1647087812814778E-4</v>
      </c>
      <c r="J89" s="76">
        <f t="shared" si="5"/>
        <v>-3.3885568290771178E-3</v>
      </c>
      <c r="K89" s="72">
        <v>1637.8068110040599</v>
      </c>
      <c r="L89" s="72">
        <f t="shared" si="6"/>
        <v>1707.50805581449</v>
      </c>
      <c r="M89" s="75">
        <f t="shared" si="7"/>
        <v>-69.701244810430126</v>
      </c>
    </row>
    <row r="90" spans="1:13" x14ac:dyDescent="0.2">
      <c r="A90">
        <v>-1.1271745148233301</v>
      </c>
      <c r="B90" s="70">
        <v>0.641285376698843</v>
      </c>
      <c r="C90">
        <v>0.244575947205947</v>
      </c>
      <c r="D90">
        <v>0</v>
      </c>
      <c r="E90">
        <v>7.3961854317900699E-2</v>
      </c>
      <c r="F90">
        <v>-5.18404745080103E-3</v>
      </c>
      <c r="G90">
        <f>SQRT(Calcs!J91)</f>
        <v>8.0222291303684162E-2</v>
      </c>
      <c r="H90" s="84">
        <f t="shared" si="4"/>
        <v>-6.260436985783463E-3</v>
      </c>
      <c r="I90" s="71">
        <f>LN(Calcs!L92/Calcs!L91)</f>
        <v>5.8119924878421991E-3</v>
      </c>
      <c r="J90" s="76">
        <f t="shared" si="5"/>
        <v>1.0996039938643228E-2</v>
      </c>
      <c r="K90" s="72">
        <v>1637.8790692063201</v>
      </c>
      <c r="L90" s="72">
        <f t="shared" si="6"/>
        <v>1698.6791575169441</v>
      </c>
      <c r="M90" s="75">
        <f t="shared" si="7"/>
        <v>-60.800088310624005</v>
      </c>
    </row>
    <row r="91" spans="1:13" x14ac:dyDescent="0.2">
      <c r="A91">
        <v>2.2166810750624002</v>
      </c>
      <c r="B91" s="70">
        <v>-0.31977295663736699</v>
      </c>
      <c r="C91">
        <v>0.71110997986523306</v>
      </c>
      <c r="D91">
        <v>0</v>
      </c>
      <c r="E91">
        <v>8.7640667985259699E-2</v>
      </c>
      <c r="F91">
        <v>1.2301200252357E-2</v>
      </c>
      <c r="G91">
        <f>SQRT(Calcs!J92)</f>
        <v>9.0608812651093509E-2</v>
      </c>
      <c r="H91" s="84">
        <f t="shared" si="4"/>
        <v>-2.9681446658338106E-3</v>
      </c>
      <c r="I91" s="71">
        <f>LN(Calcs!L93/Calcs!L92)</f>
        <v>-1.1309378041208407E-3</v>
      </c>
      <c r="J91" s="76">
        <f t="shared" si="5"/>
        <v>-1.3432138056477841E-2</v>
      </c>
      <c r="K91" s="72">
        <v>1637.9513305965299</v>
      </c>
      <c r="L91" s="72">
        <f t="shared" si="6"/>
        <v>1719.704000276826</v>
      </c>
      <c r="M91" s="75">
        <f t="shared" si="7"/>
        <v>-81.752669680296094</v>
      </c>
    </row>
    <row r="92" spans="1:13" x14ac:dyDescent="0.2">
      <c r="A92">
        <v>0.43408643769830102</v>
      </c>
      <c r="B92" s="70">
        <v>-1.35689263521462</v>
      </c>
      <c r="C92">
        <v>-0.95808848013841896</v>
      </c>
      <c r="D92">
        <v>0</v>
      </c>
      <c r="E92">
        <v>7.6138874330536302E-2</v>
      </c>
      <c r="F92">
        <v>2.1489973657562202E-3</v>
      </c>
      <c r="G92">
        <f>SQRT(Calcs!J93)</f>
        <v>9.4945995629096461E-2</v>
      </c>
      <c r="H92" s="84">
        <f t="shared" si="4"/>
        <v>-1.8807121298560159E-2</v>
      </c>
      <c r="I92" s="71">
        <f>LN(Calcs!L94/Calcs!L93)</f>
        <v>-1.6282310659602274E-4</v>
      </c>
      <c r="J92" s="76">
        <f t="shared" si="5"/>
        <v>-2.3118204723522428E-3</v>
      </c>
      <c r="K92" s="72">
        <v>1639.77254380869</v>
      </c>
      <c r="L92" s="72">
        <f t="shared" si="6"/>
        <v>1723.4036134489891</v>
      </c>
      <c r="M92" s="75">
        <f t="shared" si="7"/>
        <v>-83.631069640299074</v>
      </c>
    </row>
    <row r="93" spans="1:13" x14ac:dyDescent="0.2">
      <c r="A93">
        <v>-0.85829833734379701</v>
      </c>
      <c r="B93" s="70">
        <v>0.57954563846333396</v>
      </c>
      <c r="C93">
        <v>5.4158562515337003E-2</v>
      </c>
      <c r="D93">
        <v>0</v>
      </c>
      <c r="E93">
        <v>3.4613365944630402E-2</v>
      </c>
      <c r="F93">
        <v>-1.79535111133788E-3</v>
      </c>
      <c r="G93">
        <f>SQRT(Calcs!J94)</f>
        <v>9.3203573332997669E-2</v>
      </c>
      <c r="H93" s="84">
        <f t="shared" si="4"/>
        <v>-5.8590207388367267E-2</v>
      </c>
      <c r="I93" s="71">
        <f>LN(Calcs!L95/Calcs!L94)</f>
        <v>-4.4424187877266878E-3</v>
      </c>
      <c r="J93" s="76">
        <f t="shared" si="5"/>
        <v>-2.6470676763888077E-3</v>
      </c>
      <c r="K93" s="72">
        <v>1635.42764150427</v>
      </c>
      <c r="L93" s="72">
        <f t="shared" si="6"/>
        <v>1720.3122747058794</v>
      </c>
      <c r="M93" s="75">
        <f t="shared" si="7"/>
        <v>-84.884633201609404</v>
      </c>
    </row>
    <row r="94" spans="1:13" x14ac:dyDescent="0.2">
      <c r="A94">
        <v>1.10847539490383</v>
      </c>
      <c r="B94" s="70">
        <v>-0.91117412180002</v>
      </c>
      <c r="C94">
        <v>0.24323026830133501</v>
      </c>
      <c r="D94">
        <v>0</v>
      </c>
      <c r="E94">
        <v>4.4351788612812901E-2</v>
      </c>
      <c r="F94">
        <v>3.1715581246607402E-3</v>
      </c>
      <c r="G94">
        <f>SQRT(Calcs!J95)</f>
        <v>8.4046403310996845E-2</v>
      </c>
      <c r="H94" s="84">
        <f t="shared" si="4"/>
        <v>-3.9694614698183944E-2</v>
      </c>
      <c r="I94" s="71">
        <f>LN(Calcs!L96/Calcs!L95)</f>
        <v>7.0846680581692139E-3</v>
      </c>
      <c r="J94" s="76">
        <f t="shared" si="5"/>
        <v>3.9131099335084733E-3</v>
      </c>
      <c r="K94" s="72">
        <v>1639.54294527364</v>
      </c>
      <c r="L94" s="72">
        <f t="shared" si="6"/>
        <v>1725.7770063539945</v>
      </c>
      <c r="M94" s="75">
        <f t="shared" si="7"/>
        <v>-86.234061080354422</v>
      </c>
    </row>
    <row r="95" spans="1:13" x14ac:dyDescent="0.2">
      <c r="A95">
        <v>0.99477605718103501</v>
      </c>
      <c r="B95" s="70">
        <v>-0.37932237476402803</v>
      </c>
      <c r="C95">
        <v>-0.44255261440017302</v>
      </c>
      <c r="D95">
        <v>0</v>
      </c>
      <c r="E95">
        <v>0</v>
      </c>
      <c r="F95">
        <v>7.8491581878254094E-5</v>
      </c>
      <c r="G95">
        <f>SQRT(Calcs!J96)</f>
        <v>7.624662821103137E-2</v>
      </c>
      <c r="H95" s="84">
        <f t="shared" si="4"/>
        <v>-7.624662821103137E-2</v>
      </c>
      <c r="I95" s="71">
        <f>LN(Calcs!L97/Calcs!L96)</f>
        <v>-2.7971029540097355E-3</v>
      </c>
      <c r="J95" s="76">
        <f t="shared" si="5"/>
        <v>-2.8755945358879893E-3</v>
      </c>
      <c r="K95" s="72">
        <v>1642.74016634086</v>
      </c>
      <c r="L95" s="72">
        <f t="shared" si="6"/>
        <v>1725.9124706375258</v>
      </c>
      <c r="M95" s="75">
        <f t="shared" si="7"/>
        <v>-83.172304296665743</v>
      </c>
    </row>
    <row r="96" spans="1:13" x14ac:dyDescent="0.2">
      <c r="A96">
        <v>-0.374466517443446</v>
      </c>
      <c r="B96" s="70">
        <v>-1.82285546045175</v>
      </c>
      <c r="C96">
        <v>-2.2756801236827</v>
      </c>
      <c r="D96">
        <v>0</v>
      </c>
      <c r="E96">
        <v>0</v>
      </c>
      <c r="F96">
        <v>7.8491581878254094E-5</v>
      </c>
      <c r="G96">
        <f>SQRT(Calcs!J97)</f>
        <v>9.4844641864684359E-2</v>
      </c>
      <c r="H96" s="84">
        <f t="shared" si="4"/>
        <v>-9.4844641864684359E-2</v>
      </c>
      <c r="I96" s="71">
        <f>LN(Calcs!L98/Calcs!L97)</f>
        <v>-3.5870339096189673E-3</v>
      </c>
      <c r="J96" s="76">
        <f t="shared" si="5"/>
        <v>-3.6655254914972212E-3</v>
      </c>
      <c r="K96" s="72">
        <v>1642.8126421972399</v>
      </c>
      <c r="L96" s="72">
        <f t="shared" si="6"/>
        <v>1726.0479455542802</v>
      </c>
      <c r="M96" s="75">
        <f t="shared" si="7"/>
        <v>-83.235303357040266</v>
      </c>
    </row>
    <row r="97" spans="1:13" x14ac:dyDescent="0.2">
      <c r="A97">
        <v>-0.352309915330208</v>
      </c>
      <c r="B97" s="70">
        <v>0.866959746686088</v>
      </c>
      <c r="C97">
        <v>1.0796241466084799</v>
      </c>
      <c r="D97">
        <v>0</v>
      </c>
      <c r="E97">
        <v>4.1443864097228299E-2</v>
      </c>
      <c r="F97">
        <v>-8.4469819485489303E-4</v>
      </c>
      <c r="G97">
        <f>SQRT(Calcs!J98)</f>
        <v>0.1219671219577004</v>
      </c>
      <c r="H97" s="84">
        <f t="shared" si="4"/>
        <v>-8.0523257860472097E-2</v>
      </c>
      <c r="I97" s="71">
        <f>LN(Calcs!L99/Calcs!L98)</f>
        <v>-3.5808611681375632E-3</v>
      </c>
      <c r="J97" s="76">
        <f t="shared" si="5"/>
        <v>-2.7361629732826701E-3</v>
      </c>
      <c r="K97" s="72">
        <v>1642.8851212511599</v>
      </c>
      <c r="L97" s="72">
        <f t="shared" si="6"/>
        <v>1724.590571577676</v>
      </c>
      <c r="M97" s="75">
        <f t="shared" si="7"/>
        <v>-81.705450326516029</v>
      </c>
    </row>
    <row r="98" spans="1:13" x14ac:dyDescent="0.2">
      <c r="A98">
        <v>0.291788653970248</v>
      </c>
      <c r="B98" s="70">
        <v>-0.23382324290268799</v>
      </c>
      <c r="C98">
        <v>-0.85631072895911897</v>
      </c>
      <c r="D98">
        <v>0</v>
      </c>
      <c r="E98">
        <v>5.9799663382855597E-2</v>
      </c>
      <c r="F98">
        <v>1.17057141373718E-3</v>
      </c>
      <c r="G98">
        <f>SQRT(Calcs!J99)</f>
        <v>0.12905104378792023</v>
      </c>
      <c r="H98" s="84">
        <f t="shared" si="4"/>
        <v>-6.9251380405064636E-2</v>
      </c>
      <c r="I98" s="71">
        <f>LN(Calcs!L100/Calcs!L99)</f>
        <v>6.9413498929993852E-4</v>
      </c>
      <c r="J98" s="76">
        <f t="shared" si="5"/>
        <v>-4.7643642443724143E-4</v>
      </c>
      <c r="K98" s="72">
        <v>1643.4258595792201</v>
      </c>
      <c r="L98" s="72">
        <f t="shared" si="6"/>
        <v>1726.6105100116101</v>
      </c>
      <c r="M98" s="75">
        <f t="shared" si="7"/>
        <v>-83.184650432390072</v>
      </c>
    </row>
    <row r="99" spans="1:13" x14ac:dyDescent="0.2">
      <c r="A99">
        <v>0.69972767986571804</v>
      </c>
      <c r="B99" s="70">
        <v>-0.49733864536683497</v>
      </c>
      <c r="C99">
        <v>2.6170348211236099</v>
      </c>
      <c r="D99">
        <v>0</v>
      </c>
      <c r="E99">
        <v>4.8977114131425699E-2</v>
      </c>
      <c r="F99">
        <v>2.23257969342237E-3</v>
      </c>
      <c r="G99">
        <f>SQRT(Calcs!J100)</f>
        <v>0.11278619649668518</v>
      </c>
      <c r="H99" s="84">
        <f t="shared" si="4"/>
        <v>-6.3809082365259479E-2</v>
      </c>
      <c r="I99" s="71">
        <f>LN(Calcs!L101/Calcs!L100)</f>
        <v>6.6026838267434418E-3</v>
      </c>
      <c r="J99" s="76">
        <f t="shared" si="5"/>
        <v>4.3701041333210717E-3</v>
      </c>
      <c r="K99" s="72">
        <v>1643.4983656876</v>
      </c>
      <c r="L99" s="72">
        <f t="shared" si="6"/>
        <v>1730.4696118479631</v>
      </c>
      <c r="M99" s="75">
        <f t="shared" si="7"/>
        <v>-86.97124616036308</v>
      </c>
    </row>
    <row r="100" spans="1:13" x14ac:dyDescent="0.2">
      <c r="A100">
        <v>-1.97242915891672</v>
      </c>
      <c r="B100" s="70">
        <v>2.7380546801521302</v>
      </c>
      <c r="C100">
        <v>-0.66620628955880201</v>
      </c>
      <c r="D100">
        <v>0</v>
      </c>
      <c r="E100">
        <v>2.86309682989189E-2</v>
      </c>
      <c r="F100">
        <v>-3.4805715612659899E-3</v>
      </c>
      <c r="G100">
        <f>SQRT(Calcs!J101)</f>
        <v>8.4729952315700185E-2</v>
      </c>
      <c r="H100" s="84">
        <f t="shared" si="4"/>
        <v>-5.6098984016781289E-2</v>
      </c>
      <c r="I100" s="71">
        <f>LN(Calcs!L102/Calcs!L101)</f>
        <v>-2.0069364665146429E-3</v>
      </c>
      <c r="J100" s="76">
        <f t="shared" si="5"/>
        <v>1.473635094751347E-3</v>
      </c>
      <c r="K100" s="72">
        <v>1643.5708749948799</v>
      </c>
      <c r="L100" s="72">
        <f t="shared" si="6"/>
        <v>1724.4570581608782</v>
      </c>
      <c r="M100" s="75">
        <f t="shared" si="7"/>
        <v>-80.886183165998318</v>
      </c>
    </row>
    <row r="101" spans="1:13" x14ac:dyDescent="0.2">
      <c r="A101">
        <v>-0.35094325523507303</v>
      </c>
      <c r="B101" s="70">
        <v>0.44412326732326901</v>
      </c>
      <c r="C101">
        <v>1.30306090611725</v>
      </c>
      <c r="D101">
        <v>0</v>
      </c>
      <c r="E101">
        <v>9.6581873440460098E-2</v>
      </c>
      <c r="F101">
        <v>-2.0751854687051201E-3</v>
      </c>
      <c r="G101">
        <f>SQRT(Calcs!J102)</f>
        <v>0.1067190595906138</v>
      </c>
      <c r="H101" s="84">
        <f t="shared" si="4"/>
        <v>-1.0137186150153701E-2</v>
      </c>
      <c r="I101" s="71">
        <f>LN(Calcs!L103/Calcs!L102)</f>
        <v>2.7114611543765724E-3</v>
      </c>
      <c r="J101" s="76">
        <f t="shared" si="5"/>
        <v>4.7866466230816924E-3</v>
      </c>
      <c r="K101" s="72">
        <v>1642.4112908063801</v>
      </c>
      <c r="L101" s="72">
        <f t="shared" si="6"/>
        <v>1720.8822004616475</v>
      </c>
      <c r="M101" s="75">
        <f t="shared" si="7"/>
        <v>-78.470909655267405</v>
      </c>
    </row>
    <row r="102" spans="1:13" x14ac:dyDescent="0.2">
      <c r="A102">
        <v>0.64418517632321703</v>
      </c>
      <c r="B102" s="70">
        <v>1.0324630850437401E-2</v>
      </c>
      <c r="C102">
        <v>1.7817916482318401</v>
      </c>
      <c r="D102">
        <v>0</v>
      </c>
      <c r="E102">
        <v>0.10558868444578</v>
      </c>
      <c r="F102">
        <v>4.3411437737142103E-3</v>
      </c>
      <c r="G102">
        <f>SQRT(Calcs!J103)</f>
        <v>0.10105352497714386</v>
      </c>
      <c r="H102" s="84">
        <f t="shared" si="4"/>
        <v>4.5351594686361407E-3</v>
      </c>
      <c r="I102" s="71">
        <f>LN(Calcs!L104/Calcs!L103)</f>
        <v>-2.3580596723716952E-3</v>
      </c>
      <c r="J102" s="76">
        <f t="shared" si="5"/>
        <v>-6.6992034460859051E-3</v>
      </c>
      <c r="K102" s="72">
        <v>1642.4837521531299</v>
      </c>
      <c r="L102" s="72">
        <f t="shared" si="6"/>
        <v>1728.3690364694587</v>
      </c>
      <c r="M102" s="75">
        <f t="shared" si="7"/>
        <v>-85.885284316328807</v>
      </c>
    </row>
    <row r="103" spans="1:13" x14ac:dyDescent="0.2">
      <c r="A103">
        <v>1.0712371078192899</v>
      </c>
      <c r="B103" s="70">
        <v>-2.32982768910251</v>
      </c>
      <c r="C103">
        <v>0.31452314869679598</v>
      </c>
      <c r="D103">
        <v>0</v>
      </c>
      <c r="E103">
        <v>0.103354345424228</v>
      </c>
      <c r="F103">
        <v>7.03181295880139E-3</v>
      </c>
      <c r="G103">
        <f>SQRT(Calcs!J104)</f>
        <v>0.10353429998141782</v>
      </c>
      <c r="H103" s="84">
        <f t="shared" si="4"/>
        <v>-1.7995455718981812E-4</v>
      </c>
      <c r="I103" s="71">
        <f>LN(Calcs!L105/Calcs!L104)</f>
        <v>-1.1213270894056384E-3</v>
      </c>
      <c r="J103" s="76">
        <f t="shared" si="5"/>
        <v>-8.1531400482070283E-3</v>
      </c>
      <c r="K103" s="72">
        <v>1642.55621669679</v>
      </c>
      <c r="L103" s="72">
        <f t="shared" si="6"/>
        <v>1740.5654354001013</v>
      </c>
      <c r="M103" s="75">
        <f t="shared" si="7"/>
        <v>-98.009218703311262</v>
      </c>
    </row>
    <row r="104" spans="1:13" x14ac:dyDescent="0.2">
      <c r="A104">
        <v>1.5331289272274899</v>
      </c>
      <c r="B104" s="70">
        <v>-1.6642170016556601</v>
      </c>
      <c r="C104">
        <v>0.56787591573288498</v>
      </c>
      <c r="D104">
        <v>0</v>
      </c>
      <c r="E104">
        <v>3.6946254901697E-2</v>
      </c>
      <c r="F104">
        <v>3.6439802476695101E-3</v>
      </c>
      <c r="G104">
        <f>SQRT(Calcs!J105)</f>
        <v>0.13008745111650608</v>
      </c>
      <c r="H104" s="84">
        <f t="shared" si="4"/>
        <v>-9.3141196214809069E-2</v>
      </c>
      <c r="I104" s="71">
        <f>LN(Calcs!L106/Calcs!L105)</f>
        <v>1.1861687658741855E-2</v>
      </c>
      <c r="J104" s="76">
        <f t="shared" si="5"/>
        <v>8.2177074110723457E-3</v>
      </c>
      <c r="K104" s="72">
        <v>1642.6286844375099</v>
      </c>
      <c r="L104" s="72">
        <f t="shared" si="6"/>
        <v>1746.9195916452136</v>
      </c>
      <c r="M104" s="75">
        <f t="shared" si="7"/>
        <v>-104.29090720770364</v>
      </c>
    </row>
    <row r="105" spans="1:13" x14ac:dyDescent="0.2">
      <c r="A105">
        <v>2.4531195037781599E-2</v>
      </c>
      <c r="B105" s="70">
        <v>0.21961452316150701</v>
      </c>
      <c r="C105">
        <v>-1.6024425702215199</v>
      </c>
      <c r="D105">
        <v>0</v>
      </c>
      <c r="E105">
        <v>0</v>
      </c>
      <c r="F105">
        <v>7.8491581878254094E-5</v>
      </c>
      <c r="G105">
        <f>SQRT(Calcs!J106)</f>
        <v>0.11349445147159117</v>
      </c>
      <c r="H105" s="84">
        <f t="shared" si="4"/>
        <v>-0.11349445147159117</v>
      </c>
      <c r="I105" s="71">
        <f>LN(Calcs!L107/Calcs!L106)</f>
        <v>3.8661048611355691E-3</v>
      </c>
      <c r="J105" s="76">
        <f t="shared" si="5"/>
        <v>3.7876132792573152E-3</v>
      </c>
      <c r="K105" s="72">
        <v>1642.77262622483</v>
      </c>
      <c r="L105" s="72">
        <f t="shared" si="6"/>
        <v>1747.0567155088399</v>
      </c>
      <c r="M105" s="75">
        <f t="shared" si="7"/>
        <v>-104.28408928400995</v>
      </c>
    </row>
    <row r="106" spans="1:13" x14ac:dyDescent="0.2">
      <c r="A106">
        <v>0.200621278567434</v>
      </c>
      <c r="B106" s="70">
        <v>-1.0522139524646501</v>
      </c>
      <c r="C106">
        <v>8.2038048666012595E-2</v>
      </c>
      <c r="D106">
        <v>0</v>
      </c>
      <c r="E106">
        <v>0</v>
      </c>
      <c r="F106">
        <v>7.8491581878254094E-5</v>
      </c>
      <c r="G106">
        <f>SQRT(Calcs!J107)</f>
        <v>0.1173440823127231</v>
      </c>
      <c r="H106" s="84">
        <f t="shared" si="4"/>
        <v>-0.1173440823127231</v>
      </c>
      <c r="I106" s="71">
        <f>LN(Calcs!L108/Calcs!L107)</f>
        <v>-5.9866409777912981E-3</v>
      </c>
      <c r="J106" s="76">
        <f t="shared" si="5"/>
        <v>-6.065132559669552E-3</v>
      </c>
      <c r="K106" s="72">
        <v>1643.26064350601</v>
      </c>
      <c r="L106" s="72">
        <f t="shared" si="6"/>
        <v>1747.1938501359577</v>
      </c>
      <c r="M106" s="75">
        <f t="shared" si="7"/>
        <v>-103.93320662994779</v>
      </c>
    </row>
    <row r="107" spans="1:13" x14ac:dyDescent="0.2">
      <c r="A107">
        <v>0.57277863564833298</v>
      </c>
      <c r="B107" s="70">
        <v>-0.155560537113413</v>
      </c>
      <c r="C107">
        <v>-0.71737640327056895</v>
      </c>
      <c r="D107">
        <v>0</v>
      </c>
      <c r="E107">
        <v>1.5871036020707899E-2</v>
      </c>
      <c r="F107">
        <v>6.5064516624422795E-4</v>
      </c>
      <c r="G107">
        <f>SQRT(Calcs!J108)</f>
        <v>0.13712409018773766</v>
      </c>
      <c r="H107" s="84">
        <f t="shared" si="4"/>
        <v>-0.12125305416702976</v>
      </c>
      <c r="I107" s="71">
        <f>LN(Calcs!L109/Calcs!L108)</f>
        <v>9.099771249891371E-3</v>
      </c>
      <c r="J107" s="76">
        <f t="shared" si="5"/>
        <v>8.4491260836471425E-3</v>
      </c>
      <c r="K107" s="72">
        <v>1643.33314232525</v>
      </c>
      <c r="L107" s="72">
        <f t="shared" si="6"/>
        <v>1748.3310232770266</v>
      </c>
      <c r="M107" s="75">
        <f t="shared" si="7"/>
        <v>-104.99788095177655</v>
      </c>
    </row>
    <row r="108" spans="1:13" x14ac:dyDescent="0.2">
      <c r="A108">
        <v>-1.40967264623804</v>
      </c>
      <c r="B108" s="70">
        <v>0.93323668012053995</v>
      </c>
      <c r="C108">
        <v>-1.39072817338034</v>
      </c>
      <c r="D108">
        <v>0</v>
      </c>
      <c r="E108">
        <v>0</v>
      </c>
      <c r="F108">
        <v>7.8491581878254094E-5</v>
      </c>
      <c r="G108">
        <f>SQRT(Calcs!J109)</f>
        <v>0.11140719816803117</v>
      </c>
      <c r="H108" s="84">
        <f t="shared" si="4"/>
        <v>-0.11140719816803117</v>
      </c>
      <c r="I108" s="71">
        <f>LN(Calcs!L110/Calcs!L109)</f>
        <v>-1.1785020249373977E-2</v>
      </c>
      <c r="J108" s="76">
        <f t="shared" si="5"/>
        <v>-1.186351183125223E-2</v>
      </c>
      <c r="K108" s="72">
        <v>1643.40564434306</v>
      </c>
      <c r="L108" s="72">
        <f t="shared" si="6"/>
        <v>1748.4682579305024</v>
      </c>
      <c r="M108" s="75">
        <f t="shared" si="7"/>
        <v>-105.06261358744246</v>
      </c>
    </row>
    <row r="109" spans="1:13" x14ac:dyDescent="0.2">
      <c r="A109">
        <v>1.6204585030776899</v>
      </c>
      <c r="B109" s="70">
        <v>-2.3506520600759</v>
      </c>
      <c r="C109">
        <v>0.52093417247269602</v>
      </c>
      <c r="D109">
        <v>0</v>
      </c>
      <c r="E109">
        <v>9.7786646763135202E-3</v>
      </c>
      <c r="F109">
        <v>1.0653500148687901E-3</v>
      </c>
      <c r="G109">
        <f>SQRT(Calcs!J110)</f>
        <v>0.10565865511200037</v>
      </c>
      <c r="H109" s="84">
        <f t="shared" si="4"/>
        <v>-9.5879990435686846E-2</v>
      </c>
      <c r="I109" s="71">
        <f>LN(Calcs!L111/Calcs!L110)</f>
        <v>1.599231387286602E-2</v>
      </c>
      <c r="J109" s="76">
        <f t="shared" si="5"/>
        <v>1.492696385799723E-2</v>
      </c>
      <c r="K109" s="72">
        <v>1643.4598232462299</v>
      </c>
      <c r="L109" s="72">
        <f t="shared" si="6"/>
        <v>1750.3319811976189</v>
      </c>
      <c r="M109" s="75">
        <f t="shared" si="7"/>
        <v>-106.872157951389</v>
      </c>
    </row>
    <row r="110" spans="1:13" x14ac:dyDescent="0.2">
      <c r="A110">
        <v>-1.56482844079832</v>
      </c>
      <c r="B110" s="70">
        <v>0.806890562401264</v>
      </c>
      <c r="C110">
        <v>-0.73652995637660101</v>
      </c>
      <c r="D110">
        <v>0</v>
      </c>
      <c r="E110">
        <v>4.56904288239698E-2</v>
      </c>
      <c r="F110">
        <v>-4.4407321539342596E-3</v>
      </c>
      <c r="G110">
        <f>SQRT(Calcs!J111)</f>
        <v>4.5484291584733098E-2</v>
      </c>
      <c r="H110" s="84">
        <f t="shared" si="4"/>
        <v>2.0613723923670196E-4</v>
      </c>
      <c r="I110" s="71">
        <f>LN(Calcs!L112/Calcs!L111)</f>
        <v>3.1132158248731237E-3</v>
      </c>
      <c r="J110" s="76">
        <f t="shared" si="5"/>
        <v>7.5539479788073833E-3</v>
      </c>
      <c r="K110" s="72">
        <v>1638.89766925963</v>
      </c>
      <c r="L110" s="72">
        <f t="shared" si="6"/>
        <v>1742.5764585330594</v>
      </c>
      <c r="M110" s="75">
        <f t="shared" si="7"/>
        <v>-103.6787892734294</v>
      </c>
    </row>
    <row r="111" spans="1:13" x14ac:dyDescent="0.2">
      <c r="A111">
        <v>-0.84328074019267396</v>
      </c>
      <c r="B111" s="70">
        <v>0.10687232510535701</v>
      </c>
      <c r="C111">
        <v>-3.2717982319642298E-2</v>
      </c>
      <c r="D111">
        <v>0</v>
      </c>
      <c r="E111">
        <v>6.2660173859627494E-2</v>
      </c>
      <c r="F111">
        <v>-3.2690642309361E-3</v>
      </c>
      <c r="G111">
        <f>SQRT(Calcs!J112)</f>
        <v>5.8171898371940971E-2</v>
      </c>
      <c r="H111" s="84">
        <f t="shared" si="4"/>
        <v>4.488275487686523E-3</v>
      </c>
      <c r="I111" s="71">
        <f>LN(Calcs!L113/Calcs!L112)</f>
        <v>4.5812763507762933E-4</v>
      </c>
      <c r="J111" s="76">
        <f t="shared" si="5"/>
        <v>3.7271918660137294E-3</v>
      </c>
      <c r="K111" s="72">
        <v>1634.1935820951601</v>
      </c>
      <c r="L111" s="72">
        <f t="shared" si="6"/>
        <v>1736.8891652911555</v>
      </c>
      <c r="M111" s="75">
        <f t="shared" si="7"/>
        <v>-102.69558319599537</v>
      </c>
    </row>
    <row r="112" spans="1:13" x14ac:dyDescent="0.2">
      <c r="A112">
        <v>-1.89822642383218</v>
      </c>
      <c r="B112" s="70">
        <v>-0.121388312417425</v>
      </c>
      <c r="C112">
        <v>0.26127956192342899</v>
      </c>
      <c r="D112">
        <v>0</v>
      </c>
      <c r="E112">
        <v>6.1504883287354602E-2</v>
      </c>
      <c r="F112">
        <v>-7.2947360343526696E-3</v>
      </c>
      <c r="G112">
        <f>SQRT(Calcs!J113)</f>
        <v>7.4121084509422147E-2</v>
      </c>
      <c r="H112" s="84">
        <f t="shared" si="4"/>
        <v>-1.2616201222067545E-2</v>
      </c>
      <c r="I112" s="71">
        <f>LN(Calcs!L114/Calcs!L113)</f>
        <v>-3.8773161410566833E-4</v>
      </c>
      <c r="J112" s="76">
        <f t="shared" si="5"/>
        <v>6.9070044202470017E-3</v>
      </c>
      <c r="K112" s="72">
        <v>1630.7334706981601</v>
      </c>
      <c r="L112" s="72">
        <f t="shared" si="6"/>
        <v>1724.2651178367814</v>
      </c>
      <c r="M112" s="75">
        <f t="shared" si="7"/>
        <v>-93.531647138621338</v>
      </c>
    </row>
    <row r="113" spans="1:13" x14ac:dyDescent="0.2">
      <c r="A113">
        <v>-0.98968614010315503</v>
      </c>
      <c r="B113" s="70">
        <v>-0.79018868663318298</v>
      </c>
      <c r="C113">
        <v>0.55068508308085296</v>
      </c>
      <c r="D113">
        <v>1</v>
      </c>
      <c r="E113">
        <v>5.3977908217944098E-2</v>
      </c>
      <c r="F113">
        <v>6.9536198217744604E-3</v>
      </c>
      <c r="G113">
        <f>SQRT(Calcs!J114)</f>
        <v>8.4789627021279776E-2</v>
      </c>
      <c r="H113" s="84">
        <f t="shared" si="4"/>
        <v>-3.0811718803335678E-2</v>
      </c>
      <c r="I113" s="71">
        <f>LN(Calcs!L115/Calcs!L114)</f>
        <v>-8.355956518911925E-3</v>
      </c>
      <c r="J113" s="76">
        <f t="shared" si="5"/>
        <v>-1.5309576340686385E-2</v>
      </c>
      <c r="K113" s="72">
        <v>1623.6847999030099</v>
      </c>
      <c r="L113" s="72">
        <f t="shared" si="6"/>
        <v>1736.2967852783806</v>
      </c>
      <c r="M113" s="75">
        <f t="shared" si="7"/>
        <v>-112.61198537537075</v>
      </c>
    </row>
    <row r="114" spans="1:13" x14ac:dyDescent="0.2">
      <c r="A114">
        <v>-0.87169365142435995</v>
      </c>
      <c r="B114" s="70">
        <v>0.31753774333995799</v>
      </c>
      <c r="C114">
        <v>0.65202786173461302</v>
      </c>
      <c r="D114">
        <v>0</v>
      </c>
      <c r="E114">
        <v>2.5317635255661601E-2</v>
      </c>
      <c r="F114">
        <v>-1.3241615089730999E-3</v>
      </c>
      <c r="G114">
        <f>SQRT(Calcs!J115)</f>
        <v>0.12893969253019144</v>
      </c>
      <c r="H114" s="84">
        <f t="shared" si="4"/>
        <v>-0.10362205727452983</v>
      </c>
      <c r="I114" s="71">
        <f>LN(Calcs!L116/Calcs!L115)</f>
        <v>-6.6261716840397746E-3</v>
      </c>
      <c r="J114" s="76">
        <f t="shared" si="5"/>
        <v>-5.3020101750666749E-3</v>
      </c>
      <c r="K114" s="72">
        <v>1615.44674509841</v>
      </c>
      <c r="L114" s="72">
        <f t="shared" si="6"/>
        <v>1733.999169450103</v>
      </c>
      <c r="M114" s="75">
        <f t="shared" si="7"/>
        <v>-118.55242435169293</v>
      </c>
    </row>
    <row r="115" spans="1:13" x14ac:dyDescent="0.2">
      <c r="A115">
        <v>0.113443149023802</v>
      </c>
      <c r="B115" s="70">
        <v>-1.6367529200309801</v>
      </c>
      <c r="C115">
        <v>1.5074558547874299</v>
      </c>
      <c r="D115">
        <v>0</v>
      </c>
      <c r="E115">
        <v>2.5263934102653901E-2</v>
      </c>
      <c r="F115">
        <v>2.4661649105670199E-4</v>
      </c>
      <c r="G115">
        <f>SQRT(Calcs!J116)</f>
        <v>0.1232627847773058</v>
      </c>
      <c r="H115" s="84">
        <f t="shared" si="4"/>
        <v>-9.7998850674651902E-2</v>
      </c>
      <c r="I115" s="71">
        <f>LN(Calcs!L117/Calcs!L116)</f>
        <v>-1.0455211434906623E-3</v>
      </c>
      <c r="J115" s="76">
        <f t="shared" si="5"/>
        <v>-1.2921376345473644E-3</v>
      </c>
      <c r="K115" s="72">
        <v>1616.5341063882499</v>
      </c>
      <c r="L115" s="72">
        <f t="shared" si="6"/>
        <v>1734.4268549757521</v>
      </c>
      <c r="M115" s="75">
        <f t="shared" si="7"/>
        <v>-117.89274858750218</v>
      </c>
    </row>
    <row r="116" spans="1:13" x14ac:dyDescent="0.2">
      <c r="A116">
        <v>-0.36372339678246401</v>
      </c>
      <c r="B116" s="70">
        <v>0.179454033285843</v>
      </c>
      <c r="C116">
        <v>0.88336814624924198</v>
      </c>
      <c r="D116">
        <v>0</v>
      </c>
      <c r="E116">
        <v>0</v>
      </c>
      <c r="F116">
        <v>6.7340587552238907E-5</v>
      </c>
      <c r="G116">
        <f>SQRT(Calcs!J117)</f>
        <v>0.11667953696646946</v>
      </c>
      <c r="H116" s="84">
        <f t="shared" si="4"/>
        <v>-0.11667953696646946</v>
      </c>
      <c r="I116" s="71">
        <f>LN(Calcs!L118/Calcs!L117)</f>
        <v>2.6356210944997265E-3</v>
      </c>
      <c r="J116" s="76">
        <f t="shared" si="5"/>
        <v>2.5682805069474875E-3</v>
      </c>
      <c r="K116" s="72">
        <v>1612.5547571023001</v>
      </c>
      <c r="L116" s="72">
        <f t="shared" si="6"/>
        <v>1734.543656231921</v>
      </c>
      <c r="M116" s="75">
        <f t="shared" si="7"/>
        <v>-121.9888991296209</v>
      </c>
    </row>
    <row r="117" spans="1:13" x14ac:dyDescent="0.2">
      <c r="A117">
        <v>-0.55636773266388995</v>
      </c>
      <c r="B117" s="70">
        <v>-0.38433068153328098</v>
      </c>
      <c r="C117">
        <v>-9.0158592027983694E-2</v>
      </c>
      <c r="D117">
        <v>0</v>
      </c>
      <c r="E117">
        <v>0</v>
      </c>
      <c r="F117">
        <v>6.7340587552238907E-5</v>
      </c>
      <c r="G117">
        <f>SQRT(Calcs!J118)</f>
        <v>0.12791270721880488</v>
      </c>
      <c r="H117" s="84">
        <f t="shared" si="4"/>
        <v>-0.12791270721880488</v>
      </c>
      <c r="I117" s="71">
        <f>LN(Calcs!L119/Calcs!L118)</f>
        <v>-6.0753685455249432E-3</v>
      </c>
      <c r="J117" s="76">
        <f t="shared" si="5"/>
        <v>-6.1427091330771818E-3</v>
      </c>
      <c r="K117" s="72">
        <v>1604.4444429269699</v>
      </c>
      <c r="L117" s="72">
        <f t="shared" si="6"/>
        <v>1734.6604653538197</v>
      </c>
      <c r="M117" s="75">
        <f t="shared" si="7"/>
        <v>-130.2160224268498</v>
      </c>
    </row>
    <row r="118" spans="1:13" x14ac:dyDescent="0.2">
      <c r="A118">
        <v>-1.49025846870635</v>
      </c>
      <c r="B118" s="70">
        <v>0.53831501741450605</v>
      </c>
      <c r="C118">
        <v>1.15866469439649</v>
      </c>
      <c r="D118">
        <v>0</v>
      </c>
      <c r="E118">
        <v>0</v>
      </c>
      <c r="F118">
        <v>6.7340587552238907E-5</v>
      </c>
      <c r="G118">
        <f>SQRT(Calcs!J119)</f>
        <v>0.15772006173479816</v>
      </c>
      <c r="H118" s="84">
        <f t="shared" si="4"/>
        <v>-0.15772006173479816</v>
      </c>
      <c r="I118" s="71">
        <f>LN(Calcs!L120/Calcs!L119)</f>
        <v>1.582216383613555E-2</v>
      </c>
      <c r="J118" s="76">
        <f t="shared" si="5"/>
        <v>1.5754823248583311E-2</v>
      </c>
      <c r="K118" s="72">
        <v>1579.5127594809801</v>
      </c>
      <c r="L118" s="72">
        <f t="shared" si="6"/>
        <v>1734.7772823419784</v>
      </c>
      <c r="M118" s="75">
        <f t="shared" si="7"/>
        <v>-155.26452286099834</v>
      </c>
    </row>
    <row r="119" spans="1:13" x14ac:dyDescent="0.2">
      <c r="A119">
        <v>-1.0216081058308999</v>
      </c>
      <c r="B119" s="70">
        <v>0.13492589411071901</v>
      </c>
      <c r="C119">
        <v>-1.0457253516046101</v>
      </c>
      <c r="D119">
        <v>0</v>
      </c>
      <c r="E119">
        <v>0</v>
      </c>
      <c r="F119">
        <v>6.7340587552238907E-5</v>
      </c>
      <c r="G119">
        <f>SQRT(Calcs!J120)</f>
        <v>0.13389794039296218</v>
      </c>
      <c r="H119" s="84">
        <f t="shared" si="4"/>
        <v>-0.13389794039296218</v>
      </c>
      <c r="I119" s="71">
        <f>LN(Calcs!L121/Calcs!L120)</f>
        <v>-2.2856160549142752E-3</v>
      </c>
      <c r="J119" s="76">
        <f t="shared" si="5"/>
        <v>-2.3529566424665142E-3</v>
      </c>
      <c r="K119" s="72">
        <v>1562.3143738784599</v>
      </c>
      <c r="L119" s="72">
        <f t="shared" si="6"/>
        <v>1734.8941071969266</v>
      </c>
      <c r="M119" s="75">
        <f t="shared" si="7"/>
        <v>-172.57973331846665</v>
      </c>
    </row>
    <row r="120" spans="1:13" x14ac:dyDescent="0.2">
      <c r="A120">
        <v>-2.3852805380259499</v>
      </c>
      <c r="B120" s="70">
        <v>2.3093621385137499</v>
      </c>
      <c r="C120">
        <v>-0.79818968581272698</v>
      </c>
      <c r="D120">
        <v>0</v>
      </c>
      <c r="E120">
        <v>0</v>
      </c>
      <c r="F120">
        <v>6.7340587552238907E-5</v>
      </c>
      <c r="G120">
        <f>SQRT(Calcs!J121)</f>
        <v>0.1173461525264132</v>
      </c>
      <c r="H120" s="84">
        <f t="shared" si="4"/>
        <v>-0.1173461525264132</v>
      </c>
      <c r="I120" s="71">
        <f>LN(Calcs!L122/Calcs!L121)</f>
        <v>7.4802749145571308E-3</v>
      </c>
      <c r="J120" s="76">
        <f t="shared" si="5"/>
        <v>7.4129343270048923E-3</v>
      </c>
      <c r="K120" s="72">
        <v>1524.49431293613</v>
      </c>
      <c r="L120" s="72">
        <f t="shared" si="6"/>
        <v>1735.010939919194</v>
      </c>
      <c r="M120" s="75">
        <f t="shared" si="7"/>
        <v>-210.51662698306404</v>
      </c>
    </row>
    <row r="121" spans="1:13" x14ac:dyDescent="0.2">
      <c r="A121">
        <v>-0.994897211340522</v>
      </c>
      <c r="B121" s="70">
        <v>0.49306207460609303</v>
      </c>
      <c r="C121">
        <v>-0.50962393104165205</v>
      </c>
      <c r="D121">
        <v>0</v>
      </c>
      <c r="E121">
        <v>5.5204071349637798E-2</v>
      </c>
      <c r="F121">
        <v>-3.3984905424695199E-3</v>
      </c>
      <c r="G121">
        <f>SQRT(Calcs!J122)</f>
        <v>0.10431762504618498</v>
      </c>
      <c r="H121" s="84">
        <f t="shared" si="4"/>
        <v>-4.9113553696547185E-2</v>
      </c>
      <c r="I121" s="71">
        <f>LN(Calcs!L123/Calcs!L122)</f>
        <v>-9.5655136155198403E-4</v>
      </c>
      <c r="J121" s="76">
        <f t="shared" si="5"/>
        <v>2.4419391809175359E-3</v>
      </c>
      <c r="K121" s="72">
        <v>1507.3539191331799</v>
      </c>
      <c r="L121" s="72">
        <f t="shared" si="6"/>
        <v>1729.12452976895</v>
      </c>
      <c r="M121" s="75">
        <f t="shared" si="7"/>
        <v>-221.77061063577003</v>
      </c>
    </row>
    <row r="122" spans="1:13" x14ac:dyDescent="0.2">
      <c r="A122">
        <v>2.1601716340832199E-2</v>
      </c>
      <c r="B122" s="70">
        <v>-0.22962598164577699</v>
      </c>
      <c r="C122">
        <v>-0.61052956798921398</v>
      </c>
      <c r="D122">
        <v>0</v>
      </c>
      <c r="E122">
        <v>6.4158671281978802E-2</v>
      </c>
      <c r="F122">
        <v>1.46479106962778E-4</v>
      </c>
      <c r="G122">
        <f>SQRT(Calcs!J123)</f>
        <v>0.10260822685951211</v>
      </c>
      <c r="H122" s="84">
        <f t="shared" si="4"/>
        <v>-3.8449555577533309E-2</v>
      </c>
      <c r="I122" s="71">
        <f>LN(Calcs!L124/Calcs!L123)</f>
        <v>3.3265405997916549E-3</v>
      </c>
      <c r="J122" s="76">
        <f t="shared" si="5"/>
        <v>3.1800614928288768E-3</v>
      </c>
      <c r="K122" s="72">
        <v>1507.69271656156</v>
      </c>
      <c r="L122" s="72">
        <f t="shared" si="6"/>
        <v>1729.3778289369629</v>
      </c>
      <c r="M122" s="75">
        <f t="shared" si="7"/>
        <v>-221.68511237540292</v>
      </c>
    </row>
    <row r="123" spans="1:13" x14ac:dyDescent="0.2">
      <c r="A123">
        <v>-0.99054834874602804</v>
      </c>
      <c r="B123" s="70">
        <v>1.4978133684269399</v>
      </c>
      <c r="C123">
        <v>-0.336068457874374</v>
      </c>
      <c r="D123">
        <v>0</v>
      </c>
      <c r="E123">
        <v>5.3825366601464197E-2</v>
      </c>
      <c r="F123">
        <v>-3.2970396337289498E-3</v>
      </c>
      <c r="G123">
        <f>SQRT(Calcs!J124)</f>
        <v>0.10324598521879974</v>
      </c>
      <c r="H123" s="84">
        <f t="shared" si="4"/>
        <v>-4.9420618617335543E-2</v>
      </c>
      <c r="I123" s="71">
        <f>LN(Calcs!L125/Calcs!L124)</f>
        <v>-5.7802620772154766E-3</v>
      </c>
      <c r="J123" s="76">
        <f t="shared" si="5"/>
        <v>-2.4832224434865268E-3</v>
      </c>
      <c r="K123" s="72">
        <v>1487.5963154604699</v>
      </c>
      <c r="L123" s="72">
        <f t="shared" si="6"/>
        <v>1723.6853909467211</v>
      </c>
      <c r="M123" s="75">
        <f t="shared" si="7"/>
        <v>-236.0890754862512</v>
      </c>
    </row>
    <row r="124" spans="1:13" x14ac:dyDescent="0.2">
      <c r="A124">
        <v>0.58506461374207297</v>
      </c>
      <c r="B124" s="70">
        <v>-0.37289482888285802</v>
      </c>
      <c r="C124">
        <v>1.72446445642916</v>
      </c>
      <c r="D124">
        <v>0</v>
      </c>
      <c r="E124">
        <v>8.9648385994529706E-2</v>
      </c>
      <c r="F124">
        <v>3.35544011885859E-3</v>
      </c>
      <c r="G124">
        <f>SQRT(Calcs!J125)</f>
        <v>0.11438741850426964</v>
      </c>
      <c r="H124" s="84">
        <f t="shared" si="4"/>
        <v>-2.4739032509739939E-2</v>
      </c>
      <c r="I124" s="71">
        <f>LN(Calcs!L126/Calcs!L125)</f>
        <v>-8.6915853069902543E-3</v>
      </c>
      <c r="J124" s="76">
        <f t="shared" si="5"/>
        <v>-1.2047025425848845E-2</v>
      </c>
      <c r="K124" s="72">
        <v>1498.32520031024</v>
      </c>
      <c r="L124" s="72">
        <f t="shared" si="6"/>
        <v>1729.4788283903249</v>
      </c>
      <c r="M124" s="75">
        <f t="shared" si="7"/>
        <v>-231.1536280800849</v>
      </c>
    </row>
    <row r="125" spans="1:13" x14ac:dyDescent="0.2">
      <c r="A125">
        <v>0.14060578986469599</v>
      </c>
      <c r="B125" s="70">
        <v>-0.39622184720610898</v>
      </c>
      <c r="C125">
        <v>0.76725567447437504</v>
      </c>
      <c r="D125">
        <v>0</v>
      </c>
      <c r="E125">
        <v>7.6798835604698898E-2</v>
      </c>
      <c r="F125">
        <v>7.3587088566769295E-4</v>
      </c>
      <c r="G125">
        <f>SQRT(Calcs!J126)</f>
        <v>0.13702743555693589</v>
      </c>
      <c r="H125" s="84">
        <f t="shared" si="4"/>
        <v>-6.0228599952236991E-2</v>
      </c>
      <c r="I125" s="71">
        <f>LN(Calcs!L127/Calcs!L126)</f>
        <v>-1.2886373532620102E-2</v>
      </c>
      <c r="J125" s="76">
        <f t="shared" si="5"/>
        <v>-1.3622244418287795E-2</v>
      </c>
      <c r="K125" s="72">
        <v>1500.94928106866</v>
      </c>
      <c r="L125" s="72">
        <f t="shared" si="6"/>
        <v>1730.751969883944</v>
      </c>
      <c r="M125" s="75">
        <f t="shared" si="7"/>
        <v>-229.802688815284</v>
      </c>
    </row>
    <row r="126" spans="1:13" x14ac:dyDescent="0.2">
      <c r="A126">
        <v>6.0909427071807097E-2</v>
      </c>
      <c r="B126" s="70">
        <v>1.2316535854405701E-2</v>
      </c>
      <c r="C126">
        <v>8.8971323860326398E-2</v>
      </c>
      <c r="D126">
        <v>0</v>
      </c>
      <c r="E126">
        <v>6.2718654342515806E-2</v>
      </c>
      <c r="F126">
        <v>3.0018305720127202E-4</v>
      </c>
      <c r="G126">
        <f>SQRT(Calcs!J127)</f>
        <v>0.16030352698209982</v>
      </c>
      <c r="H126" s="84">
        <f t="shared" si="4"/>
        <v>-9.7584872639584014E-2</v>
      </c>
      <c r="I126" s="71">
        <f>LN(Calcs!L128/Calcs!L127)</f>
        <v>1.4970103482607343E-3</v>
      </c>
      <c r="J126" s="76">
        <f t="shared" si="5"/>
        <v>1.1968272910594623E-3</v>
      </c>
      <c r="K126" s="72">
        <v>1502.11531606485</v>
      </c>
      <c r="L126" s="72">
        <f t="shared" si="6"/>
        <v>1731.2715902882396</v>
      </c>
      <c r="M126" s="75">
        <f t="shared" si="7"/>
        <v>-229.15627422338957</v>
      </c>
    </row>
    <row r="127" spans="1:13" x14ac:dyDescent="0.2">
      <c r="A127">
        <v>0.17140139427832199</v>
      </c>
      <c r="B127" s="70">
        <v>-0.77916298008625795</v>
      </c>
      <c r="C127">
        <v>1.4262244373028201E-2</v>
      </c>
      <c r="D127">
        <v>0</v>
      </c>
      <c r="E127">
        <v>5.8974226636972701E-2</v>
      </c>
      <c r="F127">
        <v>6.9720069607793198E-4</v>
      </c>
      <c r="G127">
        <f>SQRT(Calcs!J128)</f>
        <v>0.14114569877671473</v>
      </c>
      <c r="H127" s="84">
        <f t="shared" si="4"/>
        <v>-8.2171472139742033E-2</v>
      </c>
      <c r="I127" s="71">
        <f>LN(Calcs!L129/Calcs!L128)</f>
        <v>7.1744033024998197E-3</v>
      </c>
      <c r="J127" s="76">
        <f t="shared" si="5"/>
        <v>6.477202606421888E-3</v>
      </c>
      <c r="K127" s="72">
        <v>1505.4453566775801</v>
      </c>
      <c r="L127" s="72">
        <f t="shared" si="6"/>
        <v>1732.479054919768</v>
      </c>
      <c r="M127" s="75">
        <f t="shared" si="7"/>
        <v>-227.03369824218794</v>
      </c>
    </row>
    <row r="128" spans="1:13" x14ac:dyDescent="0.2">
      <c r="A128">
        <v>0.94669925560453905</v>
      </c>
      <c r="B128" s="70">
        <v>-0.67588240479579598</v>
      </c>
      <c r="C128">
        <v>-0.83550973694016095</v>
      </c>
      <c r="D128">
        <v>0</v>
      </c>
      <c r="E128">
        <v>3.19701600233337E-2</v>
      </c>
      <c r="F128">
        <v>1.97189940004902E-3</v>
      </c>
      <c r="G128">
        <f>SQRT(Calcs!J129)</f>
        <v>0.11895876256146488</v>
      </c>
      <c r="H128" s="84">
        <f t="shared" si="4"/>
        <v>-8.6988602538131177E-2</v>
      </c>
      <c r="I128" s="71">
        <f>LN(Calcs!L130/Calcs!L129)</f>
        <v>2.7441990317744291E-3</v>
      </c>
      <c r="J128" s="76">
        <f t="shared" si="5"/>
        <v>7.7229963172540913E-4</v>
      </c>
      <c r="K128" s="72">
        <v>1522.83483195592</v>
      </c>
      <c r="L128" s="72">
        <f t="shared" si="6"/>
        <v>1735.8986998185487</v>
      </c>
      <c r="M128" s="75">
        <f t="shared" si="7"/>
        <v>-213.06386786262874</v>
      </c>
    </row>
    <row r="129" spans="1:13" x14ac:dyDescent="0.2">
      <c r="A129">
        <v>-0.64243861472816499</v>
      </c>
      <c r="B129" s="70">
        <v>1.0087671688514901</v>
      </c>
      <c r="C129">
        <v>-0.31633827065624298</v>
      </c>
      <c r="D129">
        <v>0</v>
      </c>
      <c r="E129">
        <v>0</v>
      </c>
      <c r="F129">
        <v>6.7340587552238907E-5</v>
      </c>
      <c r="G129">
        <f>SQRT(Calcs!J130)</f>
        <v>0.11849948980596428</v>
      </c>
      <c r="H129" s="84">
        <f t="shared" si="4"/>
        <v>-0.11849948980596428</v>
      </c>
      <c r="I129" s="71">
        <f>LN(Calcs!L131/Calcs!L130)</f>
        <v>1.612999450400936E-2</v>
      </c>
      <c r="J129" s="76">
        <f t="shared" si="5"/>
        <v>1.6062653916457122E-2</v>
      </c>
      <c r="K129" s="72">
        <v>1510.7247172877201</v>
      </c>
      <c r="L129" s="72">
        <f t="shared" si="6"/>
        <v>1736.0156001929513</v>
      </c>
      <c r="M129" s="75">
        <f t="shared" si="7"/>
        <v>-225.29088290523123</v>
      </c>
    </row>
    <row r="130" spans="1:13" x14ac:dyDescent="0.2">
      <c r="A130">
        <v>-0.56568539327425904</v>
      </c>
      <c r="B130" s="70">
        <v>0.88089380284027397</v>
      </c>
      <c r="C130">
        <v>-0.242546949666021</v>
      </c>
      <c r="D130">
        <v>0</v>
      </c>
      <c r="E130">
        <v>1.38800196479599E-2</v>
      </c>
      <c r="F130">
        <v>-4.2765380847932001E-4</v>
      </c>
      <c r="G130">
        <f>SQRT(Calcs!J131)</f>
        <v>6.9141778391483416E-2</v>
      </c>
      <c r="H130" s="84">
        <f t="shared" si="4"/>
        <v>-5.5261758743523515E-2</v>
      </c>
      <c r="I130" s="71">
        <f>LN(Calcs!L132/Calcs!L131)</f>
        <v>1.1781944474832738E-3</v>
      </c>
      <c r="J130" s="76">
        <f t="shared" si="5"/>
        <v>1.6058482559625938E-3</v>
      </c>
      <c r="K130" s="72">
        <v>1499.7804037298099</v>
      </c>
      <c r="L130" s="72">
        <f t="shared" si="6"/>
        <v>1735.2733452353414</v>
      </c>
      <c r="M130" s="75">
        <f t="shared" si="7"/>
        <v>-235.49294150553146</v>
      </c>
    </row>
    <row r="131" spans="1:13" x14ac:dyDescent="0.2">
      <c r="A131">
        <v>-0.18236798306809701</v>
      </c>
      <c r="B131" s="70">
        <v>-1.33304891543058</v>
      </c>
      <c r="C131">
        <v>0.31302868675953399</v>
      </c>
      <c r="D131">
        <v>0</v>
      </c>
      <c r="E131">
        <v>2.92177584391403E-2</v>
      </c>
      <c r="F131">
        <v>-2.7000983819747203E-4</v>
      </c>
      <c r="G131">
        <f>SQRT(Calcs!J132)</f>
        <v>5.605777632142455E-2</v>
      </c>
      <c r="H131" s="84">
        <f t="shared" ref="H131:H194" si="8">E131-G131</f>
        <v>-2.684001788228425E-2</v>
      </c>
      <c r="I131" s="71">
        <f>LN(Calcs!L133/Calcs!L132)</f>
        <v>3.1142663633688767E-3</v>
      </c>
      <c r="J131" s="76">
        <f t="shared" ref="J131:J194" si="9">I131-F131</f>
        <v>3.384276201566349E-3</v>
      </c>
      <c r="K131" s="72">
        <v>1496.11656810414</v>
      </c>
      <c r="L131" s="72">
        <f t="shared" ref="L131:L194" si="10">EXP(F131)*L130</f>
        <v>1734.8048676097962</v>
      </c>
      <c r="M131" s="75">
        <f t="shared" ref="M131:M194" si="11">K131-L131</f>
        <v>-238.68829950565623</v>
      </c>
    </row>
    <row r="132" spans="1:13" x14ac:dyDescent="0.2">
      <c r="A132">
        <v>-0.35236464796185102</v>
      </c>
      <c r="B132" s="70">
        <v>0.76267588906436001</v>
      </c>
      <c r="C132">
        <v>-0.52329714386524595</v>
      </c>
      <c r="D132">
        <v>0</v>
      </c>
      <c r="E132">
        <v>0</v>
      </c>
      <c r="F132">
        <v>6.7340587552238907E-5</v>
      </c>
      <c r="G132">
        <f>SQRT(Calcs!J133)</f>
        <v>6.9785676905788185E-2</v>
      </c>
      <c r="H132" s="84">
        <f t="shared" si="8"/>
        <v>-6.9785676905788185E-2</v>
      </c>
      <c r="I132" s="71">
        <f>LN(Calcs!L134/Calcs!L133)</f>
        <v>2.0429140007815045E-3</v>
      </c>
      <c r="J132" s="76">
        <f t="shared" si="9"/>
        <v>1.9755734132292655E-3</v>
      </c>
      <c r="K132" s="72">
        <v>1490.7305432339799</v>
      </c>
      <c r="L132" s="72">
        <f t="shared" si="10"/>
        <v>1734.9216943224151</v>
      </c>
      <c r="M132" s="75">
        <f t="shared" si="11"/>
        <v>-244.19115108843516</v>
      </c>
    </row>
    <row r="133" spans="1:13" x14ac:dyDescent="0.2">
      <c r="A133">
        <v>-0.67322900962495402</v>
      </c>
      <c r="B133" s="70">
        <v>0.15384027649280399</v>
      </c>
      <c r="C133">
        <v>0.95245567849301704</v>
      </c>
      <c r="D133">
        <v>0</v>
      </c>
      <c r="E133">
        <v>0</v>
      </c>
      <c r="F133">
        <v>6.7340587552238907E-5</v>
      </c>
      <c r="G133">
        <f>SQRT(Calcs!J134)</f>
        <v>3.1559869015623132E-2</v>
      </c>
      <c r="H133" s="84">
        <f t="shared" si="8"/>
        <v>-3.1559869015623132E-2</v>
      </c>
      <c r="I133" s="71">
        <f>LN(Calcs!L135/Calcs!L134)</f>
        <v>-8.3243812860892235E-4</v>
      </c>
      <c r="J133" s="76">
        <f t="shared" si="9"/>
        <v>-8.9977871616116125E-4</v>
      </c>
      <c r="K133" s="72">
        <v>1480.7923920426799</v>
      </c>
      <c r="L133" s="72">
        <f t="shared" si="10"/>
        <v>1735.0385289024782</v>
      </c>
      <c r="M133" s="75">
        <f t="shared" si="11"/>
        <v>-254.2461368597983</v>
      </c>
    </row>
    <row r="134" spans="1:13" x14ac:dyDescent="0.2">
      <c r="A134">
        <v>-0.24211391067407001</v>
      </c>
      <c r="B134" s="70">
        <v>1.35724911353358</v>
      </c>
      <c r="C134">
        <v>-1.4724874995617101</v>
      </c>
      <c r="D134">
        <v>0</v>
      </c>
      <c r="E134">
        <v>0</v>
      </c>
      <c r="F134">
        <v>6.7340587552238907E-5</v>
      </c>
      <c r="G134">
        <f>SQRT(Calcs!J135)</f>
        <v>3.3500489479358887E-2</v>
      </c>
      <c r="H134" s="84">
        <f t="shared" si="8"/>
        <v>-3.3500489479358887E-2</v>
      </c>
      <c r="I134" s="71">
        <f>LN(Calcs!L136/Calcs!L135)</f>
        <v>1.0921399383440524E-3</v>
      </c>
      <c r="J134" s="76">
        <f t="shared" si="9"/>
        <v>1.0247993507918134E-3</v>
      </c>
      <c r="K134" s="72">
        <v>1477.3909503161201</v>
      </c>
      <c r="L134" s="72">
        <f t="shared" si="10"/>
        <v>1735.1553713505157</v>
      </c>
      <c r="M134" s="75">
        <f t="shared" si="11"/>
        <v>-257.76442103439558</v>
      </c>
    </row>
    <row r="135" spans="1:13" x14ac:dyDescent="0.2">
      <c r="A135">
        <v>3.7973813434169897E-2</v>
      </c>
      <c r="B135" s="70">
        <v>-0.274409029173938</v>
      </c>
      <c r="C135">
        <v>0.21557845709680801</v>
      </c>
      <c r="D135">
        <v>0</v>
      </c>
      <c r="E135">
        <v>2.7167824130175499E-2</v>
      </c>
      <c r="F135">
        <v>1.3086496402782099E-4</v>
      </c>
      <c r="G135">
        <f>SQRT(Calcs!J136)</f>
        <v>0</v>
      </c>
      <c r="H135" s="84">
        <f t="shared" si="8"/>
        <v>2.7167824130175499E-2</v>
      </c>
      <c r="I135" s="71">
        <f>LN(Calcs!L137/Calcs!L136)</f>
        <v>3.296691252653625E-5</v>
      </c>
      <c r="J135" s="76">
        <f t="shared" si="9"/>
        <v>-9.789805150128474E-5</v>
      </c>
      <c r="K135" s="72">
        <v>1477.92517499426</v>
      </c>
      <c r="L135" s="72">
        <f t="shared" si="10"/>
        <v>1735.3824572542403</v>
      </c>
      <c r="M135" s="75">
        <f t="shared" si="11"/>
        <v>-257.45728225998027</v>
      </c>
    </row>
    <row r="136" spans="1:13" x14ac:dyDescent="0.2">
      <c r="A136">
        <v>1.47512382221833</v>
      </c>
      <c r="B136" s="70">
        <v>-0.76010916809269802</v>
      </c>
      <c r="C136">
        <v>1.1215960970783601</v>
      </c>
      <c r="D136">
        <v>0</v>
      </c>
      <c r="E136">
        <v>0</v>
      </c>
      <c r="F136">
        <v>6.7340587552238907E-5</v>
      </c>
      <c r="G136">
        <f>SQRT(Calcs!J137)</f>
        <v>0</v>
      </c>
      <c r="H136" s="84">
        <f t="shared" si="8"/>
        <v>0</v>
      </c>
      <c r="I136" s="71">
        <f>LN(Calcs!L138/Calcs!L137)</f>
        <v>3.296691252653625E-5</v>
      </c>
      <c r="J136" s="76">
        <f t="shared" si="9"/>
        <v>-3.4373675025702657E-5</v>
      </c>
      <c r="K136" s="72">
        <v>1503.80232311192</v>
      </c>
      <c r="L136" s="72">
        <f t="shared" si="10"/>
        <v>1735.4993228633948</v>
      </c>
      <c r="M136" s="75">
        <f t="shared" si="11"/>
        <v>-231.69699975147478</v>
      </c>
    </row>
    <row r="137" spans="1:13" x14ac:dyDescent="0.2">
      <c r="A137">
        <v>0.55590736638739902</v>
      </c>
      <c r="B137" s="70">
        <v>0.30533418671159301</v>
      </c>
      <c r="C137">
        <v>0.88491883313559205</v>
      </c>
      <c r="D137">
        <v>0</v>
      </c>
      <c r="E137">
        <v>0</v>
      </c>
      <c r="F137">
        <v>6.7340587552238907E-5</v>
      </c>
      <c r="G137">
        <f>SQRT(Calcs!J138)</f>
        <v>0</v>
      </c>
      <c r="H137" s="84">
        <f t="shared" si="8"/>
        <v>0</v>
      </c>
      <c r="I137" s="71">
        <f>LN(Calcs!L139/Calcs!L138)</f>
        <v>3.296691252653625E-5</v>
      </c>
      <c r="J137" s="76">
        <f t="shared" si="9"/>
        <v>-3.4373675025702657E-5</v>
      </c>
      <c r="K137" s="72">
        <v>1511.88098969712</v>
      </c>
      <c r="L137" s="72">
        <f t="shared" si="10"/>
        <v>1735.616196342613</v>
      </c>
      <c r="M137" s="75">
        <f t="shared" si="11"/>
        <v>-223.73520664549301</v>
      </c>
    </row>
    <row r="138" spans="1:13" x14ac:dyDescent="0.2">
      <c r="A138">
        <v>-0.48165310839604403</v>
      </c>
      <c r="B138" s="70">
        <v>0.498555180586364</v>
      </c>
      <c r="C138">
        <v>-0.67102640887260001</v>
      </c>
      <c r="D138">
        <v>0</v>
      </c>
      <c r="E138">
        <v>0</v>
      </c>
      <c r="F138">
        <v>6.7340587552238907E-5</v>
      </c>
      <c r="G138">
        <f>SQRT(Calcs!J139)</f>
        <v>0</v>
      </c>
      <c r="H138" s="84">
        <f t="shared" si="8"/>
        <v>0</v>
      </c>
      <c r="I138" s="71">
        <f>LN(Calcs!L140/Calcs!L139)</f>
        <v>3.296691252653625E-5</v>
      </c>
      <c r="J138" s="76">
        <f t="shared" si="9"/>
        <v>-3.4373675025702657E-5</v>
      </c>
      <c r="K138" s="72">
        <v>1505.3523822044101</v>
      </c>
      <c r="L138" s="72">
        <f t="shared" si="10"/>
        <v>1735.733077692425</v>
      </c>
      <c r="M138" s="75">
        <f t="shared" si="11"/>
        <v>-230.38069548801491</v>
      </c>
    </row>
    <row r="139" spans="1:13" x14ac:dyDescent="0.2">
      <c r="A139">
        <v>-0.21617154110426601</v>
      </c>
      <c r="B139" s="70">
        <v>-0.42589396324814599</v>
      </c>
      <c r="C139">
        <v>0.20629492220637</v>
      </c>
      <c r="D139">
        <v>0</v>
      </c>
      <c r="E139">
        <v>0</v>
      </c>
      <c r="F139">
        <v>6.7340587552238907E-5</v>
      </c>
      <c r="G139">
        <f>SQRT(Calcs!J140)</f>
        <v>0</v>
      </c>
      <c r="H139" s="84">
        <f t="shared" si="8"/>
        <v>0</v>
      </c>
      <c r="I139" s="71">
        <f>LN(Calcs!L141/Calcs!L140)</f>
        <v>3.296691252653625E-5</v>
      </c>
      <c r="J139" s="76">
        <f t="shared" si="9"/>
        <v>-3.4373675025702657E-5</v>
      </c>
      <c r="K139" s="72">
        <v>1502.1512558192401</v>
      </c>
      <c r="L139" s="72">
        <f t="shared" si="10"/>
        <v>1735.8499669133607</v>
      </c>
      <c r="M139" s="75">
        <f t="shared" si="11"/>
        <v>-233.69871109412065</v>
      </c>
    </row>
    <row r="140" spans="1:13" x14ac:dyDescent="0.2">
      <c r="A140">
        <v>0.63047665988616097</v>
      </c>
      <c r="B140" s="70">
        <v>-0.74410058625499798</v>
      </c>
      <c r="C140">
        <v>-1.50960392041861</v>
      </c>
      <c r="D140">
        <v>0</v>
      </c>
      <c r="E140">
        <v>0</v>
      </c>
      <c r="F140">
        <v>6.7340587552238907E-5</v>
      </c>
      <c r="G140">
        <f>SQRT(Calcs!J141)</f>
        <v>0</v>
      </c>
      <c r="H140" s="84">
        <f t="shared" si="8"/>
        <v>0</v>
      </c>
      <c r="I140" s="71">
        <f>LN(Calcs!L142/Calcs!L141)</f>
        <v>3.296691252653625E-5</v>
      </c>
      <c r="J140" s="76">
        <f t="shared" si="9"/>
        <v>-3.4373675025702657E-5</v>
      </c>
      <c r="K140" s="72">
        <v>1510.7803303467001</v>
      </c>
      <c r="L140" s="72">
        <f t="shared" si="10"/>
        <v>1735.9668640059504</v>
      </c>
      <c r="M140" s="75">
        <f t="shared" si="11"/>
        <v>-225.18653365925024</v>
      </c>
    </row>
    <row r="141" spans="1:13" x14ac:dyDescent="0.2">
      <c r="A141">
        <v>-0.96811603498423204</v>
      </c>
      <c r="B141" s="70">
        <v>0.67619884485763304</v>
      </c>
      <c r="C141">
        <v>-0.405992396653856</v>
      </c>
      <c r="D141">
        <v>0</v>
      </c>
      <c r="E141">
        <v>0</v>
      </c>
      <c r="F141">
        <v>6.7340587552238907E-5</v>
      </c>
      <c r="G141">
        <f>SQRT(Calcs!J142)</f>
        <v>2.0748591355418785E-2</v>
      </c>
      <c r="H141" s="84">
        <f t="shared" si="8"/>
        <v>-2.0748591355418785E-2</v>
      </c>
      <c r="I141" s="71">
        <f>LN(Calcs!L143/Calcs!L142)</f>
        <v>3.2003119517575664E-3</v>
      </c>
      <c r="J141" s="76">
        <f t="shared" si="9"/>
        <v>3.1329713642053274E-3</v>
      </c>
      <c r="K141" s="72">
        <v>1503.8396792200899</v>
      </c>
      <c r="L141" s="72">
        <f t="shared" si="10"/>
        <v>1736.0837689707239</v>
      </c>
      <c r="M141" s="75">
        <f t="shared" si="11"/>
        <v>-232.24408975063398</v>
      </c>
    </row>
    <row r="142" spans="1:13" x14ac:dyDescent="0.2">
      <c r="A142">
        <v>-1.53259845706584</v>
      </c>
      <c r="B142" s="70">
        <v>0.36396973693226198</v>
      </c>
      <c r="C142">
        <v>-0.200335908228331</v>
      </c>
      <c r="D142">
        <v>0</v>
      </c>
      <c r="E142">
        <v>0</v>
      </c>
      <c r="F142">
        <v>6.7340587552238907E-5</v>
      </c>
      <c r="G142">
        <f>SQRT(Calcs!J143)</f>
        <v>0</v>
      </c>
      <c r="H142" s="84">
        <f t="shared" si="8"/>
        <v>0</v>
      </c>
      <c r="I142" s="71">
        <f>LN(Calcs!L144/Calcs!L143)</f>
        <v>3.296691252653625E-5</v>
      </c>
      <c r="J142" s="76">
        <f t="shared" si="9"/>
        <v>-3.4373675025702657E-5</v>
      </c>
      <c r="K142" s="72">
        <v>1489.35474383578</v>
      </c>
      <c r="L142" s="72">
        <f t="shared" si="10"/>
        <v>1736.2006818082116</v>
      </c>
      <c r="M142" s="75">
        <f t="shared" si="11"/>
        <v>-246.84593797243156</v>
      </c>
    </row>
    <row r="143" spans="1:13" x14ac:dyDescent="0.2">
      <c r="A143">
        <v>0.63114984875165003</v>
      </c>
      <c r="B143" s="70">
        <v>-0.45150785069458799</v>
      </c>
      <c r="C143">
        <v>1.51202141252096E-3</v>
      </c>
      <c r="D143">
        <v>0</v>
      </c>
      <c r="E143">
        <v>0</v>
      </c>
      <c r="F143">
        <v>6.7340587552238907E-5</v>
      </c>
      <c r="G143">
        <f>SQRT(Calcs!J144)</f>
        <v>0</v>
      </c>
      <c r="H143" s="84">
        <f t="shared" si="8"/>
        <v>0</v>
      </c>
      <c r="I143" s="71">
        <f>LN(Calcs!L145/Calcs!L144)</f>
        <v>3.296691252653625E-5</v>
      </c>
      <c r="J143" s="76">
        <f t="shared" si="9"/>
        <v>-3.4373675025702657E-5</v>
      </c>
      <c r="K143" s="72">
        <v>1497.38451591084</v>
      </c>
      <c r="L143" s="72">
        <f t="shared" si="10"/>
        <v>1736.3176025189437</v>
      </c>
      <c r="M143" s="75">
        <f t="shared" si="11"/>
        <v>-238.93308660810362</v>
      </c>
    </row>
    <row r="144" spans="1:13" x14ac:dyDescent="0.2">
      <c r="A144">
        <v>0.153853797869756</v>
      </c>
      <c r="B144" s="70">
        <v>-0.62570751261330304</v>
      </c>
      <c r="C144">
        <v>-1.3634088587438</v>
      </c>
      <c r="D144">
        <v>0</v>
      </c>
      <c r="E144">
        <v>0</v>
      </c>
      <c r="F144">
        <v>6.7340587552238907E-5</v>
      </c>
      <c r="G144">
        <f>SQRT(Calcs!J145)</f>
        <v>0</v>
      </c>
      <c r="H144" s="84">
        <f t="shared" si="8"/>
        <v>0</v>
      </c>
      <c r="I144" s="71">
        <f>LN(Calcs!L146/Calcs!L145)</f>
        <v>3.296691252653625E-5</v>
      </c>
      <c r="J144" s="76">
        <f t="shared" si="9"/>
        <v>-3.4373675025702657E-5</v>
      </c>
      <c r="K144" s="72">
        <v>1498.5245253719399</v>
      </c>
      <c r="L144" s="72">
        <f t="shared" si="10"/>
        <v>1736.4345311034501</v>
      </c>
      <c r="M144" s="75">
        <f t="shared" si="11"/>
        <v>-237.91000573151018</v>
      </c>
    </row>
    <row r="145" spans="1:13" x14ac:dyDescent="0.2">
      <c r="A145">
        <v>0.79364353614448702</v>
      </c>
      <c r="B145" s="70">
        <v>-1.30772773221064</v>
      </c>
      <c r="C145">
        <v>0.86454846385316997</v>
      </c>
      <c r="D145">
        <v>0</v>
      </c>
      <c r="E145">
        <v>0</v>
      </c>
      <c r="F145">
        <v>6.7340587552238907E-5</v>
      </c>
      <c r="G145">
        <f>SQRT(Calcs!J146)</f>
        <v>0</v>
      </c>
      <c r="H145" s="84">
        <f t="shared" si="8"/>
        <v>0</v>
      </c>
      <c r="I145" s="71">
        <f>LN(Calcs!L147/Calcs!L146)</f>
        <v>3.296691252653625E-5</v>
      </c>
      <c r="J145" s="76">
        <f t="shared" si="9"/>
        <v>-3.4373675025702657E-5</v>
      </c>
      <c r="K145" s="72">
        <v>1505.1434107960399</v>
      </c>
      <c r="L145" s="72">
        <f t="shared" si="10"/>
        <v>1736.5514675622612</v>
      </c>
      <c r="M145" s="75">
        <f t="shared" si="11"/>
        <v>-231.40805676622131</v>
      </c>
    </row>
    <row r="146" spans="1:13" x14ac:dyDescent="0.2">
      <c r="A146">
        <v>-1.1352540925594901</v>
      </c>
      <c r="B146" s="70">
        <v>1.76026649513892</v>
      </c>
      <c r="C146">
        <v>0.81127688040566104</v>
      </c>
      <c r="D146">
        <v>0</v>
      </c>
      <c r="E146">
        <v>2.5510530126316901E-2</v>
      </c>
      <c r="F146">
        <v>-1.7583179992603901E-3</v>
      </c>
      <c r="G146">
        <f>SQRT(Calcs!J147)</f>
        <v>1.6656741522241877E-2</v>
      </c>
      <c r="H146" s="84">
        <f t="shared" si="8"/>
        <v>8.853788604075024E-3</v>
      </c>
      <c r="I146" s="71">
        <f>LN(Calcs!L148/Calcs!L147)</f>
        <v>1.1864743339352604E-3</v>
      </c>
      <c r="J146" s="76">
        <f t="shared" si="9"/>
        <v>2.9447923331956507E-3</v>
      </c>
      <c r="K146" s="72">
        <v>1497.3287881569399</v>
      </c>
      <c r="L146" s="72">
        <f t="shared" si="10"/>
        <v>1733.5007407201529</v>
      </c>
      <c r="M146" s="75">
        <f t="shared" si="11"/>
        <v>-236.17195256321293</v>
      </c>
    </row>
    <row r="147" spans="1:13" x14ac:dyDescent="0.2">
      <c r="A147">
        <v>-0.82797853407127198</v>
      </c>
      <c r="B147" s="70">
        <v>-0.20255948716511901</v>
      </c>
      <c r="C147">
        <v>1.26799491807347</v>
      </c>
      <c r="D147">
        <v>0</v>
      </c>
      <c r="E147">
        <v>6.7286591676351606E-2</v>
      </c>
      <c r="F147">
        <v>-3.4511594123010198E-3</v>
      </c>
      <c r="G147">
        <f>SQRT(Calcs!J148)</f>
        <v>0</v>
      </c>
      <c r="H147" s="84">
        <f t="shared" si="8"/>
        <v>6.7286591676351606E-2</v>
      </c>
      <c r="I147" s="71">
        <f>LN(Calcs!L149/Calcs!L148)</f>
        <v>3.296691252653625E-5</v>
      </c>
      <c r="J147" s="76">
        <f t="shared" si="9"/>
        <v>3.4841263248275561E-3</v>
      </c>
      <c r="K147" s="72">
        <v>1490.27073476028</v>
      </c>
      <c r="L147" s="72">
        <f t="shared" si="10"/>
        <v>1727.5284648882928</v>
      </c>
      <c r="M147" s="75">
        <f t="shared" si="11"/>
        <v>-237.25773012801278</v>
      </c>
    </row>
    <row r="148" spans="1:13" x14ac:dyDescent="0.2">
      <c r="A148">
        <v>-0.81299416700453198</v>
      </c>
      <c r="B148" s="70">
        <v>0.48606386236433802</v>
      </c>
      <c r="C148">
        <v>-9.7356259273275306E-2</v>
      </c>
      <c r="D148">
        <v>0</v>
      </c>
      <c r="E148">
        <v>5.79288533355014E-2</v>
      </c>
      <c r="F148">
        <v>-2.9060754398839601E-3</v>
      </c>
      <c r="G148">
        <f>SQRT(Calcs!J149)</f>
        <v>0</v>
      </c>
      <c r="H148" s="84">
        <f t="shared" si="8"/>
        <v>5.79288533355014E-2</v>
      </c>
      <c r="I148" s="71">
        <f>LN(Calcs!L150/Calcs!L149)</f>
        <v>3.296691252653625E-5</v>
      </c>
      <c r="J148" s="76">
        <f t="shared" si="9"/>
        <v>2.9390423524104964E-3</v>
      </c>
      <c r="K148" s="72">
        <v>1481.08607775462</v>
      </c>
      <c r="L148" s="72">
        <f t="shared" si="10"/>
        <v>1722.5154245095837</v>
      </c>
      <c r="M148" s="75">
        <f t="shared" si="11"/>
        <v>-241.42934675496372</v>
      </c>
    </row>
    <row r="149" spans="1:13" x14ac:dyDescent="0.2">
      <c r="A149">
        <v>-1.6919127160602001</v>
      </c>
      <c r="B149" s="70">
        <v>9.6262448676560905E-2</v>
      </c>
      <c r="C149">
        <v>-1.0609665380926401</v>
      </c>
      <c r="D149">
        <v>0</v>
      </c>
      <c r="E149">
        <v>6.6836709563780503E-2</v>
      </c>
      <c r="F149">
        <v>-7.06501158545224E-3</v>
      </c>
      <c r="G149">
        <f>SQRT(Calcs!J150)</f>
        <v>0</v>
      </c>
      <c r="H149" s="84">
        <f t="shared" si="8"/>
        <v>6.6836709563780503E-2</v>
      </c>
      <c r="I149" s="71">
        <f>LN(Calcs!L151/Calcs!L150)</f>
        <v>3.296691252653625E-5</v>
      </c>
      <c r="J149" s="76">
        <f t="shared" si="9"/>
        <v>7.0979784979787758E-3</v>
      </c>
      <c r="K149" s="72">
        <v>1454.0604153133499</v>
      </c>
      <c r="L149" s="72">
        <f t="shared" si="10"/>
        <v>1710.3887211704689</v>
      </c>
      <c r="M149" s="75">
        <f t="shared" si="11"/>
        <v>-256.32830585711895</v>
      </c>
    </row>
    <row r="150" spans="1:13" x14ac:dyDescent="0.2">
      <c r="A150">
        <v>2.0793681395124399</v>
      </c>
      <c r="B150" s="70">
        <v>-2.4717245543414501</v>
      </c>
      <c r="C150">
        <v>0.94229851247653795</v>
      </c>
      <c r="D150">
        <v>0</v>
      </c>
      <c r="E150">
        <v>6.5625417871250105E-2</v>
      </c>
      <c r="F150">
        <v>8.6549299512083903E-3</v>
      </c>
      <c r="G150">
        <f>SQRT(Calcs!J151)</f>
        <v>4.1197244218377713E-2</v>
      </c>
      <c r="H150" s="84">
        <f t="shared" si="8"/>
        <v>2.4428173652872393E-2</v>
      </c>
      <c r="I150" s="71">
        <f>LN(Calcs!L152/Calcs!L151)</f>
        <v>-2.7281055344878491E-3</v>
      </c>
      <c r="J150" s="76">
        <f t="shared" si="9"/>
        <v>-1.138303548569624E-2</v>
      </c>
      <c r="K150" s="72">
        <v>1498.8361442160999</v>
      </c>
      <c r="L150" s="72">
        <f t="shared" si="10"/>
        <v>1725.2562616946325</v>
      </c>
      <c r="M150" s="75">
        <f t="shared" si="11"/>
        <v>-226.42011747853257</v>
      </c>
    </row>
    <row r="151" spans="1:13" x14ac:dyDescent="0.2">
      <c r="A151">
        <v>-0.41078268607580998</v>
      </c>
      <c r="B151" s="70">
        <v>-9.30498541057629E-2</v>
      </c>
      <c r="C151">
        <v>-1.3512880354167101</v>
      </c>
      <c r="D151">
        <v>0</v>
      </c>
      <c r="E151">
        <v>0</v>
      </c>
      <c r="F151">
        <v>6.7340587552238907E-5</v>
      </c>
      <c r="G151">
        <f>SQRT(Calcs!J152)</f>
        <v>5.3709338335724457E-2</v>
      </c>
      <c r="H151" s="84">
        <f t="shared" si="8"/>
        <v>-5.3709338335724457E-2</v>
      </c>
      <c r="I151" s="71">
        <f>LN(Calcs!L153/Calcs!L152)</f>
        <v>4.520479085528311E-3</v>
      </c>
      <c r="J151" s="76">
        <f t="shared" si="9"/>
        <v>4.4531384979760724E-3</v>
      </c>
      <c r="K151" s="72">
        <v>1489.4013947999099</v>
      </c>
      <c r="L151" s="72">
        <f t="shared" si="10"/>
        <v>1725.372445376868</v>
      </c>
      <c r="M151" s="75">
        <f t="shared" si="11"/>
        <v>-235.97105057695808</v>
      </c>
    </row>
    <row r="152" spans="1:13" x14ac:dyDescent="0.2">
      <c r="A152">
        <v>-0.73901323151263898</v>
      </c>
      <c r="B152" s="70">
        <v>0.149280594029709</v>
      </c>
      <c r="C152">
        <v>-1.4164220907612699</v>
      </c>
      <c r="D152">
        <v>0</v>
      </c>
      <c r="E152">
        <v>0</v>
      </c>
      <c r="F152">
        <v>6.7340587552238907E-5</v>
      </c>
      <c r="G152">
        <f>SQRT(Calcs!J153)</f>
        <v>2.6455772243796451E-2</v>
      </c>
      <c r="H152" s="84">
        <f t="shared" si="8"/>
        <v>-2.6455772243796451E-2</v>
      </c>
      <c r="I152" s="71">
        <f>LN(Calcs!L154/Calcs!L153)</f>
        <v>2.8475508411082047E-3</v>
      </c>
      <c r="J152" s="76">
        <f t="shared" si="9"/>
        <v>2.7802102535559657E-3</v>
      </c>
      <c r="K152" s="72">
        <v>1473.0784693056301</v>
      </c>
      <c r="L152" s="72">
        <f t="shared" si="10"/>
        <v>1725.4886368832442</v>
      </c>
      <c r="M152" s="75">
        <f t="shared" si="11"/>
        <v>-252.41016757761417</v>
      </c>
    </row>
    <row r="153" spans="1:13" x14ac:dyDescent="0.2">
      <c r="A153">
        <v>-0.11552286957695899</v>
      </c>
      <c r="B153" s="70">
        <v>9.4217427978397994E-2</v>
      </c>
      <c r="C153">
        <v>-0.35881103502616202</v>
      </c>
      <c r="D153">
        <v>0</v>
      </c>
      <c r="E153">
        <v>0</v>
      </c>
      <c r="F153">
        <v>6.7340587552238907E-5</v>
      </c>
      <c r="G153">
        <f>SQRT(Calcs!J154)</f>
        <v>0</v>
      </c>
      <c r="H153" s="84">
        <f t="shared" si="8"/>
        <v>0</v>
      </c>
      <c r="I153" s="71">
        <f>LN(Calcs!L155/Calcs!L154)</f>
        <v>3.296691252653625E-5</v>
      </c>
      <c r="J153" s="76">
        <f t="shared" si="9"/>
        <v>-3.4373675025702657E-5</v>
      </c>
      <c r="K153" s="72">
        <v>1470.4053325668101</v>
      </c>
      <c r="L153" s="72">
        <f t="shared" si="10"/>
        <v>1725.6048362142883</v>
      </c>
      <c r="M153" s="75">
        <f t="shared" si="11"/>
        <v>-255.1995036474782</v>
      </c>
    </row>
    <row r="154" spans="1:13" x14ac:dyDescent="0.2">
      <c r="A154">
        <v>0.55573917977589204</v>
      </c>
      <c r="B154" s="70">
        <v>-1.33547772278201</v>
      </c>
      <c r="C154">
        <v>-0.53911450936931704</v>
      </c>
      <c r="D154">
        <v>0</v>
      </c>
      <c r="E154">
        <v>0</v>
      </c>
      <c r="F154">
        <v>6.7340587552238907E-5</v>
      </c>
      <c r="G154">
        <f>SQRT(Calcs!J155)</f>
        <v>0</v>
      </c>
      <c r="H154" s="84">
        <f t="shared" si="8"/>
        <v>0</v>
      </c>
      <c r="I154" s="71">
        <f>LN(Calcs!L156/Calcs!L155)</f>
        <v>3.296691252653625E-5</v>
      </c>
      <c r="J154" s="76">
        <f t="shared" si="9"/>
        <v>-3.4373675025702657E-5</v>
      </c>
      <c r="K154" s="72">
        <v>1482.48338166547</v>
      </c>
      <c r="L154" s="72">
        <f t="shared" si="10"/>
        <v>1725.721043370527</v>
      </c>
      <c r="M154" s="75">
        <f t="shared" si="11"/>
        <v>-243.23766170505701</v>
      </c>
    </row>
    <row r="155" spans="1:13" x14ac:dyDescent="0.2">
      <c r="A155">
        <v>1.2307109524890001</v>
      </c>
      <c r="B155" s="70">
        <v>-2.0446719021449802</v>
      </c>
      <c r="C155">
        <v>-0.14234005298034899</v>
      </c>
      <c r="D155">
        <v>0</v>
      </c>
      <c r="E155">
        <v>2.64444553423222E-2</v>
      </c>
      <c r="F155">
        <v>2.11612565390704E-3</v>
      </c>
      <c r="G155">
        <f>SQRT(Calcs!J156)</f>
        <v>4.8660825669828628E-2</v>
      </c>
      <c r="H155" s="84">
        <f t="shared" si="8"/>
        <v>-2.2216370327506427E-2</v>
      </c>
      <c r="I155" s="71">
        <f>LN(Calcs!L157/Calcs!L156)</f>
        <v>3.9494377085709537E-3</v>
      </c>
      <c r="J155" s="76">
        <f t="shared" si="9"/>
        <v>1.8333120546639137E-3</v>
      </c>
      <c r="K155" s="72">
        <v>1512.08594469216</v>
      </c>
      <c r="L155" s="72">
        <f t="shared" si="10"/>
        <v>1729.3767525476924</v>
      </c>
      <c r="M155" s="75">
        <f t="shared" si="11"/>
        <v>-217.29080785553242</v>
      </c>
    </row>
    <row r="156" spans="1:13" x14ac:dyDescent="0.2">
      <c r="A156">
        <v>0.84665636523555998</v>
      </c>
      <c r="B156" s="70">
        <v>0.238307716279508</v>
      </c>
      <c r="C156">
        <v>-0.73900529463576603</v>
      </c>
      <c r="D156">
        <v>0</v>
      </c>
      <c r="E156">
        <v>1.4154964463183701E-2</v>
      </c>
      <c r="F156">
        <v>8.2188869835660996E-4</v>
      </c>
      <c r="G156">
        <f>SQRT(Calcs!J157)</f>
        <v>3.9665567291976248E-2</v>
      </c>
      <c r="H156" s="84">
        <f t="shared" si="8"/>
        <v>-2.5510602828792549E-2</v>
      </c>
      <c r="I156" s="71">
        <f>LN(Calcs!L158/Calcs!L157)</f>
        <v>-7.4458650912822047E-4</v>
      </c>
      <c r="J156" s="76">
        <f t="shared" si="9"/>
        <v>-1.5664752074848304E-3</v>
      </c>
      <c r="K156" s="72">
        <v>1528.56329183406</v>
      </c>
      <c r="L156" s="72">
        <f t="shared" si="10"/>
        <v>1730.7986920137571</v>
      </c>
      <c r="M156" s="75">
        <f t="shared" si="11"/>
        <v>-202.23540017969708</v>
      </c>
    </row>
    <row r="157" spans="1:13" x14ac:dyDescent="0.2">
      <c r="A157">
        <v>-0.19763264963240801</v>
      </c>
      <c r="B157" s="70">
        <v>-6.6757795452381696E-2</v>
      </c>
      <c r="C157">
        <v>-5.7697024377376699E-2</v>
      </c>
      <c r="D157">
        <v>0</v>
      </c>
      <c r="E157">
        <v>0</v>
      </c>
      <c r="F157">
        <v>6.7340587552238907E-5</v>
      </c>
      <c r="G157">
        <f>SQRT(Calcs!J158)</f>
        <v>6.5349384093725524E-2</v>
      </c>
      <c r="H157" s="84">
        <f t="shared" si="8"/>
        <v>-6.5349384093725524E-2</v>
      </c>
      <c r="I157" s="71">
        <f>LN(Calcs!L159/Calcs!L158)</f>
        <v>6.5609114701811917E-3</v>
      </c>
      <c r="J157" s="76">
        <f t="shared" si="9"/>
        <v>6.4935708826289532E-3</v>
      </c>
      <c r="K157" s="72">
        <v>1524.94277098935</v>
      </c>
      <c r="L157" s="72">
        <f t="shared" si="10"/>
        <v>1730.9152489390738</v>
      </c>
      <c r="M157" s="75">
        <f t="shared" si="11"/>
        <v>-205.97247794972373</v>
      </c>
    </row>
    <row r="158" spans="1:13" x14ac:dyDescent="0.2">
      <c r="A158">
        <v>-0.58344419343896003</v>
      </c>
      <c r="B158" s="70">
        <v>-0.12374483099774899</v>
      </c>
      <c r="C158">
        <v>-1.15055977379995</v>
      </c>
      <c r="D158">
        <v>0</v>
      </c>
      <c r="E158">
        <v>0</v>
      </c>
      <c r="F158">
        <v>6.7340587552238907E-5</v>
      </c>
      <c r="G158">
        <f>SQRT(Calcs!J159)</f>
        <v>0</v>
      </c>
      <c r="H158" s="84">
        <f t="shared" si="8"/>
        <v>0</v>
      </c>
      <c r="I158" s="71">
        <f>LN(Calcs!L160/Calcs!L159)</f>
        <v>3.296691252653625E-5</v>
      </c>
      <c r="J158" s="76">
        <f t="shared" si="9"/>
        <v>-3.4373675025702657E-5</v>
      </c>
      <c r="K158" s="72">
        <v>1514.5700084310099</v>
      </c>
      <c r="L158" s="72">
        <f t="shared" si="10"/>
        <v>1731.0318137136665</v>
      </c>
      <c r="M158" s="75">
        <f t="shared" si="11"/>
        <v>-216.46180528265654</v>
      </c>
    </row>
    <row r="159" spans="1:13" x14ac:dyDescent="0.2">
      <c r="A159">
        <v>1.4258056314873</v>
      </c>
      <c r="B159" s="70">
        <v>0.128605718636149</v>
      </c>
      <c r="C159">
        <v>-1.17059738448355</v>
      </c>
      <c r="D159">
        <v>0</v>
      </c>
      <c r="E159">
        <v>0</v>
      </c>
      <c r="F159">
        <v>6.7340587552238907E-5</v>
      </c>
      <c r="G159">
        <f>SQRT(Calcs!J160)</f>
        <v>3.6774889911339724E-2</v>
      </c>
      <c r="H159" s="84">
        <f t="shared" si="8"/>
        <v>-3.6774889911339724E-2</v>
      </c>
      <c r="I159" s="71">
        <f>LN(Calcs!L161/Calcs!L160)</f>
        <v>-2.7809394328049096E-3</v>
      </c>
      <c r="J159" s="76">
        <f t="shared" si="9"/>
        <v>-2.8482800203571486E-3</v>
      </c>
      <c r="K159" s="72">
        <v>1542.1125997735201</v>
      </c>
      <c r="L159" s="72">
        <f t="shared" si="10"/>
        <v>1731.1483863380638</v>
      </c>
      <c r="M159" s="75">
        <f t="shared" si="11"/>
        <v>-189.03578656454374</v>
      </c>
    </row>
    <row r="160" spans="1:13" x14ac:dyDescent="0.2">
      <c r="A160">
        <v>-0.11235430726986501</v>
      </c>
      <c r="B160" s="70">
        <v>-0.12716618420839099</v>
      </c>
      <c r="C160">
        <v>-0.198476077272838</v>
      </c>
      <c r="D160">
        <v>0</v>
      </c>
      <c r="E160">
        <v>0</v>
      </c>
      <c r="F160">
        <v>6.7340587552238907E-5</v>
      </c>
      <c r="G160">
        <f>SQRT(Calcs!J161)</f>
        <v>3.6239605854060018E-2</v>
      </c>
      <c r="H160" s="84">
        <f t="shared" si="8"/>
        <v>-3.6239605854060018E-2</v>
      </c>
      <c r="I160" s="71">
        <f>LN(Calcs!L162/Calcs!L161)</f>
        <v>3.4768351999611598E-3</v>
      </c>
      <c r="J160" s="76">
        <f t="shared" si="9"/>
        <v>3.4094946124089208E-3</v>
      </c>
      <c r="K160" s="72">
        <v>1540.84009187928</v>
      </c>
      <c r="L160" s="72">
        <f t="shared" si="10"/>
        <v>1731.2649668127947</v>
      </c>
      <c r="M160" s="75">
        <f t="shared" si="11"/>
        <v>-190.42487493351473</v>
      </c>
    </row>
    <row r="161" spans="1:13" x14ac:dyDescent="0.2">
      <c r="A161">
        <v>-0.26759346063841299</v>
      </c>
      <c r="B161" s="70">
        <v>2.23647511268328E-2</v>
      </c>
      <c r="C161">
        <v>-0.21604557348752601</v>
      </c>
      <c r="D161">
        <v>0</v>
      </c>
      <c r="E161">
        <v>0</v>
      </c>
      <c r="F161">
        <v>6.7340587552238907E-5</v>
      </c>
      <c r="G161">
        <f>SQRT(Calcs!J162)</f>
        <v>0</v>
      </c>
      <c r="H161" s="84">
        <f t="shared" si="8"/>
        <v>0</v>
      </c>
      <c r="I161" s="71">
        <f>LN(Calcs!L163/Calcs!L162)</f>
        <v>3.296691252653625E-5</v>
      </c>
      <c r="J161" s="76">
        <f t="shared" si="9"/>
        <v>-3.4373675025702657E-5</v>
      </c>
      <c r="K161" s="72">
        <v>1537.3542905881</v>
      </c>
      <c r="L161" s="72">
        <f t="shared" si="10"/>
        <v>1731.3815551383875</v>
      </c>
      <c r="M161" s="75">
        <f t="shared" si="11"/>
        <v>-194.02726455028755</v>
      </c>
    </row>
    <row r="162" spans="1:13" x14ac:dyDescent="0.2">
      <c r="A162">
        <v>-7.9754164559973598E-2</v>
      </c>
      <c r="B162" s="70">
        <v>-1.1246222573938101</v>
      </c>
      <c r="C162">
        <v>-1.0441910094392799</v>
      </c>
      <c r="D162">
        <v>0</v>
      </c>
      <c r="E162">
        <v>0</v>
      </c>
      <c r="F162">
        <v>6.7340587552238907E-5</v>
      </c>
      <c r="G162">
        <f>SQRT(Calcs!J163)</f>
        <v>0</v>
      </c>
      <c r="H162" s="84">
        <f t="shared" si="8"/>
        <v>0</v>
      </c>
      <c r="I162" s="71">
        <f>LN(Calcs!L164/Calcs!L163)</f>
        <v>3.296691252653625E-5</v>
      </c>
      <c r="J162" s="76">
        <f t="shared" si="9"/>
        <v>-3.4373675025702657E-5</v>
      </c>
      <c r="K162" s="72">
        <v>1536.30120423364</v>
      </c>
      <c r="L162" s="72">
        <f t="shared" si="10"/>
        <v>1731.4981513153709</v>
      </c>
      <c r="M162" s="75">
        <f t="shared" si="11"/>
        <v>-195.19694708173097</v>
      </c>
    </row>
    <row r="163" spans="1:13" x14ac:dyDescent="0.2">
      <c r="A163">
        <v>0.57253387527126498</v>
      </c>
      <c r="B163" s="70">
        <v>-0.122768282267377</v>
      </c>
      <c r="C163">
        <v>-0.94655314240830901</v>
      </c>
      <c r="D163">
        <v>0</v>
      </c>
      <c r="E163">
        <v>1.8872198150395699E-2</v>
      </c>
      <c r="F163">
        <v>7.47283225871319E-4</v>
      </c>
      <c r="G163">
        <f>SQRT(Calcs!J164)</f>
        <v>0</v>
      </c>
      <c r="H163" s="84">
        <f t="shared" si="8"/>
        <v>1.8872198150395699E-2</v>
      </c>
      <c r="I163" s="71">
        <f>LN(Calcs!L165/Calcs!L164)</f>
        <v>3.296691252653625E-5</v>
      </c>
      <c r="J163" s="76">
        <f t="shared" si="9"/>
        <v>-7.1431631334478273E-4</v>
      </c>
      <c r="K163" s="72">
        <v>1543.7478874041999</v>
      </c>
      <c r="L163" s="72">
        <f t="shared" si="10"/>
        <v>1732.7925544221046</v>
      </c>
      <c r="M163" s="75">
        <f t="shared" si="11"/>
        <v>-189.04466701790466</v>
      </c>
    </row>
    <row r="164" spans="1:13" x14ac:dyDescent="0.2">
      <c r="A164">
        <v>-1.2482851262566601</v>
      </c>
      <c r="B164" s="70">
        <v>1.65174615638973</v>
      </c>
      <c r="C164">
        <v>1.03655882059143</v>
      </c>
      <c r="D164">
        <v>0</v>
      </c>
      <c r="E164">
        <v>0</v>
      </c>
      <c r="F164">
        <v>6.7340587552238907E-5</v>
      </c>
      <c r="G164">
        <f>SQRT(Calcs!J165)</f>
        <v>0</v>
      </c>
      <c r="H164" s="84">
        <f t="shared" si="8"/>
        <v>0</v>
      </c>
      <c r="I164" s="71">
        <f>LN(Calcs!L166/Calcs!L165)</f>
        <v>3.296691252653625E-5</v>
      </c>
      <c r="J164" s="76">
        <f t="shared" si="9"/>
        <v>-3.4373675025702657E-5</v>
      </c>
      <c r="K164" s="72">
        <v>1524.3933803009299</v>
      </c>
      <c r="L164" s="72">
        <f t="shared" si="10"/>
        <v>1732.9092456198082</v>
      </c>
      <c r="M164" s="75">
        <f t="shared" si="11"/>
        <v>-208.51586531887824</v>
      </c>
    </row>
    <row r="165" spans="1:13" x14ac:dyDescent="0.2">
      <c r="A165">
        <v>-2.7923024351031902</v>
      </c>
      <c r="B165" s="70">
        <v>1.4989226276487899</v>
      </c>
      <c r="C165">
        <v>-0.32330594132263402</v>
      </c>
      <c r="D165">
        <v>0</v>
      </c>
      <c r="E165">
        <v>3.6390845453926103E-2</v>
      </c>
      <c r="F165">
        <v>-6.3363828261644699E-3</v>
      </c>
      <c r="G165">
        <f>SQRT(Calcs!J166)</f>
        <v>0</v>
      </c>
      <c r="H165" s="84">
        <f t="shared" si="8"/>
        <v>3.6390845453926103E-2</v>
      </c>
      <c r="I165" s="71">
        <f>LN(Calcs!L167/Calcs!L166)</f>
        <v>3.296691252653625E-5</v>
      </c>
      <c r="J165" s="76">
        <f t="shared" si="9"/>
        <v>6.3693497386910058E-3</v>
      </c>
      <c r="K165" s="72">
        <v>1475.26892754303</v>
      </c>
      <c r="L165" s="72">
        <f t="shared" si="10"/>
        <v>1721.9635838104214</v>
      </c>
      <c r="M165" s="75">
        <f t="shared" si="11"/>
        <v>-246.69465626739134</v>
      </c>
    </row>
    <row r="166" spans="1:13" x14ac:dyDescent="0.2">
      <c r="A166">
        <v>-0.73781342632334601</v>
      </c>
      <c r="B166" s="70">
        <v>3.79409801188463E-2</v>
      </c>
      <c r="C166">
        <v>-0.38784750572016602</v>
      </c>
      <c r="D166">
        <v>0</v>
      </c>
      <c r="E166">
        <v>7.1630529701970105E-2</v>
      </c>
      <c r="F166">
        <v>-3.2720747938343002E-3</v>
      </c>
      <c r="G166">
        <f>SQRT(Calcs!J167)</f>
        <v>2.1949136496587827E-2</v>
      </c>
      <c r="H166" s="84">
        <f t="shared" si="8"/>
        <v>4.9681393205382278E-2</v>
      </c>
      <c r="I166" s="71">
        <f>LN(Calcs!L168/Calcs!L167)</f>
        <v>8.1273083352028123E-4</v>
      </c>
      <c r="J166" s="76">
        <f t="shared" si="9"/>
        <v>4.0848056273545819E-3</v>
      </c>
      <c r="K166" s="72">
        <v>1458.39856741684</v>
      </c>
      <c r="L166" s="72">
        <f t="shared" si="10"/>
        <v>1716.3383982047742</v>
      </c>
      <c r="M166" s="75">
        <f t="shared" si="11"/>
        <v>-257.93983078793417</v>
      </c>
    </row>
    <row r="167" spans="1:13" x14ac:dyDescent="0.2">
      <c r="A167">
        <v>-0.10175220365557</v>
      </c>
      <c r="B167" s="70">
        <v>-0.32724360209095898</v>
      </c>
      <c r="C167">
        <v>-0.70955573041964504</v>
      </c>
      <c r="D167">
        <v>0</v>
      </c>
      <c r="E167">
        <v>6.9076891993192002E-2</v>
      </c>
      <c r="F167">
        <v>-3.8489502512801702E-4</v>
      </c>
      <c r="G167">
        <f>SQRT(Calcs!J168)</f>
        <v>0</v>
      </c>
      <c r="H167" s="84">
        <f t="shared" si="8"/>
        <v>6.9076891993192002E-2</v>
      </c>
      <c r="I167" s="71">
        <f>LN(Calcs!L169/Calcs!L168)</f>
        <v>3.296691252653625E-5</v>
      </c>
      <c r="J167" s="76">
        <f t="shared" si="9"/>
        <v>4.1786193765455329E-4</v>
      </c>
      <c r="K167" s="72">
        <v>1456.3209592139899</v>
      </c>
      <c r="L167" s="72">
        <f t="shared" si="10"/>
        <v>1715.6779152103322</v>
      </c>
      <c r="M167" s="75">
        <f t="shared" si="11"/>
        <v>-259.35695599634232</v>
      </c>
    </row>
    <row r="168" spans="1:13" x14ac:dyDescent="0.2">
      <c r="A168">
        <v>0.75282396718553402</v>
      </c>
      <c r="B168" s="70">
        <v>-0.20924229313793699</v>
      </c>
      <c r="C168">
        <v>-2.8068755693111598</v>
      </c>
      <c r="D168">
        <v>0</v>
      </c>
      <c r="E168">
        <v>5.6399948565420598E-2</v>
      </c>
      <c r="F168">
        <v>2.7357094431313899E-3</v>
      </c>
      <c r="G168">
        <f>SQRT(Calcs!J169)</f>
        <v>0</v>
      </c>
      <c r="H168" s="84">
        <f t="shared" si="8"/>
        <v>5.6399948565420598E-2</v>
      </c>
      <c r="I168" s="71">
        <f>LN(Calcs!L170/Calcs!L169)</f>
        <v>3.296691252653625E-5</v>
      </c>
      <c r="J168" s="76">
        <f t="shared" si="9"/>
        <v>-2.7027425306048536E-3</v>
      </c>
      <c r="K168" s="72">
        <v>1469.8868616766399</v>
      </c>
      <c r="L168" s="72">
        <f t="shared" si="10"/>
        <v>1720.3779375007382</v>
      </c>
      <c r="M168" s="75">
        <f t="shared" si="11"/>
        <v>-250.49107582409829</v>
      </c>
    </row>
    <row r="169" spans="1:13" x14ac:dyDescent="0.2">
      <c r="A169">
        <v>-0.169570877514999</v>
      </c>
      <c r="B169" s="70">
        <v>2.1737346513381999</v>
      </c>
      <c r="C169">
        <v>-1.0435498477766501</v>
      </c>
      <c r="D169">
        <v>0</v>
      </c>
      <c r="E169">
        <v>4.5937120892040002E-2</v>
      </c>
      <c r="F169">
        <v>-4.2754489927419799E-4</v>
      </c>
      <c r="G169">
        <f>SQRT(Calcs!J170)</f>
        <v>0</v>
      </c>
      <c r="H169" s="84">
        <f t="shared" si="8"/>
        <v>4.5937120892040002E-2</v>
      </c>
      <c r="I169" s="71">
        <f>LN(Calcs!L171/Calcs!L170)</f>
        <v>3.296691252653625E-5</v>
      </c>
      <c r="J169" s="76">
        <f t="shared" si="9"/>
        <v>4.6051181180073426E-4</v>
      </c>
      <c r="K169" s="72">
        <v>1466.88676774953</v>
      </c>
      <c r="L169" s="72">
        <f t="shared" si="10"/>
        <v>1719.6425559042632</v>
      </c>
      <c r="M169" s="75">
        <f t="shared" si="11"/>
        <v>-252.75578815473318</v>
      </c>
    </row>
    <row r="170" spans="1:13" x14ac:dyDescent="0.2">
      <c r="A170">
        <v>-0.469066044931854</v>
      </c>
      <c r="B170" s="70">
        <v>-0.96410544641829898</v>
      </c>
      <c r="C170">
        <v>0.328641509240582</v>
      </c>
      <c r="D170">
        <v>0</v>
      </c>
      <c r="E170">
        <v>9.9418356593002105E-2</v>
      </c>
      <c r="F170">
        <v>-2.8899222615814701E-3</v>
      </c>
      <c r="G170">
        <f>SQRT(Calcs!J171)</f>
        <v>0</v>
      </c>
      <c r="H170" s="84">
        <f t="shared" si="8"/>
        <v>9.9418356593002105E-2</v>
      </c>
      <c r="I170" s="71">
        <f>LN(Calcs!L172/Calcs!L171)</f>
        <v>3.296691252653625E-5</v>
      </c>
      <c r="J170" s="76">
        <f t="shared" si="9"/>
        <v>2.9228891741080064E-3</v>
      </c>
      <c r="K170" s="72">
        <v>1459.7627194383799</v>
      </c>
      <c r="L170" s="72">
        <f t="shared" si="10"/>
        <v>1714.6800966145063</v>
      </c>
      <c r="M170" s="75">
        <f t="shared" si="11"/>
        <v>-254.91737717612637</v>
      </c>
    </row>
    <row r="171" spans="1:13" x14ac:dyDescent="0.2">
      <c r="A171">
        <v>0.45141037874756601</v>
      </c>
      <c r="B171" s="70">
        <v>-2.0441916343781301</v>
      </c>
      <c r="C171">
        <v>-1.45039059333955</v>
      </c>
      <c r="D171">
        <v>0</v>
      </c>
      <c r="E171">
        <v>7.1064644515011599E-2</v>
      </c>
      <c r="F171">
        <v>2.0781274749117101E-3</v>
      </c>
      <c r="G171">
        <f>SQRT(Calcs!J172)</f>
        <v>0</v>
      </c>
      <c r="H171" s="84">
        <f t="shared" si="8"/>
        <v>7.1064644515011599E-2</v>
      </c>
      <c r="I171" s="71">
        <f>LN(Calcs!L173/Calcs!L172)</f>
        <v>3.296691252653625E-5</v>
      </c>
      <c r="J171" s="76">
        <f t="shared" si="9"/>
        <v>-2.0451605623851739E-3</v>
      </c>
      <c r="K171" s="72">
        <v>1467.0736880104701</v>
      </c>
      <c r="L171" s="72">
        <f t="shared" si="10"/>
        <v>1718.2471255206335</v>
      </c>
      <c r="M171" s="75">
        <f t="shared" si="11"/>
        <v>-251.17343751016347</v>
      </c>
    </row>
    <row r="172" spans="1:13" x14ac:dyDescent="0.2">
      <c r="A172">
        <v>0.27205021545774</v>
      </c>
      <c r="B172" s="70">
        <v>0.103349712816378</v>
      </c>
      <c r="C172">
        <v>0.564045727995104</v>
      </c>
      <c r="D172">
        <v>0</v>
      </c>
      <c r="E172">
        <v>0</v>
      </c>
      <c r="F172">
        <v>6.7340587552238907E-5</v>
      </c>
      <c r="G172">
        <f>SQRT(Calcs!J173)</f>
        <v>0</v>
      </c>
      <c r="H172" s="84">
        <f t="shared" si="8"/>
        <v>0</v>
      </c>
      <c r="I172" s="71">
        <f>LN(Calcs!L174/Calcs!L173)</f>
        <v>3.296691252653625E-5</v>
      </c>
      <c r="J172" s="76">
        <f t="shared" si="9"/>
        <v>-3.4373675025702657E-5</v>
      </c>
      <c r="K172" s="72">
        <v>1471.23160265567</v>
      </c>
      <c r="L172" s="72">
        <f t="shared" si="10"/>
        <v>1718.362837187628</v>
      </c>
      <c r="M172" s="75">
        <f t="shared" si="11"/>
        <v>-247.13123453195794</v>
      </c>
    </row>
    <row r="173" spans="1:13" x14ac:dyDescent="0.2">
      <c r="A173">
        <v>0.103057494729313</v>
      </c>
      <c r="B173" s="70">
        <v>-7.12973075977264E-2</v>
      </c>
      <c r="C173">
        <v>-0.43544719622689898</v>
      </c>
      <c r="D173">
        <v>0</v>
      </c>
      <c r="E173">
        <v>0</v>
      </c>
      <c r="F173">
        <v>8.6213129494195595E-5</v>
      </c>
      <c r="G173">
        <f>SQRT(Calcs!J174)</f>
        <v>3.9462207576966626E-2</v>
      </c>
      <c r="H173" s="84">
        <f t="shared" si="8"/>
        <v>-3.9462207576966626E-2</v>
      </c>
      <c r="I173" s="71">
        <f>LN(Calcs!L175/Calcs!L174)</f>
        <v>-2.0587559867526794E-3</v>
      </c>
      <c r="J173" s="76">
        <f t="shared" si="9"/>
        <v>-2.144969116246875E-3</v>
      </c>
      <c r="K173" s="72">
        <v>1472.4586078631701</v>
      </c>
      <c r="L173" s="72">
        <f t="shared" si="10"/>
        <v>1718.5109890116528</v>
      </c>
      <c r="M173" s="75">
        <f t="shared" si="11"/>
        <v>-246.05238114848271</v>
      </c>
    </row>
    <row r="174" spans="1:13" x14ac:dyDescent="0.2">
      <c r="A174">
        <v>1.3175493234119799</v>
      </c>
      <c r="B174" s="70">
        <v>-1.53517773291305</v>
      </c>
      <c r="C174">
        <v>-1.2489387156068501</v>
      </c>
      <c r="D174">
        <v>0</v>
      </c>
      <c r="E174">
        <v>0</v>
      </c>
      <c r="F174">
        <v>8.6213129494195595E-5</v>
      </c>
      <c r="G174">
        <f>SQRT(Calcs!J175)</f>
        <v>8.0704316952902491E-2</v>
      </c>
      <c r="H174" s="84">
        <f t="shared" si="8"/>
        <v>-8.0704316952902491E-2</v>
      </c>
      <c r="I174" s="71">
        <f>LN(Calcs!L176/Calcs!L175)</f>
        <v>-5.5081442823166731E-3</v>
      </c>
      <c r="J174" s="76">
        <f t="shared" si="9"/>
        <v>-5.5943574118108687E-3</v>
      </c>
      <c r="K174" s="72">
        <v>1486.5208945376601</v>
      </c>
      <c r="L174" s="72">
        <f t="shared" si="10"/>
        <v>1718.6591536088606</v>
      </c>
      <c r="M174" s="75">
        <f t="shared" si="11"/>
        <v>-232.13825907120054</v>
      </c>
    </row>
    <row r="175" spans="1:13" x14ac:dyDescent="0.2">
      <c r="A175">
        <v>-0.862421542256264</v>
      </c>
      <c r="B175" s="70">
        <v>0.243092178765697</v>
      </c>
      <c r="C175">
        <v>-0.79969569128723095</v>
      </c>
      <c r="D175">
        <v>0</v>
      </c>
      <c r="E175">
        <v>3.2841147946997502E-2</v>
      </c>
      <c r="F175">
        <v>-1.70010267625752E-3</v>
      </c>
      <c r="G175">
        <f>SQRT(Calcs!J176)</f>
        <v>8.5376919846817195E-2</v>
      </c>
      <c r="H175" s="84">
        <f t="shared" si="8"/>
        <v>-5.2535771899819693E-2</v>
      </c>
      <c r="I175" s="71">
        <f>LN(Calcs!L177/Calcs!L176)</f>
        <v>-1.4783136831974965E-2</v>
      </c>
      <c r="J175" s="76">
        <f t="shared" si="9"/>
        <v>-1.3083034155717444E-2</v>
      </c>
      <c r="K175" s="72">
        <v>1480.54447459882</v>
      </c>
      <c r="L175" s="72">
        <f t="shared" si="10"/>
        <v>1715.7397389377606</v>
      </c>
      <c r="M175" s="75">
        <f t="shared" si="11"/>
        <v>-235.19526433894066</v>
      </c>
    </row>
    <row r="176" spans="1:13" x14ac:dyDescent="0.2">
      <c r="A176">
        <v>-0.85713364318938501</v>
      </c>
      <c r="B176" s="70">
        <v>1.3609764178057999</v>
      </c>
      <c r="C176">
        <v>0.41298610740222402</v>
      </c>
      <c r="D176">
        <v>0</v>
      </c>
      <c r="E176">
        <v>3.2305936160058203E-2</v>
      </c>
      <c r="F176">
        <v>-1.66019549095419E-3</v>
      </c>
      <c r="G176">
        <f>SQRT(Calcs!J177)</f>
        <v>0.15894495290530414</v>
      </c>
      <c r="H176" s="84">
        <f t="shared" si="8"/>
        <v>-0.12663901674524594</v>
      </c>
      <c r="I176" s="71">
        <f>LN(Calcs!L178/Calcs!L177)</f>
        <v>-2.6155549316268919E-4</v>
      </c>
      <c r="J176" s="76">
        <f t="shared" si="9"/>
        <v>1.3986399977915008E-3</v>
      </c>
      <c r="K176" s="72">
        <v>1476.8833875908899</v>
      </c>
      <c r="L176" s="72">
        <f t="shared" si="10"/>
        <v>1712.8936387545841</v>
      </c>
      <c r="M176" s="75">
        <f t="shared" si="11"/>
        <v>-236.01025116369419</v>
      </c>
    </row>
    <row r="177" spans="1:13" x14ac:dyDescent="0.2">
      <c r="A177">
        <v>0.246711460256483</v>
      </c>
      <c r="B177" s="70">
        <v>-0.81455628266290403</v>
      </c>
      <c r="C177">
        <v>-0.56409160107427503</v>
      </c>
      <c r="D177">
        <v>0</v>
      </c>
      <c r="E177">
        <v>6.3609697973106394E-2</v>
      </c>
      <c r="F177">
        <v>1.06676625798941E-3</v>
      </c>
      <c r="G177">
        <f>SQRT(Calcs!J178)</f>
        <v>0.15718232515129887</v>
      </c>
      <c r="H177" s="84">
        <f t="shared" si="8"/>
        <v>-9.357262717819248E-2</v>
      </c>
      <c r="I177" s="71">
        <f>LN(Calcs!L179/Calcs!L178)</f>
        <v>3.2871889033292672E-3</v>
      </c>
      <c r="J177" s="76">
        <f t="shared" si="9"/>
        <v>2.2204226453398572E-3</v>
      </c>
      <c r="K177" s="72">
        <v>1476.95995040448</v>
      </c>
      <c r="L177" s="72">
        <f t="shared" si="10"/>
        <v>1714.7218708667208</v>
      </c>
      <c r="M177" s="75">
        <f t="shared" si="11"/>
        <v>-237.76192046224082</v>
      </c>
    </row>
    <row r="178" spans="1:13" x14ac:dyDescent="0.2">
      <c r="A178">
        <v>-0.15188688019798499</v>
      </c>
      <c r="B178" s="70">
        <v>-2.2395559420758701E-2</v>
      </c>
      <c r="C178">
        <v>-0.82798109039523504</v>
      </c>
      <c r="D178">
        <v>0</v>
      </c>
      <c r="E178">
        <v>3.6385072245261697E-2</v>
      </c>
      <c r="F178">
        <v>-2.6454503266315997E-4</v>
      </c>
      <c r="G178">
        <f>SQRT(Calcs!J179)</f>
        <v>0.14653081830576281</v>
      </c>
      <c r="H178" s="84">
        <f t="shared" si="8"/>
        <v>-0.11014574606050112</v>
      </c>
      <c r="I178" s="71">
        <f>LN(Calcs!L180/Calcs!L179)</f>
        <v>-1.5711750083029076E-3</v>
      </c>
      <c r="J178" s="76">
        <f t="shared" si="9"/>
        <v>-1.3066299756397475E-3</v>
      </c>
      <c r="K178" s="72">
        <v>1477.0365171871599</v>
      </c>
      <c r="L178" s="72">
        <f t="shared" si="10"/>
        <v>1714.2683097097049</v>
      </c>
      <c r="M178" s="75">
        <f t="shared" si="11"/>
        <v>-237.23179252254499</v>
      </c>
    </row>
    <row r="179" spans="1:13" x14ac:dyDescent="0.2">
      <c r="A179">
        <v>-0.19043384402784599</v>
      </c>
      <c r="B179" s="70">
        <v>-0.14961666026965001</v>
      </c>
      <c r="C179">
        <v>2.02604427944807E-2</v>
      </c>
      <c r="D179">
        <v>0</v>
      </c>
      <c r="E179">
        <v>2.8226319692446201E-2</v>
      </c>
      <c r="F179">
        <v>-2.5397637999239399E-4</v>
      </c>
      <c r="G179">
        <f>SQRT(Calcs!J180)</f>
        <v>0.13206602111186802</v>
      </c>
      <c r="H179" s="84">
        <f t="shared" si="8"/>
        <v>-0.10383970141942182</v>
      </c>
      <c r="I179" s="71">
        <f>LN(Calcs!L181/Calcs!L180)</f>
        <v>-2.887579943981368E-4</v>
      </c>
      <c r="J179" s="76">
        <f t="shared" si="9"/>
        <v>-3.4781614405742813E-5</v>
      </c>
      <c r="K179" s="72">
        <v>1476.54605530498</v>
      </c>
      <c r="L179" s="72">
        <f t="shared" si="10"/>
        <v>1713.8329813339717</v>
      </c>
      <c r="M179" s="75">
        <f t="shared" si="11"/>
        <v>-237.28692602899173</v>
      </c>
    </row>
    <row r="180" spans="1:13" x14ac:dyDescent="0.2">
      <c r="A180">
        <v>1.2400584646146899</v>
      </c>
      <c r="B180" s="70">
        <v>0.92830891912769598</v>
      </c>
      <c r="C180">
        <v>-0.43055369910111202</v>
      </c>
      <c r="D180">
        <v>0</v>
      </c>
      <c r="E180">
        <v>1.05233061410722E-2</v>
      </c>
      <c r="F180">
        <v>9.0803557492094599E-4</v>
      </c>
      <c r="G180">
        <f>SQRT(Calcs!J181)</f>
        <v>0.12500620826715347</v>
      </c>
      <c r="H180" s="84">
        <f t="shared" si="8"/>
        <v>-0.11448290212608127</v>
      </c>
      <c r="I180" s="71">
        <f>LN(Calcs!L182/Calcs!L181)</f>
        <v>7.0031438701911397E-4</v>
      </c>
      <c r="J180" s="76">
        <f t="shared" si="9"/>
        <v>-2.0772118790183202E-4</v>
      </c>
      <c r="K180" s="72">
        <v>1479.39617172513</v>
      </c>
      <c r="L180" s="72">
        <f t="shared" si="10"/>
        <v>1715.3899094165615</v>
      </c>
      <c r="M180" s="75">
        <f t="shared" si="11"/>
        <v>-235.99373769143153</v>
      </c>
    </row>
    <row r="181" spans="1:13" x14ac:dyDescent="0.2">
      <c r="A181">
        <v>-1.50609955902488</v>
      </c>
      <c r="B181" s="70">
        <v>0.85471425819895097</v>
      </c>
      <c r="C181">
        <v>0.39854285762952302</v>
      </c>
      <c r="D181">
        <v>0</v>
      </c>
      <c r="E181">
        <v>2.65025514418143E-2</v>
      </c>
      <c r="F181">
        <v>-2.42961945133696E-3</v>
      </c>
      <c r="G181">
        <f>SQRT(Calcs!J182)</f>
        <v>0.10652984921876643</v>
      </c>
      <c r="H181" s="84">
        <f t="shared" si="8"/>
        <v>-8.0027297776952139E-2</v>
      </c>
      <c r="I181" s="71">
        <f>LN(Calcs!L183/Calcs!L182)</f>
        <v>3.9040387731420867E-3</v>
      </c>
      <c r="J181" s="76">
        <f t="shared" si="9"/>
        <v>6.3336582244790472E-3</v>
      </c>
      <c r="K181" s="72">
        <v>1479.47286480346</v>
      </c>
      <c r="L181" s="72">
        <f t="shared" si="10"/>
        <v>1711.227223644888</v>
      </c>
      <c r="M181" s="75">
        <f t="shared" si="11"/>
        <v>-231.75435884142803</v>
      </c>
    </row>
    <row r="182" spans="1:13" x14ac:dyDescent="0.2">
      <c r="A182">
        <v>-0.55452525835453403</v>
      </c>
      <c r="B182" s="70">
        <v>-0.43754159813314403</v>
      </c>
      <c r="C182">
        <v>0.46935975577375699</v>
      </c>
      <c r="D182">
        <v>0</v>
      </c>
      <c r="E182">
        <v>4.3216738977762501E-2</v>
      </c>
      <c r="F182">
        <v>-1.42713141921709E-3</v>
      </c>
      <c r="G182">
        <f>SQRT(Calcs!J183)</f>
        <v>9.2675136440466724E-2</v>
      </c>
      <c r="H182" s="84">
        <f t="shared" si="8"/>
        <v>-4.9458397462704223E-2</v>
      </c>
      <c r="I182" s="71">
        <f>LN(Calcs!L184/Calcs!L183)</f>
        <v>-2.5821341150751779E-3</v>
      </c>
      <c r="J182" s="76">
        <f t="shared" si="9"/>
        <v>-1.155002695858088E-3</v>
      </c>
      <c r="K182" s="72">
        <v>1479.5495618576199</v>
      </c>
      <c r="L182" s="72">
        <f t="shared" si="10"/>
        <v>1708.7868193116531</v>
      </c>
      <c r="M182" s="75">
        <f t="shared" si="11"/>
        <v>-229.23725745403317</v>
      </c>
    </row>
    <row r="183" spans="1:13" x14ac:dyDescent="0.2">
      <c r="A183">
        <v>-1.64031130467166</v>
      </c>
      <c r="B183" s="70">
        <v>1.5987759238336401</v>
      </c>
      <c r="C183">
        <v>-1.4475867952691099</v>
      </c>
      <c r="D183">
        <v>0</v>
      </c>
      <c r="E183">
        <v>2.31085652588487E-2</v>
      </c>
      <c r="F183">
        <v>-2.3026521348263299E-3</v>
      </c>
      <c r="G183">
        <f>SQRT(Calcs!J184)</f>
        <v>9.9444879523322705E-2</v>
      </c>
      <c r="H183" s="84">
        <f t="shared" si="8"/>
        <v>-7.6336314264474001E-2</v>
      </c>
      <c r="I183" s="71">
        <f>LN(Calcs!L185/Calcs!L184)</f>
        <v>-4.0355683566393368E-3</v>
      </c>
      <c r="J183" s="76">
        <f t="shared" si="9"/>
        <v>-1.7329162218130069E-3</v>
      </c>
      <c r="K183" s="72">
        <v>1479.6262628878201</v>
      </c>
      <c r="L183" s="72">
        <f t="shared" si="10"/>
        <v>1704.8566043896597</v>
      </c>
      <c r="M183" s="75">
        <f t="shared" si="11"/>
        <v>-225.23034150183958</v>
      </c>
    </row>
    <row r="184" spans="1:13" x14ac:dyDescent="0.2">
      <c r="A184">
        <v>0.99266938557277395</v>
      </c>
      <c r="B184" s="70">
        <v>-0.50053846178705097</v>
      </c>
      <c r="C184">
        <v>0.29140885143052198</v>
      </c>
      <c r="D184">
        <v>0</v>
      </c>
      <c r="E184">
        <v>6.0355971052596401E-2</v>
      </c>
      <c r="F184">
        <v>3.85318256417322E-3</v>
      </c>
      <c r="G184">
        <f>SQRT(Calcs!J185)</f>
        <v>0.10448776154260631</v>
      </c>
      <c r="H184" s="84">
        <f t="shared" si="8"/>
        <v>-4.4131790490009905E-2</v>
      </c>
      <c r="I184" s="71">
        <f>LN(Calcs!L186/Calcs!L185)</f>
        <v>6.2753756386123619E-4</v>
      </c>
      <c r="J184" s="76">
        <f t="shared" si="9"/>
        <v>-3.225645000311984E-3</v>
      </c>
      <c r="K184" s="72">
        <v>1483.5633563557501</v>
      </c>
      <c r="L184" s="72">
        <f t="shared" si="10"/>
        <v>1711.4384004196274</v>
      </c>
      <c r="M184" s="75">
        <f t="shared" si="11"/>
        <v>-227.87504406387734</v>
      </c>
    </row>
    <row r="185" spans="1:13" x14ac:dyDescent="0.2">
      <c r="A185">
        <v>-0.52798256278284095</v>
      </c>
      <c r="B185" s="70">
        <v>0.515146162231095</v>
      </c>
      <c r="C185">
        <v>0.98340973291678202</v>
      </c>
      <c r="D185">
        <v>0</v>
      </c>
      <c r="E185">
        <v>4.1954115413816002E-2</v>
      </c>
      <c r="F185">
        <v>-1.3126636739332299E-3</v>
      </c>
      <c r="G185">
        <f>SQRT(Calcs!J186)</f>
        <v>8.5104263285414691E-2</v>
      </c>
      <c r="H185" s="84">
        <f t="shared" si="8"/>
        <v>-4.3150147871598689E-2</v>
      </c>
      <c r="I185" s="71">
        <f>LN(Calcs!L187/Calcs!L186)</f>
        <v>2.1256880354520772E-3</v>
      </c>
      <c r="J185" s="76">
        <f t="shared" si="9"/>
        <v>3.4383517093853071E-3</v>
      </c>
      <c r="K185" s="72">
        <v>1483.64026546426</v>
      </c>
      <c r="L185" s="72">
        <f t="shared" si="10"/>
        <v>1709.1933312339756</v>
      </c>
      <c r="M185" s="75">
        <f t="shared" si="11"/>
        <v>-225.55306576971566</v>
      </c>
    </row>
    <row r="186" spans="1:13" x14ac:dyDescent="0.2">
      <c r="A186">
        <v>0.75629779900425997</v>
      </c>
      <c r="B186" s="70">
        <v>0.44212853243801598</v>
      </c>
      <c r="C186">
        <v>-1.2050269807215801</v>
      </c>
      <c r="D186">
        <v>0</v>
      </c>
      <c r="E186">
        <v>5.0598677770444897E-2</v>
      </c>
      <c r="F186">
        <v>2.4917698501456301E-3</v>
      </c>
      <c r="G186">
        <f>SQRT(Calcs!J187)</f>
        <v>8.7341432804332347E-2</v>
      </c>
      <c r="H186" s="84">
        <f t="shared" si="8"/>
        <v>-3.674275503388745E-2</v>
      </c>
      <c r="I186" s="71">
        <f>LN(Calcs!L188/Calcs!L187)</f>
        <v>9.6571317404536457E-3</v>
      </c>
      <c r="J186" s="76">
        <f t="shared" si="9"/>
        <v>7.1653618903080151E-3</v>
      </c>
      <c r="K186" s="72">
        <v>1483.7171785598</v>
      </c>
      <c r="L186" s="72">
        <f t="shared" si="10"/>
        <v>1713.4575581745244</v>
      </c>
      <c r="M186" s="75">
        <f t="shared" si="11"/>
        <v>-229.74037961472436</v>
      </c>
    </row>
    <row r="187" spans="1:13" x14ac:dyDescent="0.2">
      <c r="A187">
        <v>-0.84104687672450795</v>
      </c>
      <c r="B187" s="70">
        <v>0.74129857049236103</v>
      </c>
      <c r="C187">
        <v>1.09873011819001</v>
      </c>
      <c r="D187">
        <v>0</v>
      </c>
      <c r="E187">
        <v>5.78795341440448E-2</v>
      </c>
      <c r="F187">
        <v>-2.9869478267729602E-3</v>
      </c>
      <c r="G187">
        <f>SQRT(Calcs!J188)</f>
        <v>4.8581430234766208E-2</v>
      </c>
      <c r="H187" s="84">
        <f t="shared" si="8"/>
        <v>9.2981039092785919E-3</v>
      </c>
      <c r="I187" s="71">
        <f>LN(Calcs!L189/Calcs!L188)</f>
        <v>-1.7507845050196752E-3</v>
      </c>
      <c r="J187" s="76">
        <f t="shared" si="9"/>
        <v>1.236163321753285E-3</v>
      </c>
      <c r="K187" s="72">
        <v>1483.79409564257</v>
      </c>
      <c r="L187" s="72">
        <f t="shared" si="10"/>
        <v>1708.3471858521189</v>
      </c>
      <c r="M187" s="75">
        <f t="shared" si="11"/>
        <v>-224.55309020954883</v>
      </c>
    </row>
    <row r="188" spans="1:13" x14ac:dyDescent="0.2">
      <c r="A188">
        <v>0.66381906989997197</v>
      </c>
      <c r="B188" s="70">
        <v>0.90674150010101795</v>
      </c>
      <c r="C188">
        <v>0.48638327138654103</v>
      </c>
      <c r="D188">
        <v>0</v>
      </c>
      <c r="E188">
        <v>7.3670718922551795E-2</v>
      </c>
      <c r="F188">
        <v>3.15610873100583E-3</v>
      </c>
      <c r="G188">
        <f>SQRT(Calcs!J189)</f>
        <v>7.9233123906828989E-2</v>
      </c>
      <c r="H188" s="84">
        <f t="shared" si="8"/>
        <v>-5.5624049842771944E-3</v>
      </c>
      <c r="I188" s="71">
        <f>LN(Calcs!L190/Calcs!L189)</f>
        <v>-1.1661276176788093E-2</v>
      </c>
      <c r="J188" s="76">
        <f t="shared" si="9"/>
        <v>-1.4817384907793923E-2</v>
      </c>
      <c r="K188" s="72">
        <v>1483.8710167127899</v>
      </c>
      <c r="L188" s="72">
        <f t="shared" si="10"/>
        <v>1713.7474327214586</v>
      </c>
      <c r="M188" s="75">
        <f t="shared" si="11"/>
        <v>-229.87641600866868</v>
      </c>
    </row>
    <row r="189" spans="1:13" x14ac:dyDescent="0.2">
      <c r="A189">
        <v>-1.56219066010439</v>
      </c>
      <c r="B189" s="70">
        <v>2.5461329454363799</v>
      </c>
      <c r="C189">
        <v>0.83447268870792102</v>
      </c>
      <c r="D189">
        <v>0</v>
      </c>
      <c r="E189">
        <v>9.4373143052156494E-2</v>
      </c>
      <c r="F189">
        <v>-9.2186022169270607E-3</v>
      </c>
      <c r="G189">
        <f>SQRT(Calcs!J190)</f>
        <v>8.6336207609979926E-2</v>
      </c>
      <c r="H189" s="84">
        <f t="shared" si="8"/>
        <v>8.0369354421765682E-3</v>
      </c>
      <c r="I189" s="71">
        <f>LN(Calcs!L191/Calcs!L190)</f>
        <v>1.187385367538905E-2</v>
      </c>
      <c r="J189" s="76">
        <f t="shared" si="9"/>
        <v>2.1092455892316113E-2</v>
      </c>
      <c r="K189" s="72">
        <v>1483.94794177065</v>
      </c>
      <c r="L189" s="72">
        <f t="shared" si="10"/>
        <v>1698.0216729686529</v>
      </c>
      <c r="M189" s="75">
        <f t="shared" si="11"/>
        <v>-214.07373119800286</v>
      </c>
    </row>
    <row r="190" spans="1:13" x14ac:dyDescent="0.2">
      <c r="A190">
        <v>-0.55807896132930501</v>
      </c>
      <c r="B190" s="70">
        <v>-1.8033648937131601</v>
      </c>
      <c r="C190">
        <v>0.91937907260479501</v>
      </c>
      <c r="D190">
        <v>0</v>
      </c>
      <c r="E190">
        <v>0.158242700738703</v>
      </c>
      <c r="F190">
        <v>-5.5265990836178098E-3</v>
      </c>
      <c r="G190">
        <f>SQRT(Calcs!J191)</f>
        <v>3.8876468107895967E-2</v>
      </c>
      <c r="H190" s="84">
        <f t="shared" si="8"/>
        <v>0.11936623263080703</v>
      </c>
      <c r="I190" s="71">
        <f>LN(Calcs!L192/Calcs!L191)</f>
        <v>-3.812124973063881E-4</v>
      </c>
      <c r="J190" s="76">
        <f t="shared" si="9"/>
        <v>5.1453865863114213E-3</v>
      </c>
      <c r="K190" s="72">
        <v>1483.12689429737</v>
      </c>
      <c r="L190" s="72">
        <f t="shared" si="10"/>
        <v>1688.6632718321241</v>
      </c>
      <c r="M190" s="75">
        <f t="shared" si="11"/>
        <v>-205.53637753475414</v>
      </c>
    </row>
    <row r="191" spans="1:13" x14ac:dyDescent="0.2">
      <c r="A191">
        <v>-0.66342601577839599</v>
      </c>
      <c r="B191" s="70">
        <v>0.69031650033132996</v>
      </c>
      <c r="C191">
        <v>0.986500415027319</v>
      </c>
      <c r="D191">
        <v>0</v>
      </c>
      <c r="E191">
        <v>0.10925531090649</v>
      </c>
      <c r="F191">
        <v>-4.5377278203855504E-3</v>
      </c>
      <c r="G191">
        <f>SQRT(Calcs!J192)</f>
        <v>3.117903935315159E-2</v>
      </c>
      <c r="H191" s="84">
        <f t="shared" si="8"/>
        <v>7.8076271553338406E-2</v>
      </c>
      <c r="I191" s="71">
        <f>LN(Calcs!L193/Calcs!L192)</f>
        <v>-6.8368478277424185E-4</v>
      </c>
      <c r="J191" s="76">
        <f t="shared" si="9"/>
        <v>3.8540430376113087E-3</v>
      </c>
      <c r="K191" s="72">
        <v>1483.1529540742099</v>
      </c>
      <c r="L191" s="72">
        <f t="shared" si="10"/>
        <v>1681.017936867587</v>
      </c>
      <c r="M191" s="75">
        <f t="shared" si="11"/>
        <v>-197.86498279337707</v>
      </c>
    </row>
    <row r="192" spans="1:13" x14ac:dyDescent="0.2">
      <c r="A192">
        <v>0.83436476725097497</v>
      </c>
      <c r="B192" s="70">
        <v>0.476686977344422</v>
      </c>
      <c r="C192">
        <v>-0.13980286497268399</v>
      </c>
      <c r="D192">
        <v>0</v>
      </c>
      <c r="E192">
        <v>0.12492246802801001</v>
      </c>
      <c r="F192">
        <v>6.5869107242930202E-3</v>
      </c>
      <c r="G192">
        <f>SQRT(Calcs!J193)</f>
        <v>5.8366234545876396E-2</v>
      </c>
      <c r="H192" s="84">
        <f t="shared" si="8"/>
        <v>6.6556233482133603E-2</v>
      </c>
      <c r="I192" s="71">
        <f>LN(Calcs!L194/Calcs!L193)</f>
        <v>-5.7749766180849151E-3</v>
      </c>
      <c r="J192" s="76">
        <f t="shared" si="9"/>
        <v>-1.2361887342377935E-2</v>
      </c>
      <c r="K192" s="72">
        <v>1483.1790143089399</v>
      </c>
      <c r="L192" s="72">
        <f t="shared" si="10"/>
        <v>1692.1271996379094</v>
      </c>
      <c r="M192" s="75">
        <f t="shared" si="11"/>
        <v>-208.94818532896943</v>
      </c>
    </row>
    <row r="193" spans="1:13" x14ac:dyDescent="0.2">
      <c r="A193">
        <v>-1.06435411791276</v>
      </c>
      <c r="B193" s="70">
        <v>0.55336866851487898</v>
      </c>
      <c r="C193">
        <v>0.30616187597096101</v>
      </c>
      <c r="D193">
        <v>0</v>
      </c>
      <c r="E193">
        <v>0.13520048645687699</v>
      </c>
      <c r="F193">
        <v>-9.0492470336102099E-3</v>
      </c>
      <c r="G193">
        <f>SQRT(Calcs!J194)</f>
        <v>7.9473586389443948E-2</v>
      </c>
      <c r="H193" s="84">
        <f t="shared" si="8"/>
        <v>5.5726900067433041E-2</v>
      </c>
      <c r="I193" s="71">
        <f>LN(Calcs!L195/Calcs!L194)</f>
        <v>8.1463914568442944E-3</v>
      </c>
      <c r="J193" s="76">
        <f t="shared" si="9"/>
        <v>1.7195638490454503E-2</v>
      </c>
      <c r="K193" s="72">
        <v>1483.2050750015701</v>
      </c>
      <c r="L193" s="72">
        <f t="shared" si="10"/>
        <v>1676.8837972748463</v>
      </c>
      <c r="M193" s="75">
        <f t="shared" si="11"/>
        <v>-193.67872227327621</v>
      </c>
    </row>
    <row r="194" spans="1:13" x14ac:dyDescent="0.2">
      <c r="A194">
        <v>-0.34610842253577101</v>
      </c>
      <c r="B194" s="70">
        <v>-0.758599496303339</v>
      </c>
      <c r="C194">
        <v>0.15654202002133599</v>
      </c>
      <c r="D194">
        <v>0</v>
      </c>
      <c r="E194">
        <v>0.14758086705619</v>
      </c>
      <c r="F194">
        <v>-3.20894351545346E-3</v>
      </c>
      <c r="G194">
        <f>SQRT(Calcs!J195)</f>
        <v>0</v>
      </c>
      <c r="H194" s="84">
        <f t="shared" si="8"/>
        <v>0.14758086705619</v>
      </c>
      <c r="I194" s="71">
        <f>LN(Calcs!L196/Calcs!L195)</f>
        <v>1.7570679889387651E-5</v>
      </c>
      <c r="J194" s="76">
        <f t="shared" si="9"/>
        <v>3.2265141953428476E-3</v>
      </c>
      <c r="K194" s="72">
        <v>1482.50886536184</v>
      </c>
      <c r="L194" s="72">
        <f t="shared" si="10"/>
        <v>1671.5113963630558</v>
      </c>
      <c r="M194" s="75">
        <f t="shared" si="11"/>
        <v>-189.00253100121586</v>
      </c>
    </row>
    <row r="195" spans="1:13" x14ac:dyDescent="0.2">
      <c r="A195">
        <v>0.62962813330601297</v>
      </c>
      <c r="B195" s="70">
        <v>-1.0173067493048999</v>
      </c>
      <c r="C195">
        <v>-0.20255621830397999</v>
      </c>
      <c r="D195">
        <v>0</v>
      </c>
      <c r="E195">
        <v>0.125850385581423</v>
      </c>
      <c r="F195">
        <v>5.0121033618592903E-3</v>
      </c>
      <c r="G195">
        <f>SQRT(Calcs!J196)</f>
        <v>1.7380452545209982E-2</v>
      </c>
      <c r="H195" s="84">
        <f t="shared" ref="H195:H258" si="12">E195-G195</f>
        <v>0.10846993303621302</v>
      </c>
      <c r="I195" s="71">
        <f>LN(Calcs!L197/Calcs!L196)</f>
        <v>1.7878942113956689E-3</v>
      </c>
      <c r="J195" s="76">
        <f t="shared" ref="J195:J258" si="13">I195-F195</f>
        <v>-3.2242091504636212E-3</v>
      </c>
      <c r="K195" s="72">
        <v>1482.5349142794</v>
      </c>
      <c r="L195" s="72">
        <f t="shared" ref="L195:L258" si="14">EXP(F195)*L194</f>
        <v>1679.9102145422241</v>
      </c>
      <c r="M195" s="75">
        <f t="shared" ref="M195:M258" si="15">K195-L195</f>
        <v>-197.37530026282411</v>
      </c>
    </row>
    <row r="196" spans="1:13" x14ac:dyDescent="0.2">
      <c r="A196">
        <v>0.739810866312412</v>
      </c>
      <c r="B196" s="70">
        <v>-0.57801241449181995</v>
      </c>
      <c r="C196">
        <v>0.60416574581785598</v>
      </c>
      <c r="D196">
        <v>0</v>
      </c>
      <c r="E196">
        <v>9.6934322964393402E-2</v>
      </c>
      <c r="F196">
        <v>4.5507994743115001E-3</v>
      </c>
      <c r="G196">
        <f>SQRT(Calcs!J197)</f>
        <v>0</v>
      </c>
      <c r="H196" s="84">
        <f t="shared" si="12"/>
        <v>9.6934322964393402E-2</v>
      </c>
      <c r="I196" s="71">
        <f>LN(Calcs!L198/Calcs!L197)</f>
        <v>1.7570679889387651E-5</v>
      </c>
      <c r="J196" s="76">
        <f t="shared" si="13"/>
        <v>-4.5332287944221126E-3</v>
      </c>
      <c r="K196" s="72">
        <v>1482.5609636546501</v>
      </c>
      <c r="L196" s="72">
        <f t="shared" si="14"/>
        <v>1687.5725707629822</v>
      </c>
      <c r="M196" s="75">
        <f t="shared" si="15"/>
        <v>-205.0116071083321</v>
      </c>
    </row>
    <row r="197" spans="1:13" x14ac:dyDescent="0.2">
      <c r="A197">
        <v>-0.177382004855481</v>
      </c>
      <c r="B197" s="70">
        <v>0.30173313882639502</v>
      </c>
      <c r="C197">
        <v>0.44265922261118001</v>
      </c>
      <c r="D197">
        <v>0</v>
      </c>
      <c r="E197">
        <v>7.8859371274367498E-2</v>
      </c>
      <c r="F197">
        <v>-8.4157041103509803E-4</v>
      </c>
      <c r="G197">
        <f>SQRT(Calcs!J198)</f>
        <v>0</v>
      </c>
      <c r="H197" s="84">
        <f t="shared" si="12"/>
        <v>7.8859371274367498E-2</v>
      </c>
      <c r="I197" s="71">
        <f>LN(Calcs!L199/Calcs!L198)</f>
        <v>1.7570679889387651E-5</v>
      </c>
      <c r="J197" s="76">
        <f t="shared" si="13"/>
        <v>8.5914109092448572E-4</v>
      </c>
      <c r="K197" s="72">
        <v>1482.58701348762</v>
      </c>
      <c r="L197" s="72">
        <f t="shared" si="14"/>
        <v>1686.1529570571843</v>
      </c>
      <c r="M197" s="75">
        <f t="shared" si="15"/>
        <v>-203.5659435695643</v>
      </c>
    </row>
    <row r="198" spans="1:13" x14ac:dyDescent="0.2">
      <c r="A198">
        <v>5.7691818545128601E-2</v>
      </c>
      <c r="B198" s="70">
        <v>0.79343378967168399</v>
      </c>
      <c r="C198">
        <v>1.61193185738259</v>
      </c>
      <c r="D198">
        <v>0</v>
      </c>
      <c r="E198">
        <v>8.3658874177102105E-2</v>
      </c>
      <c r="F198">
        <v>3.42094507620781E-4</v>
      </c>
      <c r="G198">
        <f>SQRT(Calcs!J199)</f>
        <v>2.3816361927367437E-2</v>
      </c>
      <c r="H198" s="84">
        <f t="shared" si="12"/>
        <v>5.9842512249734664E-2</v>
      </c>
      <c r="I198" s="71">
        <f>LN(Calcs!L200/Calcs!L199)</f>
        <v>-4.3139086615309112E-4</v>
      </c>
      <c r="J198" s="76">
        <f t="shared" si="13"/>
        <v>-7.7348537377387207E-4</v>
      </c>
      <c r="K198" s="72">
        <v>1482.7544349094701</v>
      </c>
      <c r="L198" s="72">
        <f t="shared" si="14"/>
        <v>1686.7298793981577</v>
      </c>
      <c r="M198" s="75">
        <f t="shared" si="15"/>
        <v>-203.97544448868757</v>
      </c>
    </row>
    <row r="199" spans="1:13" x14ac:dyDescent="0.2">
      <c r="A199">
        <v>0.37360326733502403</v>
      </c>
      <c r="B199" s="70">
        <v>-0.207955279317938</v>
      </c>
      <c r="C199">
        <v>-0.51324057926890598</v>
      </c>
      <c r="D199">
        <v>0</v>
      </c>
      <c r="E199">
        <v>0.101600013122938</v>
      </c>
      <c r="F199">
        <v>2.4225984260560799E-3</v>
      </c>
      <c r="G199">
        <f>SQRT(Calcs!J200)</f>
        <v>0</v>
      </c>
      <c r="H199" s="84">
        <f t="shared" si="12"/>
        <v>0.101600013122938</v>
      </c>
      <c r="I199" s="71">
        <f>LN(Calcs!L201/Calcs!L200)</f>
        <v>1.7570679889387651E-5</v>
      </c>
      <c r="J199" s="76">
        <f t="shared" si="13"/>
        <v>-2.4050277461666924E-3</v>
      </c>
      <c r="K199" s="72">
        <v>1482.7804881418899</v>
      </c>
      <c r="L199" s="72">
        <f t="shared" si="14"/>
        <v>1690.821102243239</v>
      </c>
      <c r="M199" s="75">
        <f t="shared" si="15"/>
        <v>-208.04061410134909</v>
      </c>
    </row>
    <row r="200" spans="1:13" x14ac:dyDescent="0.2">
      <c r="A200">
        <v>-0.39919223069661403</v>
      </c>
      <c r="B200" s="70">
        <v>1.19046343888571</v>
      </c>
      <c r="C200">
        <v>-0.64514502571627097</v>
      </c>
      <c r="D200">
        <v>0</v>
      </c>
      <c r="E200">
        <v>9.3511917405186107E-2</v>
      </c>
      <c r="F200">
        <v>-2.3169263157478198E-3</v>
      </c>
      <c r="G200">
        <f>SQRT(Calcs!J201)</f>
        <v>0</v>
      </c>
      <c r="H200" s="84">
        <f t="shared" si="12"/>
        <v>9.3511917405186107E-2</v>
      </c>
      <c r="I200" s="71">
        <f>LN(Calcs!L202/Calcs!L201)</f>
        <v>1.7570679889387651E-5</v>
      </c>
      <c r="J200" s="76">
        <f t="shared" si="13"/>
        <v>2.3344969956372074E-3</v>
      </c>
      <c r="K200" s="72">
        <v>1482.80654183208</v>
      </c>
      <c r="L200" s="72">
        <f t="shared" si="14"/>
        <v>1686.9081291218799</v>
      </c>
      <c r="M200" s="75">
        <f t="shared" si="15"/>
        <v>-204.10158728979991</v>
      </c>
    </row>
    <row r="201" spans="1:13" x14ac:dyDescent="0.2">
      <c r="A201">
        <v>0.35967717803913901</v>
      </c>
      <c r="B201" s="70">
        <v>-1.01745634719716</v>
      </c>
      <c r="C201">
        <v>1.1277115935697299</v>
      </c>
      <c r="D201">
        <v>0</v>
      </c>
      <c r="E201">
        <v>0.12204347580667201</v>
      </c>
      <c r="F201">
        <v>2.7875955778619899E-3</v>
      </c>
      <c r="G201">
        <f>SQRT(Calcs!J202)</f>
        <v>0</v>
      </c>
      <c r="H201" s="84">
        <f t="shared" si="12"/>
        <v>0.12204347580667201</v>
      </c>
      <c r="I201" s="71">
        <f>LN(Calcs!L203/Calcs!L202)</f>
        <v>1.7570679889387651E-5</v>
      </c>
      <c r="J201" s="76">
        <f t="shared" si="13"/>
        <v>-2.7700248979726024E-3</v>
      </c>
      <c r="K201" s="72">
        <v>1483.1764630764401</v>
      </c>
      <c r="L201" s="72">
        <f t="shared" si="14"/>
        <v>1691.6171070766077</v>
      </c>
      <c r="M201" s="75">
        <f t="shared" si="15"/>
        <v>-208.44064400016759</v>
      </c>
    </row>
    <row r="202" spans="1:13" x14ac:dyDescent="0.2">
      <c r="A202">
        <v>-1.0407286837395799</v>
      </c>
      <c r="B202" s="70">
        <v>1.49295282792136</v>
      </c>
      <c r="C202">
        <v>-0.66175889061745996</v>
      </c>
      <c r="D202">
        <v>0</v>
      </c>
      <c r="E202">
        <v>9.3030256788128901E-2</v>
      </c>
      <c r="F202">
        <v>-6.0642674163652703E-3</v>
      </c>
      <c r="G202">
        <f>SQRT(Calcs!J203)</f>
        <v>0</v>
      </c>
      <c r="H202" s="84">
        <f t="shared" si="12"/>
        <v>9.3030256788128901E-2</v>
      </c>
      <c r="I202" s="71">
        <f>LN(Calcs!L204/Calcs!L203)</f>
        <v>1.7570679889387651E-5</v>
      </c>
      <c r="J202" s="76">
        <f t="shared" si="13"/>
        <v>6.0818380962546579E-3</v>
      </c>
      <c r="K202" s="72">
        <v>1483.2025237242401</v>
      </c>
      <c r="L202" s="72">
        <f t="shared" si="14"/>
        <v>1681.3897306888059</v>
      </c>
      <c r="M202" s="75">
        <f t="shared" si="15"/>
        <v>-198.1872069645658</v>
      </c>
    </row>
    <row r="203" spans="1:13" x14ac:dyDescent="0.2">
      <c r="A203">
        <v>-0.138098711935533</v>
      </c>
      <c r="B203" s="70">
        <v>0.63794407961321098</v>
      </c>
      <c r="C203">
        <v>1.8888287551784699</v>
      </c>
      <c r="D203">
        <v>0</v>
      </c>
      <c r="E203">
        <v>0.12946092336935</v>
      </c>
      <c r="F203">
        <v>-1.1075423778311099E-3</v>
      </c>
      <c r="G203">
        <f>SQRT(Calcs!J204)</f>
        <v>2.0252343874506463E-2</v>
      </c>
      <c r="H203" s="84">
        <f t="shared" si="12"/>
        <v>0.10920857949484354</v>
      </c>
      <c r="I203" s="71">
        <f>LN(Calcs!L205/Calcs!L204)</f>
        <v>-1.8067529796156566E-3</v>
      </c>
      <c r="J203" s="76">
        <f t="shared" si="13"/>
        <v>-6.992106017845467E-4</v>
      </c>
      <c r="K203" s="72">
        <v>1483.22858482995</v>
      </c>
      <c r="L203" s="72">
        <f t="shared" si="14"/>
        <v>1679.5285511662664</v>
      </c>
      <c r="M203" s="75">
        <f t="shared" si="15"/>
        <v>-196.2999663363164</v>
      </c>
    </row>
    <row r="204" spans="1:13" x14ac:dyDescent="0.2">
      <c r="A204">
        <v>-0.14944260592341599</v>
      </c>
      <c r="B204" s="70">
        <v>0.71549660490609701</v>
      </c>
      <c r="C204">
        <v>-0.44700506922243799</v>
      </c>
      <c r="D204">
        <v>0</v>
      </c>
      <c r="E204">
        <v>0.14399084122262101</v>
      </c>
      <c r="F204">
        <v>-1.3447229471146599E-3</v>
      </c>
      <c r="G204">
        <f>SQRT(Calcs!J205)</f>
        <v>3.0140315795772345E-2</v>
      </c>
      <c r="H204" s="84">
        <f t="shared" si="12"/>
        <v>0.11385052542684868</v>
      </c>
      <c r="I204" s="71">
        <f>LN(Calcs!L206/Calcs!L205)</f>
        <v>-2.1897328986907605E-3</v>
      </c>
      <c r="J204" s="76">
        <f t="shared" si="13"/>
        <v>-8.4500995157610055E-4</v>
      </c>
      <c r="K204" s="72">
        <v>1483.2546463935801</v>
      </c>
      <c r="L204" s="72">
        <f t="shared" si="14"/>
        <v>1677.271568431521</v>
      </c>
      <c r="M204" s="75">
        <f t="shared" si="15"/>
        <v>-194.01692203794096</v>
      </c>
    </row>
    <row r="205" spans="1:13" x14ac:dyDescent="0.2">
      <c r="A205">
        <v>0.32713321899858999</v>
      </c>
      <c r="B205" s="70">
        <v>-0.11874851625836701</v>
      </c>
      <c r="C205">
        <v>6.4664027952106601E-2</v>
      </c>
      <c r="D205">
        <v>0</v>
      </c>
      <c r="E205">
        <v>0.160661537657529</v>
      </c>
      <c r="F205">
        <v>3.3115553458596099E-3</v>
      </c>
      <c r="G205">
        <f>SQRT(Calcs!J206)</f>
        <v>6.8411563525793445E-2</v>
      </c>
      <c r="H205" s="84">
        <f t="shared" si="12"/>
        <v>9.2249974131735551E-2</v>
      </c>
      <c r="I205" s="71">
        <f>LN(Calcs!L207/Calcs!L206)</f>
        <v>3.1175423110630521E-3</v>
      </c>
      <c r="J205" s="76">
        <f t="shared" si="13"/>
        <v>-1.9401303479655782E-4</v>
      </c>
      <c r="K205" s="72">
        <v>1483.28070841513</v>
      </c>
      <c r="L205" s="72">
        <f t="shared" si="14"/>
        <v>1682.835153035214</v>
      </c>
      <c r="M205" s="75">
        <f t="shared" si="15"/>
        <v>-199.55444462008404</v>
      </c>
    </row>
    <row r="206" spans="1:13" x14ac:dyDescent="0.2">
      <c r="A206">
        <v>-1.13313458452416E-2</v>
      </c>
      <c r="B206" s="70">
        <v>-0.23161218593878399</v>
      </c>
      <c r="C206">
        <v>-1.3576154070100599</v>
      </c>
      <c r="D206">
        <v>0</v>
      </c>
      <c r="E206">
        <v>0.155760065709551</v>
      </c>
      <c r="F206">
        <v>-1.0737567608310901E-4</v>
      </c>
      <c r="G206">
        <f>SQRT(Calcs!J207)</f>
        <v>7.2888842066368684E-2</v>
      </c>
      <c r="H206" s="84">
        <f t="shared" si="12"/>
        <v>8.2871223643182321E-2</v>
      </c>
      <c r="I206" s="71">
        <f>LN(Calcs!L208/Calcs!L207)</f>
        <v>-4.924938882296938E-3</v>
      </c>
      <c r="J206" s="76">
        <f t="shared" si="13"/>
        <v>-4.8175632062138294E-3</v>
      </c>
      <c r="K206" s="72">
        <v>1483.30114299257</v>
      </c>
      <c r="L206" s="72">
        <f t="shared" si="14"/>
        <v>1682.6544671737274</v>
      </c>
      <c r="M206" s="75">
        <f t="shared" si="15"/>
        <v>-199.3533241811574</v>
      </c>
    </row>
    <row r="207" spans="1:13" x14ac:dyDescent="0.2">
      <c r="A207">
        <v>-1.7180971686834401</v>
      </c>
      <c r="B207" s="70">
        <v>0.44303978900702201</v>
      </c>
      <c r="C207">
        <v>0.73135356686862196</v>
      </c>
      <c r="D207">
        <v>0</v>
      </c>
      <c r="E207">
        <v>0.147878239221372</v>
      </c>
      <c r="F207">
        <v>-1.59962986953858E-2</v>
      </c>
      <c r="G207">
        <f>SQRT(Calcs!J208)</f>
        <v>9.7529637422941184E-2</v>
      </c>
      <c r="H207" s="84">
        <f t="shared" si="12"/>
        <v>5.0348601798430814E-2</v>
      </c>
      <c r="I207" s="71">
        <f>LN(Calcs!L209/Calcs!L208)</f>
        <v>-5.4241086851442308E-3</v>
      </c>
      <c r="J207" s="76">
        <f t="shared" si="13"/>
        <v>1.057219001024157E-2</v>
      </c>
      <c r="K207" s="72">
        <v>1483.3272058311099</v>
      </c>
      <c r="L207" s="72">
        <f t="shared" si="14"/>
        <v>1655.9523605315042</v>
      </c>
      <c r="M207" s="75">
        <f t="shared" si="15"/>
        <v>-172.62515470039421</v>
      </c>
    </row>
    <row r="208" spans="1:13" x14ac:dyDescent="0.2">
      <c r="A208">
        <v>0.42063341935454401</v>
      </c>
      <c r="B208" s="70">
        <v>-2.25963550769869</v>
      </c>
      <c r="C208">
        <v>-0.962597985626233</v>
      </c>
      <c r="D208">
        <v>0</v>
      </c>
      <c r="E208">
        <v>0.15749328677560401</v>
      </c>
      <c r="F208">
        <v>4.1758947452552597E-3</v>
      </c>
      <c r="G208">
        <f>SQRT(Calcs!J209)</f>
        <v>9.4601067454192223E-2</v>
      </c>
      <c r="H208" s="84">
        <f t="shared" si="12"/>
        <v>6.2892219321411785E-2</v>
      </c>
      <c r="I208" s="71">
        <f>LN(Calcs!L210/Calcs!L209)</f>
        <v>9.4650676342278497E-3</v>
      </c>
      <c r="J208" s="76">
        <f t="shared" si="13"/>
        <v>5.28917288897259E-3</v>
      </c>
      <c r="K208" s="72">
        <v>1483.35326912759</v>
      </c>
      <c r="L208" s="72">
        <f t="shared" si="14"/>
        <v>1662.8819017397686</v>
      </c>
      <c r="M208" s="75">
        <f t="shared" si="15"/>
        <v>-179.52863261217863</v>
      </c>
    </row>
    <row r="209" spans="1:13" x14ac:dyDescent="0.2">
      <c r="A209">
        <v>-0.84413683815545704</v>
      </c>
      <c r="B209" s="70">
        <v>2.11631709130002</v>
      </c>
      <c r="C209">
        <v>0.74726487201732195</v>
      </c>
      <c r="D209">
        <v>0</v>
      </c>
      <c r="E209">
        <v>9.64386204292354E-2</v>
      </c>
      <c r="F209">
        <v>-5.0946925118662504E-3</v>
      </c>
      <c r="G209">
        <f>SQRT(Calcs!J210)</f>
        <v>8.3698305709856757E-2</v>
      </c>
      <c r="H209" s="84">
        <f t="shared" si="12"/>
        <v>1.2740314719378643E-2</v>
      </c>
      <c r="I209" s="71">
        <f>LN(Calcs!L211/Calcs!L210)</f>
        <v>-1.6959953110231671E-3</v>
      </c>
      <c r="J209" s="76">
        <f t="shared" si="13"/>
        <v>3.3986972008430835E-3</v>
      </c>
      <c r="K209" s="72">
        <v>1482.1066546975801</v>
      </c>
      <c r="L209" s="72">
        <f t="shared" si="14"/>
        <v>1654.4315739556741</v>
      </c>
      <c r="M209" s="75">
        <f t="shared" si="15"/>
        <v>-172.32491925809404</v>
      </c>
    </row>
    <row r="210" spans="1:13" x14ac:dyDescent="0.2">
      <c r="A210">
        <v>-0.95479881520721099</v>
      </c>
      <c r="B210" s="70">
        <v>1.9985114041877601</v>
      </c>
      <c r="C210">
        <v>0.18771651677683501</v>
      </c>
      <c r="D210">
        <v>0</v>
      </c>
      <c r="E210">
        <v>0.149150796002473</v>
      </c>
      <c r="F210">
        <v>-8.9631184358350893E-3</v>
      </c>
      <c r="G210">
        <f>SQRT(Calcs!J211)</f>
        <v>9.1422350054080045E-2</v>
      </c>
      <c r="H210" s="84">
        <f t="shared" si="12"/>
        <v>5.7728445948392951E-2</v>
      </c>
      <c r="I210" s="71">
        <f>LN(Calcs!L212/Calcs!L211)</f>
        <v>-1.2491892764513557E-3</v>
      </c>
      <c r="J210" s="76">
        <f t="shared" si="13"/>
        <v>7.7139291593837332E-3</v>
      </c>
      <c r="K210" s="72">
        <v>1477.4154596051001</v>
      </c>
      <c r="L210" s="72">
        <f t="shared" si="14"/>
        <v>1639.6689661478676</v>
      </c>
      <c r="M210" s="75">
        <f t="shared" si="15"/>
        <v>-162.25350654276758</v>
      </c>
    </row>
    <row r="211" spans="1:13" x14ac:dyDescent="0.2">
      <c r="A211">
        <v>-1.7181573184897001</v>
      </c>
      <c r="B211" s="70">
        <v>0.27153053218240097</v>
      </c>
      <c r="C211">
        <v>1.9657023773304501</v>
      </c>
      <c r="D211">
        <v>0</v>
      </c>
      <c r="E211">
        <v>0.19913843407391399</v>
      </c>
      <c r="F211">
        <v>-2.1580235428763899E-2</v>
      </c>
      <c r="G211">
        <f>SQRT(Calcs!J212)</f>
        <v>8.3386313267156467E-2</v>
      </c>
      <c r="H211" s="84">
        <f t="shared" si="12"/>
        <v>0.11575212080675752</v>
      </c>
      <c r="I211" s="71">
        <f>LN(Calcs!L213/Calcs!L212)</f>
        <v>-1.9685892868948356E-4</v>
      </c>
      <c r="J211" s="76">
        <f t="shared" si="13"/>
        <v>2.1383376500074415E-2</v>
      </c>
      <c r="K211" s="72">
        <v>1470.53013832899</v>
      </c>
      <c r="L211" s="72">
        <f t="shared" si="14"/>
        <v>1604.6635944234308</v>
      </c>
      <c r="M211" s="75">
        <f t="shared" si="15"/>
        <v>-134.13345609444082</v>
      </c>
    </row>
    <row r="212" spans="1:13" x14ac:dyDescent="0.2">
      <c r="A212">
        <v>-0.30154536775450302</v>
      </c>
      <c r="B212" s="70">
        <v>1.2451067486573</v>
      </c>
      <c r="C212">
        <v>-0.197405249902848</v>
      </c>
      <c r="D212">
        <v>0</v>
      </c>
      <c r="E212">
        <v>0.204584355610505</v>
      </c>
      <c r="F212">
        <v>-3.9172977948207502E-3</v>
      </c>
      <c r="G212">
        <f>SQRT(Calcs!J213)</f>
        <v>9.3519994404538606E-2</v>
      </c>
      <c r="H212" s="84">
        <f t="shared" si="12"/>
        <v>0.1110643612059664</v>
      </c>
      <c r="I212" s="71">
        <f>LN(Calcs!L214/Calcs!L213)</f>
        <v>1.0623495521962267E-3</v>
      </c>
      <c r="J212" s="76">
        <f t="shared" si="13"/>
        <v>4.979647347016977E-3</v>
      </c>
      <c r="K212" s="72">
        <v>1468.6475490668299</v>
      </c>
      <c r="L212" s="72">
        <f t="shared" si="14"/>
        <v>1598.3899451623179</v>
      </c>
      <c r="M212" s="75">
        <f t="shared" si="15"/>
        <v>-129.74239609548795</v>
      </c>
    </row>
    <row r="213" spans="1:13" x14ac:dyDescent="0.2">
      <c r="A213">
        <v>-1.69352781373897</v>
      </c>
      <c r="B213" s="70">
        <v>0.99679805956779299</v>
      </c>
      <c r="C213">
        <v>-1.04505677020165</v>
      </c>
      <c r="D213">
        <v>0</v>
      </c>
      <c r="E213">
        <v>0.23525232116904901</v>
      </c>
      <c r="F213">
        <v>-2.5155105450051701E-2</v>
      </c>
      <c r="G213">
        <f>SQRT(Calcs!J214)</f>
        <v>8.5241771972922292E-2</v>
      </c>
      <c r="H213" s="84">
        <f t="shared" si="12"/>
        <v>0.15001054919612672</v>
      </c>
      <c r="I213" s="71">
        <f>LN(Calcs!L215/Calcs!L214)</f>
        <v>1.1789492476154151E-2</v>
      </c>
      <c r="J213" s="76">
        <f t="shared" si="13"/>
        <v>3.6944597926205851E-2</v>
      </c>
      <c r="K213" s="72">
        <v>1462.6515779461499</v>
      </c>
      <c r="L213" s="72">
        <f t="shared" si="14"/>
        <v>1558.6837777042592</v>
      </c>
      <c r="M213" s="75">
        <f t="shared" si="15"/>
        <v>-96.0321997581093</v>
      </c>
    </row>
    <row r="214" spans="1:13" x14ac:dyDescent="0.2">
      <c r="A214">
        <v>1.56643884922233</v>
      </c>
      <c r="B214" s="70">
        <v>0.29994150519484403</v>
      </c>
      <c r="C214">
        <v>-0.29849217261882999</v>
      </c>
      <c r="D214">
        <v>0</v>
      </c>
      <c r="E214">
        <v>0.25956163964586698</v>
      </c>
      <c r="F214">
        <v>2.55308702696013E-2</v>
      </c>
      <c r="G214">
        <f>SQRT(Calcs!J215)</f>
        <v>2.1480933449076284E-2</v>
      </c>
      <c r="H214" s="84">
        <f t="shared" si="12"/>
        <v>0.2380807061967907</v>
      </c>
      <c r="I214" s="71">
        <f>LN(Calcs!L216/Calcs!L215)</f>
        <v>-1.1653600935670296E-3</v>
      </c>
      <c r="J214" s="76">
        <f t="shared" si="13"/>
        <v>-2.669623036316833E-2</v>
      </c>
      <c r="K214" s="72">
        <v>1467.2575149207501</v>
      </c>
      <c r="L214" s="72">
        <f t="shared" si="14"/>
        <v>1598.9906767314578</v>
      </c>
      <c r="M214" s="75">
        <f t="shared" si="15"/>
        <v>-131.73316181070777</v>
      </c>
    </row>
    <row r="215" spans="1:13" x14ac:dyDescent="0.2">
      <c r="A215">
        <v>0.60355130926942502</v>
      </c>
      <c r="B215" s="70">
        <v>-0.37126142888339497</v>
      </c>
      <c r="C215">
        <v>-0.71623620897737095</v>
      </c>
      <c r="D215">
        <v>0</v>
      </c>
      <c r="E215">
        <v>0.26589346138707998</v>
      </c>
      <c r="F215">
        <v>1.00209795153172E-2</v>
      </c>
      <c r="G215">
        <f>SQRT(Calcs!J216)</f>
        <v>5.0739541601228816E-2</v>
      </c>
      <c r="H215" s="84">
        <f t="shared" si="12"/>
        <v>0.21515391978585116</v>
      </c>
      <c r="I215" s="71">
        <f>LN(Calcs!L217/Calcs!L216)</f>
        <v>-1.91313375778592E-4</v>
      </c>
      <c r="J215" s="76">
        <f t="shared" si="13"/>
        <v>-1.0212292891095792E-2</v>
      </c>
      <c r="K215" s="72">
        <v>1467.2832958593499</v>
      </c>
      <c r="L215" s="72">
        <f t="shared" si="14"/>
        <v>1615.0946837468609</v>
      </c>
      <c r="M215" s="75">
        <f t="shared" si="15"/>
        <v>-147.81138788751105</v>
      </c>
    </row>
    <row r="216" spans="1:13" x14ac:dyDescent="0.2">
      <c r="A216">
        <v>1.16739638817443</v>
      </c>
      <c r="B216" s="70">
        <v>-1.00788377390521</v>
      </c>
      <c r="C216">
        <v>-2.5014148525117399</v>
      </c>
      <c r="D216">
        <v>0</v>
      </c>
      <c r="E216">
        <v>0.25487771345259902</v>
      </c>
      <c r="F216">
        <v>1.8666517700273302E-2</v>
      </c>
      <c r="G216">
        <f>SQRT(Calcs!J217)</f>
        <v>3.8251136815048062E-2</v>
      </c>
      <c r="H216" s="84">
        <f t="shared" si="12"/>
        <v>0.21662657663755097</v>
      </c>
      <c r="I216" s="71">
        <f>LN(Calcs!L218/Calcs!L217)</f>
        <v>-3.3952457074652091E-3</v>
      </c>
      <c r="J216" s="76">
        <f t="shared" si="13"/>
        <v>-2.2061763407738511E-2</v>
      </c>
      <c r="K216" s="72">
        <v>1467.3090772509499</v>
      </c>
      <c r="L216" s="72">
        <f t="shared" si="14"/>
        <v>1645.5260171438681</v>
      </c>
      <c r="M216" s="75">
        <f t="shared" si="15"/>
        <v>-178.21693989291816</v>
      </c>
    </row>
    <row r="217" spans="1:13" x14ac:dyDescent="0.2">
      <c r="A217">
        <v>-1.1976406418318</v>
      </c>
      <c r="B217" s="70">
        <v>0.39166848572623197</v>
      </c>
      <c r="C217">
        <v>-1.50996748736854</v>
      </c>
      <c r="D217">
        <v>0</v>
      </c>
      <c r="E217">
        <v>0.22735936334527601</v>
      </c>
      <c r="F217">
        <v>-1.7203580662475799E-2</v>
      </c>
      <c r="G217">
        <f>SQRT(Calcs!J218)</f>
        <v>8.357301834291446E-2</v>
      </c>
      <c r="H217" s="84">
        <f t="shared" si="12"/>
        <v>0.14378634500236154</v>
      </c>
      <c r="I217" s="71">
        <f>LN(Calcs!L219/Calcs!L218)</f>
        <v>6.6687403058273004E-3</v>
      </c>
      <c r="J217" s="76">
        <f t="shared" si="13"/>
        <v>2.38723209683031E-2</v>
      </c>
      <c r="K217" s="72">
        <v>1467.33485909554</v>
      </c>
      <c r="L217" s="72">
        <f t="shared" si="14"/>
        <v>1617.4591947228982</v>
      </c>
      <c r="M217" s="75">
        <f t="shared" si="15"/>
        <v>-150.12433562735828</v>
      </c>
    </row>
    <row r="218" spans="1:13" x14ac:dyDescent="0.2">
      <c r="A218">
        <v>0.20514662355753499</v>
      </c>
      <c r="B218" s="70">
        <v>-1.0277653957077</v>
      </c>
      <c r="C218">
        <v>1.0108142123436901</v>
      </c>
      <c r="D218">
        <v>0</v>
      </c>
      <c r="E218">
        <v>0.23600214397542399</v>
      </c>
      <c r="F218">
        <v>2.9912954453842401E-3</v>
      </c>
      <c r="G218">
        <f>SQRT(Calcs!J219)</f>
        <v>7.5899099783561727E-2</v>
      </c>
      <c r="H218" s="84">
        <f t="shared" si="12"/>
        <v>0.16010304419186228</v>
      </c>
      <c r="I218" s="71">
        <f>LN(Calcs!L220/Calcs!L219)</f>
        <v>-5.9387603041595729E-3</v>
      </c>
      <c r="J218" s="76">
        <f t="shared" si="13"/>
        <v>-8.9300557495438134E-3</v>
      </c>
      <c r="K218" s="72">
        <v>1467.36064139315</v>
      </c>
      <c r="L218" s="72">
        <f t="shared" si="14"/>
        <v>1622.3047366558276</v>
      </c>
      <c r="M218" s="75">
        <f t="shared" si="15"/>
        <v>-154.94409526267759</v>
      </c>
    </row>
    <row r="219" spans="1:13" x14ac:dyDescent="0.2">
      <c r="A219">
        <v>0.14776398443267399</v>
      </c>
      <c r="B219" s="70">
        <v>-1.66591805776264</v>
      </c>
      <c r="C219">
        <v>0.45153851831048603</v>
      </c>
      <c r="D219">
        <v>0</v>
      </c>
      <c r="E219">
        <v>0.20790857395808299</v>
      </c>
      <c r="F219">
        <v>1.9014447797785401E-3</v>
      </c>
      <c r="G219">
        <f>SQRT(Calcs!J220)</f>
        <v>9.5542978176654539E-2</v>
      </c>
      <c r="H219" s="84">
        <f t="shared" si="12"/>
        <v>0.11236559578142845</v>
      </c>
      <c r="I219" s="71">
        <f>LN(Calcs!L221/Calcs!L220)</f>
        <v>6.1447703116780565E-3</v>
      </c>
      <c r="J219" s="76">
        <f t="shared" si="13"/>
        <v>4.2433255318995167E-3</v>
      </c>
      <c r="K219" s="72">
        <v>1467.7670784116899</v>
      </c>
      <c r="L219" s="72">
        <f t="shared" si="14"/>
        <v>1625.3923941033361</v>
      </c>
      <c r="M219" s="75">
        <f t="shared" si="15"/>
        <v>-157.62531569164616</v>
      </c>
    </row>
    <row r="220" spans="1:13" x14ac:dyDescent="0.2">
      <c r="A220">
        <v>-0.62915518744887899</v>
      </c>
      <c r="B220" s="70">
        <v>1.10763821926779</v>
      </c>
      <c r="C220">
        <v>1.3309115060943699</v>
      </c>
      <c r="D220">
        <v>0</v>
      </c>
      <c r="E220">
        <v>0.163094793135967</v>
      </c>
      <c r="F220">
        <v>-6.4647775794366303E-3</v>
      </c>
      <c r="G220">
        <f>SQRT(Calcs!J221)</f>
        <v>3.0144115089203682E-2</v>
      </c>
      <c r="H220" s="84">
        <f t="shared" si="12"/>
        <v>0.13295067804676333</v>
      </c>
      <c r="I220" s="71">
        <f>LN(Calcs!L222/Calcs!L221)</f>
        <v>-8.5507349345665393E-4</v>
      </c>
      <c r="J220" s="76">
        <f t="shared" si="13"/>
        <v>5.6097040859799767E-3</v>
      </c>
      <c r="K220" s="72">
        <v>1465.3980189730701</v>
      </c>
      <c r="L220" s="72">
        <f t="shared" si="14"/>
        <v>1614.9184860175139</v>
      </c>
      <c r="M220" s="75">
        <f t="shared" si="15"/>
        <v>-149.52046704444388</v>
      </c>
    </row>
    <row r="221" spans="1:13" x14ac:dyDescent="0.2">
      <c r="A221">
        <v>-0.32585988616126199</v>
      </c>
      <c r="B221" s="70">
        <v>0.13640762133069501</v>
      </c>
      <c r="C221">
        <v>-2.2876290922518199</v>
      </c>
      <c r="D221">
        <v>0</v>
      </c>
      <c r="E221">
        <v>0.19005872273966101</v>
      </c>
      <c r="F221">
        <v>-3.9211085651164202E-3</v>
      </c>
      <c r="G221">
        <f>SQRT(Calcs!J222)</f>
        <v>0</v>
      </c>
      <c r="H221" s="84">
        <f t="shared" si="12"/>
        <v>0.19005872273966101</v>
      </c>
      <c r="I221" s="71">
        <f>LN(Calcs!L223/Calcs!L222)</f>
        <v>1.7570679889387651E-5</v>
      </c>
      <c r="J221" s="76">
        <f t="shared" si="13"/>
        <v>3.9386792450058078E-3</v>
      </c>
      <c r="K221" s="72">
        <v>1464.1991139444001</v>
      </c>
      <c r="L221" s="72">
        <f t="shared" si="14"/>
        <v>1608.5986138598325</v>
      </c>
      <c r="M221" s="75">
        <f t="shared" si="15"/>
        <v>-144.39949991543244</v>
      </c>
    </row>
    <row r="222" spans="1:13" x14ac:dyDescent="0.2">
      <c r="A222">
        <v>-1.9632257854140001</v>
      </c>
      <c r="B222" s="70">
        <v>0.78514090296824102</v>
      </c>
      <c r="C222">
        <v>0.73369287813949602</v>
      </c>
      <c r="D222">
        <v>0</v>
      </c>
      <c r="E222">
        <v>0.19196376727218301</v>
      </c>
      <c r="F222">
        <v>-2.37616371197551E-2</v>
      </c>
      <c r="G222">
        <f>SQRT(Calcs!J223)</f>
        <v>2.0908238230498765E-2</v>
      </c>
      <c r="H222" s="84">
        <f t="shared" si="12"/>
        <v>0.17105552904168425</v>
      </c>
      <c r="I222" s="71">
        <f>LN(Calcs!L224/Calcs!L223)</f>
        <v>-2.8247353232842888E-3</v>
      </c>
      <c r="J222" s="76">
        <f t="shared" si="13"/>
        <v>2.093690179647081E-2</v>
      </c>
      <c r="K222" s="72">
        <v>1460.15200024312</v>
      </c>
      <c r="L222" s="72">
        <f t="shared" si="14"/>
        <v>1570.8262214890906</v>
      </c>
      <c r="M222" s="75">
        <f t="shared" si="15"/>
        <v>-110.67422124597056</v>
      </c>
    </row>
    <row r="223" spans="1:13" x14ac:dyDescent="0.2">
      <c r="A223">
        <v>1.58847838674424</v>
      </c>
      <c r="B223" s="70">
        <v>-1.1236341782812</v>
      </c>
      <c r="C223">
        <v>0.10206214069568501</v>
      </c>
      <c r="D223">
        <v>0</v>
      </c>
      <c r="E223">
        <v>0.21068924089788199</v>
      </c>
      <c r="F223">
        <v>2.1046431622794001E-2</v>
      </c>
      <c r="G223">
        <f>SQRT(Calcs!J224)</f>
        <v>5.2346730207661771E-2</v>
      </c>
      <c r="H223" s="84">
        <f t="shared" si="12"/>
        <v>0.15834251069022021</v>
      </c>
      <c r="I223" s="71">
        <f>LN(Calcs!L225/Calcs!L224)</f>
        <v>3.3040848017998371E-3</v>
      </c>
      <c r="J223" s="76">
        <f t="shared" si="13"/>
        <v>-1.7742346820994164E-2</v>
      </c>
      <c r="K223" s="72">
        <v>1472.3467394529</v>
      </c>
      <c r="L223" s="72">
        <f t="shared" si="14"/>
        <v>1604.2368622667202</v>
      </c>
      <c r="M223" s="75">
        <f t="shared" si="15"/>
        <v>-131.8901228138202</v>
      </c>
    </row>
    <row r="224" spans="1:13" x14ac:dyDescent="0.2">
      <c r="A224">
        <v>-1.7931822313035799</v>
      </c>
      <c r="B224" s="70">
        <v>1.3342928078491001</v>
      </c>
      <c r="C224">
        <v>-0.40190378976382202</v>
      </c>
      <c r="D224">
        <v>0</v>
      </c>
      <c r="E224">
        <v>0.179993554886688</v>
      </c>
      <c r="F224">
        <v>-2.03443840286101E-2</v>
      </c>
      <c r="G224">
        <f>SQRT(Calcs!J225)</f>
        <v>0</v>
      </c>
      <c r="H224" s="84">
        <f t="shared" si="12"/>
        <v>0.179993554886688</v>
      </c>
      <c r="I224" s="71">
        <f>LN(Calcs!L226/Calcs!L225)</f>
        <v>1.7570679889387651E-5</v>
      </c>
      <c r="J224" s="76">
        <f t="shared" si="13"/>
        <v>2.036195470849949E-2</v>
      </c>
      <c r="K224" s="72">
        <v>1465.10457040906</v>
      </c>
      <c r="L224" s="72">
        <f t="shared" si="14"/>
        <v>1571.9294034565805</v>
      </c>
      <c r="M224" s="75">
        <f t="shared" si="15"/>
        <v>-106.82483304752054</v>
      </c>
    </row>
    <row r="225" spans="1:13" x14ac:dyDescent="0.2">
      <c r="A225">
        <v>0.44178129762636698</v>
      </c>
      <c r="B225" s="70">
        <v>6.5056749358361601E-2</v>
      </c>
      <c r="C225">
        <v>-7.5327414165797899E-2</v>
      </c>
      <c r="D225">
        <v>0</v>
      </c>
      <c r="E225">
        <v>0.21289798023933501</v>
      </c>
      <c r="F225">
        <v>5.8868795930423403E-3</v>
      </c>
      <c r="G225">
        <f>SQRT(Calcs!J226)</f>
        <v>0</v>
      </c>
      <c r="H225" s="84">
        <f t="shared" si="12"/>
        <v>0.21289798023933501</v>
      </c>
      <c r="I225" s="71">
        <f>LN(Calcs!L227/Calcs!L226)</f>
        <v>1.7570679889387651E-5</v>
      </c>
      <c r="J225" s="76">
        <f t="shared" si="13"/>
        <v>-5.8693089131529527E-3</v>
      </c>
      <c r="K225" s="72">
        <v>1467.8531814570199</v>
      </c>
      <c r="L225" s="72">
        <f t="shared" si="14"/>
        <v>1581.2104539938405</v>
      </c>
      <c r="M225" s="75">
        <f t="shared" si="15"/>
        <v>-113.35727253682057</v>
      </c>
    </row>
    <row r="226" spans="1:13" x14ac:dyDescent="0.2">
      <c r="A226">
        <v>0.182442130088175</v>
      </c>
      <c r="B226" s="70">
        <v>-1.48290004794337</v>
      </c>
      <c r="C226">
        <v>-2.03751616071093</v>
      </c>
      <c r="D226">
        <v>0</v>
      </c>
      <c r="E226">
        <v>0.21304366703862199</v>
      </c>
      <c r="F226">
        <v>2.4103522864948801E-3</v>
      </c>
      <c r="G226">
        <f>SQRT(Calcs!J227)</f>
        <v>0</v>
      </c>
      <c r="H226" s="84">
        <f t="shared" si="12"/>
        <v>0.21304366703862199</v>
      </c>
      <c r="I226" s="71">
        <f>LN(Calcs!L228/Calcs!L227)</f>
        <v>1.7570679889387651E-5</v>
      </c>
      <c r="J226" s="76">
        <f t="shared" si="13"/>
        <v>-2.3927816066054925E-3</v>
      </c>
      <c r="K226" s="72">
        <v>1468.12175659424</v>
      </c>
      <c r="L226" s="72">
        <f t="shared" si="14"/>
        <v>1585.0263251765159</v>
      </c>
      <c r="M226" s="75">
        <f t="shared" si="15"/>
        <v>-116.90456858227594</v>
      </c>
    </row>
    <row r="227" spans="1:13" x14ac:dyDescent="0.2">
      <c r="A227">
        <v>1.06494928953048</v>
      </c>
      <c r="B227" s="70">
        <v>-1.2505365204663701</v>
      </c>
      <c r="C227">
        <v>-0.91900309242289002</v>
      </c>
      <c r="D227">
        <v>0</v>
      </c>
      <c r="E227">
        <v>0.173025195602557</v>
      </c>
      <c r="F227">
        <v>1.1600025793218499E-2</v>
      </c>
      <c r="G227">
        <f>SQRT(Calcs!J228)</f>
        <v>0</v>
      </c>
      <c r="H227" s="84">
        <f t="shared" si="12"/>
        <v>0.173025195602557</v>
      </c>
      <c r="I227" s="71">
        <f>LN(Calcs!L229/Calcs!L228)</f>
        <v>1.7570679889387651E-5</v>
      </c>
      <c r="J227" s="76">
        <f t="shared" si="13"/>
        <v>-1.1582455113329112E-2</v>
      </c>
      <c r="K227" s="72">
        <v>1468.1475527182899</v>
      </c>
      <c r="L227" s="72">
        <f t="shared" si="14"/>
        <v>1603.5197260217733</v>
      </c>
      <c r="M227" s="75">
        <f t="shared" si="15"/>
        <v>-135.37217330348335</v>
      </c>
    </row>
    <row r="228" spans="1:13" x14ac:dyDescent="0.2">
      <c r="A228">
        <v>-8.6756954860534502E-2</v>
      </c>
      <c r="B228" s="70">
        <v>-1.06303535996668</v>
      </c>
      <c r="C228">
        <v>2.01474742362837</v>
      </c>
      <c r="D228">
        <v>0</v>
      </c>
      <c r="E228">
        <v>0.138734670818497</v>
      </c>
      <c r="F228">
        <v>-7.4445392885526403E-4</v>
      </c>
      <c r="G228">
        <f>SQRT(Calcs!J229)</f>
        <v>0</v>
      </c>
      <c r="H228" s="84">
        <f t="shared" si="12"/>
        <v>0.138734670818497</v>
      </c>
      <c r="I228" s="71">
        <f>LN(Calcs!L230/Calcs!L229)</f>
        <v>1.7570679889387651E-5</v>
      </c>
      <c r="J228" s="76">
        <f t="shared" si="13"/>
        <v>7.6202460874465173E-4</v>
      </c>
      <c r="K228" s="72">
        <v>1468.1733492956</v>
      </c>
      <c r="L228" s="72">
        <f t="shared" si="14"/>
        <v>1602.3264236961536</v>
      </c>
      <c r="M228" s="75">
        <f t="shared" si="15"/>
        <v>-134.15307440055358</v>
      </c>
    </row>
    <row r="229" spans="1:13" x14ac:dyDescent="0.2">
      <c r="A229">
        <v>-2.15216827640561</v>
      </c>
      <c r="B229" s="70">
        <v>1.8416772973631299</v>
      </c>
      <c r="C229">
        <v>-1.7113518302572599</v>
      </c>
      <c r="D229">
        <v>0</v>
      </c>
      <c r="E229">
        <v>0.10887887849937899</v>
      </c>
      <c r="F229">
        <v>-1.47327063175101E-2</v>
      </c>
      <c r="G229">
        <f>SQRT(Calcs!J230)</f>
        <v>0</v>
      </c>
      <c r="H229" s="84">
        <f t="shared" si="12"/>
        <v>0.10887887849937899</v>
      </c>
      <c r="I229" s="71">
        <f>LN(Calcs!L231/Calcs!L230)</f>
        <v>1.7570679889387651E-5</v>
      </c>
      <c r="J229" s="76">
        <f t="shared" si="13"/>
        <v>1.4750276997399487E-2</v>
      </c>
      <c r="K229" s="72">
        <v>1468.19914632618</v>
      </c>
      <c r="L229" s="72">
        <f t="shared" si="14"/>
        <v>1578.8928628144197</v>
      </c>
      <c r="M229" s="75">
        <f t="shared" si="15"/>
        <v>-110.69371648823972</v>
      </c>
    </row>
    <row r="230" spans="1:13" x14ac:dyDescent="0.2">
      <c r="A230">
        <v>-1.07147292939501</v>
      </c>
      <c r="B230" s="70">
        <v>0.984243032392909</v>
      </c>
      <c r="C230">
        <v>0.27132874015707498</v>
      </c>
      <c r="D230">
        <v>0</v>
      </c>
      <c r="E230">
        <v>0.154555631996802</v>
      </c>
      <c r="F230">
        <v>-1.0427407881769501E-2</v>
      </c>
      <c r="G230">
        <f>SQRT(Calcs!J231)</f>
        <v>4.6727011903705262E-2</v>
      </c>
      <c r="H230" s="84">
        <f t="shared" si="12"/>
        <v>0.10782862009309674</v>
      </c>
      <c r="I230" s="71">
        <f>LN(Calcs!L232/Calcs!L231)</f>
        <v>-5.9803211044044116E-4</v>
      </c>
      <c r="J230" s="76">
        <f t="shared" si="13"/>
        <v>9.8293757713290592E-3</v>
      </c>
      <c r="K230" s="72">
        <v>1467.1899463751099</v>
      </c>
      <c r="L230" s="72">
        <f t="shared" si="14"/>
        <v>1562.5146425251012</v>
      </c>
      <c r="M230" s="75">
        <f t="shared" si="15"/>
        <v>-95.324696149991269</v>
      </c>
    </row>
    <row r="231" spans="1:13" x14ac:dyDescent="0.2">
      <c r="A231">
        <v>-1.67627519497902</v>
      </c>
      <c r="B231" s="70">
        <v>0.97247372185129399</v>
      </c>
      <c r="C231">
        <v>0.48405085346839299</v>
      </c>
      <c r="D231">
        <v>0</v>
      </c>
      <c r="E231">
        <v>0.17827465281726901</v>
      </c>
      <c r="F231">
        <v>-1.8836100249354702E-2</v>
      </c>
      <c r="G231">
        <f>SQRT(Calcs!J232)</f>
        <v>0</v>
      </c>
      <c r="H231" s="84">
        <f t="shared" si="12"/>
        <v>0.17827465281726901</v>
      </c>
      <c r="I231" s="71">
        <f>LN(Calcs!L233/Calcs!L232)</f>
        <v>1.7570679889387651E-5</v>
      </c>
      <c r="J231" s="76">
        <f t="shared" si="13"/>
        <v>1.8853670929244091E-2</v>
      </c>
      <c r="K231" s="72">
        <v>1467.2157261264799</v>
      </c>
      <c r="L231" s="72">
        <f t="shared" si="14"/>
        <v>1533.3584169157305</v>
      </c>
      <c r="M231" s="75">
        <f t="shared" si="15"/>
        <v>-66.142690789250537</v>
      </c>
    </row>
    <row r="232" spans="1:13" x14ac:dyDescent="0.2">
      <c r="A232">
        <v>-0.29475045192635202</v>
      </c>
      <c r="B232" s="70">
        <v>0.42178101252620598</v>
      </c>
      <c r="C232">
        <v>1.54758331672079</v>
      </c>
      <c r="D232">
        <v>0</v>
      </c>
      <c r="E232">
        <v>0.201801642960628</v>
      </c>
      <c r="F232">
        <v>-3.7758157466758601E-3</v>
      </c>
      <c r="G232">
        <f>SQRT(Calcs!J233)</f>
        <v>0</v>
      </c>
      <c r="H232" s="84">
        <f t="shared" si="12"/>
        <v>0.201801642960628</v>
      </c>
      <c r="I232" s="71">
        <f>LN(Calcs!L234/Calcs!L233)</f>
        <v>1.7570679889387651E-5</v>
      </c>
      <c r="J232" s="76">
        <f t="shared" si="13"/>
        <v>3.7933864265652477E-3</v>
      </c>
      <c r="K232" s="72">
        <v>1466.43844503729</v>
      </c>
      <c r="L232" s="72">
        <f t="shared" si="14"/>
        <v>1527.5796546960803</v>
      </c>
      <c r="M232" s="75">
        <f t="shared" si="15"/>
        <v>-61.141209658790331</v>
      </c>
    </row>
    <row r="233" spans="1:13" x14ac:dyDescent="0.2">
      <c r="A233">
        <v>0.99004307153304805</v>
      </c>
      <c r="B233" s="70">
        <v>-1.89111524990571</v>
      </c>
      <c r="C233">
        <v>-0.89738460850855495</v>
      </c>
      <c r="D233">
        <v>0</v>
      </c>
      <c r="E233">
        <v>0.211149935594213</v>
      </c>
      <c r="F233">
        <v>1.31402974066035E-2</v>
      </c>
      <c r="G233">
        <f>SQRT(Calcs!J234)</f>
        <v>2.0650198222750556E-2</v>
      </c>
      <c r="H233" s="84">
        <f t="shared" si="12"/>
        <v>0.19049973737146245</v>
      </c>
      <c r="I233" s="71">
        <f>LN(Calcs!L235/Calcs!L234)</f>
        <v>-1.7526851341300206E-3</v>
      </c>
      <c r="J233" s="76">
        <f t="shared" si="13"/>
        <v>-1.489298254073352E-2</v>
      </c>
      <c r="K233" s="72">
        <v>1474.4188875024099</v>
      </c>
      <c r="L233" s="72">
        <f t="shared" si="14"/>
        <v>1547.784966844056</v>
      </c>
      <c r="M233" s="75">
        <f t="shared" si="15"/>
        <v>-73.366079341646127</v>
      </c>
    </row>
    <row r="234" spans="1:13" x14ac:dyDescent="0.2">
      <c r="A234">
        <v>3.8405945710923502E-3</v>
      </c>
      <c r="B234" s="70">
        <v>-1.0472236476766199</v>
      </c>
      <c r="C234">
        <v>1.9786728718192601</v>
      </c>
      <c r="D234">
        <v>0</v>
      </c>
      <c r="E234">
        <v>0.16049669451718299</v>
      </c>
      <c r="F234">
        <v>4.7721895688042797E-5</v>
      </c>
      <c r="G234">
        <f>SQRT(Calcs!J235)</f>
        <v>3.9086043846814897E-2</v>
      </c>
      <c r="H234" s="84">
        <f t="shared" si="12"/>
        <v>0.12141065067036809</v>
      </c>
      <c r="I234" s="71">
        <f>LN(Calcs!L236/Calcs!L235)</f>
        <v>4.0857313891746521E-3</v>
      </c>
      <c r="J234" s="76">
        <f t="shared" si="13"/>
        <v>4.0380094934866096E-3</v>
      </c>
      <c r="K234" s="72">
        <v>1474.4520805033301</v>
      </c>
      <c r="L234" s="72">
        <f t="shared" si="14"/>
        <v>1547.858831839266</v>
      </c>
      <c r="M234" s="75">
        <f t="shared" si="15"/>
        <v>-73.406751335935951</v>
      </c>
    </row>
    <row r="235" spans="1:13" x14ac:dyDescent="0.2">
      <c r="A235">
        <v>0.98756351861115499</v>
      </c>
      <c r="B235" s="70">
        <v>-0.57135058180744203</v>
      </c>
      <c r="C235">
        <v>0.91772522277642499</v>
      </c>
      <c r="D235">
        <v>0</v>
      </c>
      <c r="E235">
        <v>0.13137785083832901</v>
      </c>
      <c r="F235">
        <v>8.1988574071935397E-3</v>
      </c>
      <c r="G235">
        <f>SQRT(Calcs!J236)</f>
        <v>0</v>
      </c>
      <c r="H235" s="84">
        <f t="shared" si="12"/>
        <v>0.13137785083832901</v>
      </c>
      <c r="I235" s="71">
        <f>LN(Calcs!L237/Calcs!L236)</f>
        <v>1.75706491873755E-5</v>
      </c>
      <c r="J235" s="76">
        <f t="shared" si="13"/>
        <v>-8.1812867580061642E-3</v>
      </c>
      <c r="K235" s="72">
        <v>1474.47798785645</v>
      </c>
      <c r="L235" s="72">
        <f t="shared" si="14"/>
        <v>1560.6016726730531</v>
      </c>
      <c r="M235" s="75">
        <f t="shared" si="15"/>
        <v>-86.123684816603145</v>
      </c>
    </row>
    <row r="236" spans="1:13" x14ac:dyDescent="0.2">
      <c r="A236">
        <v>2.4301578632675001</v>
      </c>
      <c r="B236" s="70">
        <v>-1.2641411707088499</v>
      </c>
      <c r="C236">
        <v>-0.64759000863300298</v>
      </c>
      <c r="D236">
        <v>0</v>
      </c>
      <c r="E236">
        <v>0.114317796418589</v>
      </c>
      <c r="F236">
        <v>1.7534475423163901E-2</v>
      </c>
      <c r="G236">
        <f>SQRT(Calcs!J237)</f>
        <v>3.7588367049275491E-2</v>
      </c>
      <c r="H236" s="84">
        <f t="shared" si="12"/>
        <v>7.6729429369313512E-2</v>
      </c>
      <c r="I236" s="71">
        <f>LN(Calcs!L238/Calcs!L237)</f>
        <v>-2.1260549007874863E-3</v>
      </c>
      <c r="J236" s="76">
        <f t="shared" si="13"/>
        <v>-1.9660530323951386E-2</v>
      </c>
      <c r="K236" s="72">
        <v>1474.50389566479</v>
      </c>
      <c r="L236" s="72">
        <f t="shared" si="14"/>
        <v>1588.2073223466241</v>
      </c>
      <c r="M236" s="75">
        <f t="shared" si="15"/>
        <v>-113.70342668183412</v>
      </c>
    </row>
    <row r="237" spans="1:13" x14ac:dyDescent="0.2">
      <c r="A237">
        <v>0.26284094878126302</v>
      </c>
      <c r="B237" s="70">
        <v>-0.90965062752208503</v>
      </c>
      <c r="C237">
        <v>3.09330997079088E-2</v>
      </c>
      <c r="D237">
        <v>0</v>
      </c>
      <c r="E237">
        <v>7.84956932428299E-2</v>
      </c>
      <c r="F237">
        <v>1.34746276213187E-3</v>
      </c>
      <c r="G237">
        <f>SQRT(Calcs!J238)</f>
        <v>3.6382845209761122E-2</v>
      </c>
      <c r="H237" s="84">
        <f t="shared" si="12"/>
        <v>4.2112848033068778E-2</v>
      </c>
      <c r="I237" s="71">
        <f>LN(Calcs!L239/Calcs!L238)</f>
        <v>3.1784465754883277E-3</v>
      </c>
      <c r="J237" s="76">
        <f t="shared" si="13"/>
        <v>1.8309838133564577E-3</v>
      </c>
      <c r="K237" s="72">
        <v>1475.40143595064</v>
      </c>
      <c r="L237" s="72">
        <f t="shared" si="14"/>
        <v>1590.3488150388428</v>
      </c>
      <c r="M237" s="75">
        <f t="shared" si="15"/>
        <v>-114.94737908820275</v>
      </c>
    </row>
    <row r="238" spans="1:13" x14ac:dyDescent="0.2">
      <c r="A238">
        <v>-0.145142246471505</v>
      </c>
      <c r="B238" s="70">
        <v>-0.70343470563560895</v>
      </c>
      <c r="C238">
        <v>-0.149210119950655</v>
      </c>
      <c r="D238">
        <v>0</v>
      </c>
      <c r="E238">
        <v>5.0318447019041097E-2</v>
      </c>
      <c r="F238">
        <v>-4.0508872686079498E-4</v>
      </c>
      <c r="G238">
        <f>SQRT(Calcs!J239)</f>
        <v>0</v>
      </c>
      <c r="H238" s="84">
        <f t="shared" si="12"/>
        <v>5.0318447019041097E-2</v>
      </c>
      <c r="I238" s="71">
        <f>LN(Calcs!L240/Calcs!L239)</f>
        <v>1.75706491873755E-5</v>
      </c>
      <c r="J238" s="76">
        <f t="shared" si="13"/>
        <v>4.226593760481705E-4</v>
      </c>
      <c r="K238" s="72">
        <v>1475.4273599847299</v>
      </c>
      <c r="L238" s="72">
        <f t="shared" si="14"/>
        <v>1589.7047131301131</v>
      </c>
      <c r="M238" s="75">
        <f t="shared" si="15"/>
        <v>-114.27735314538313</v>
      </c>
    </row>
    <row r="239" spans="1:13" x14ac:dyDescent="0.2">
      <c r="A239">
        <v>-1.3003703739505701</v>
      </c>
      <c r="B239" s="70">
        <v>0.63641111618469803</v>
      </c>
      <c r="C239">
        <v>0.57497605814989206</v>
      </c>
      <c r="D239">
        <v>0</v>
      </c>
      <c r="E239">
        <v>2.3416890292180099E-2</v>
      </c>
      <c r="F239">
        <v>-1.85929573345123E-3</v>
      </c>
      <c r="G239">
        <f>SQRT(Calcs!J240)</f>
        <v>3.5671422555215833E-2</v>
      </c>
      <c r="H239" s="84">
        <f t="shared" si="12"/>
        <v>-1.2254532263035734E-2</v>
      </c>
      <c r="I239" s="71">
        <f>LN(Calcs!L241/Calcs!L240)</f>
        <v>-2.8533711601679531E-3</v>
      </c>
      <c r="J239" s="76">
        <f t="shared" si="13"/>
        <v>-9.9407542671672302E-4</v>
      </c>
      <c r="K239" s="72">
        <v>1475.4532844743301</v>
      </c>
      <c r="L239" s="72">
        <f t="shared" si="14"/>
        <v>1586.7517280265458</v>
      </c>
      <c r="M239" s="75">
        <f t="shared" si="15"/>
        <v>-111.29844355221576</v>
      </c>
    </row>
    <row r="240" spans="1:13" x14ac:dyDescent="0.2">
      <c r="A240">
        <v>0.28886113856872297</v>
      </c>
      <c r="B240" s="70">
        <v>0.59546104577582804</v>
      </c>
      <c r="C240">
        <v>0.12600146215331201</v>
      </c>
      <c r="D240">
        <v>0</v>
      </c>
      <c r="E240">
        <v>3.3170374298508797E-2</v>
      </c>
      <c r="F240">
        <v>6.6140467940915902E-4</v>
      </c>
      <c r="G240">
        <f>SQRT(Calcs!J241)</f>
        <v>7.0951900416024852E-2</v>
      </c>
      <c r="H240" s="84">
        <f t="shared" si="12"/>
        <v>-3.7781526117516055E-2</v>
      </c>
      <c r="I240" s="71">
        <f>LN(Calcs!L242/Calcs!L241)</f>
        <v>1.7719400288451538E-3</v>
      </c>
      <c r="J240" s="76">
        <f t="shared" si="13"/>
        <v>1.1105353494359946E-3</v>
      </c>
      <c r="K240" s="72">
        <v>1476.4775303050701</v>
      </c>
      <c r="L240" s="72">
        <f t="shared" si="14"/>
        <v>1587.8015601882039</v>
      </c>
      <c r="M240" s="75">
        <f t="shared" si="15"/>
        <v>-111.32402988313379</v>
      </c>
    </row>
    <row r="241" spans="1:13" x14ac:dyDescent="0.2">
      <c r="A241">
        <v>-0.48008073704163401</v>
      </c>
      <c r="B241" s="70">
        <v>-0.54509745359358497</v>
      </c>
      <c r="C241">
        <v>-1.2219531290904599</v>
      </c>
      <c r="D241">
        <v>0</v>
      </c>
      <c r="E241">
        <v>4.31989738956602E-2</v>
      </c>
      <c r="F241">
        <v>-1.2501349063662401E-3</v>
      </c>
      <c r="G241">
        <f>SQRT(Calcs!J242)</f>
        <v>4.8490476444883177E-2</v>
      </c>
      <c r="H241" s="84">
        <f t="shared" si="12"/>
        <v>-5.2915025492229761E-3</v>
      </c>
      <c r="I241" s="71">
        <f>LN(Calcs!L243/Calcs!L242)</f>
        <v>-6.5105482449925806E-3</v>
      </c>
      <c r="J241" s="76">
        <f t="shared" si="13"/>
        <v>-5.2604133386263408E-3</v>
      </c>
      <c r="K241" s="72">
        <v>1476.5034732470299</v>
      </c>
      <c r="L241" s="72">
        <f t="shared" si="14"/>
        <v>1585.8178342543006</v>
      </c>
      <c r="M241" s="75">
        <f t="shared" si="15"/>
        <v>-109.31436100727069</v>
      </c>
    </row>
    <row r="242" spans="1:13" x14ac:dyDescent="0.2">
      <c r="A242">
        <v>6.7702958409652805E-2</v>
      </c>
      <c r="B242" s="70">
        <v>-0.33904208702209099</v>
      </c>
      <c r="C242">
        <v>-0.109119038633655</v>
      </c>
      <c r="D242">
        <v>0</v>
      </c>
      <c r="E242">
        <v>1.9073149195504801E-2</v>
      </c>
      <c r="F242">
        <v>1.4062467693477999E-4</v>
      </c>
      <c r="G242">
        <f>SQRT(Calcs!J243)</f>
        <v>0.10913909022961121</v>
      </c>
      <c r="H242" s="84">
        <f t="shared" si="12"/>
        <v>-9.0065941034106409E-2</v>
      </c>
      <c r="I242" s="71">
        <f>LN(Calcs!L244/Calcs!L243)</f>
        <v>-1.0119523947227035E-2</v>
      </c>
      <c r="J242" s="76">
        <f t="shared" si="13"/>
        <v>-1.0260148624161814E-2</v>
      </c>
      <c r="K242" s="72">
        <v>1476.52941664484</v>
      </c>
      <c r="L242" s="72">
        <f t="shared" si="14"/>
        <v>1586.0408550556665</v>
      </c>
      <c r="M242" s="75">
        <f t="shared" si="15"/>
        <v>-109.51143841082649</v>
      </c>
    </row>
    <row r="243" spans="1:13" x14ac:dyDescent="0.2">
      <c r="A243">
        <v>-0.20054532979009901</v>
      </c>
      <c r="B243" s="70">
        <v>0.45962270014300699</v>
      </c>
      <c r="C243">
        <v>-0.39462769110041401</v>
      </c>
      <c r="D243">
        <v>0</v>
      </c>
      <c r="E243">
        <v>0</v>
      </c>
      <c r="F243">
        <v>6.0001675177823498E-5</v>
      </c>
      <c r="G243">
        <f>SQRT(Calcs!J244)</f>
        <v>0.11684226394747779</v>
      </c>
      <c r="H243" s="84">
        <f t="shared" si="12"/>
        <v>-0.11684226394747779</v>
      </c>
      <c r="I243" s="71">
        <f>LN(Calcs!L245/Calcs!L244)</f>
        <v>3.5150807835760121E-3</v>
      </c>
      <c r="J243" s="76">
        <f t="shared" si="13"/>
        <v>3.4550791083981887E-3</v>
      </c>
      <c r="K243" s="72">
        <v>1476.55536049849</v>
      </c>
      <c r="L243" s="72">
        <f t="shared" si="14"/>
        <v>1586.1360230189605</v>
      </c>
      <c r="M243" s="75">
        <f t="shared" si="15"/>
        <v>-109.58066252047047</v>
      </c>
    </row>
    <row r="244" spans="1:13" x14ac:dyDescent="0.2">
      <c r="A244">
        <v>-0.132789635344675</v>
      </c>
      <c r="B244" s="70">
        <v>1.78672754804912</v>
      </c>
      <c r="C244">
        <v>-0.41515009070609799</v>
      </c>
      <c r="D244">
        <v>0</v>
      </c>
      <c r="E244">
        <v>0</v>
      </c>
      <c r="F244">
        <v>6.0001675177823498E-5</v>
      </c>
      <c r="G244">
        <f>SQRT(Calcs!J245)</f>
        <v>8.2728514715197474E-2</v>
      </c>
      <c r="H244" s="84">
        <f t="shared" si="12"/>
        <v>-8.2728514715197474E-2</v>
      </c>
      <c r="I244" s="71">
        <f>LN(Calcs!L246/Calcs!L245)</f>
        <v>0.17971367278562175</v>
      </c>
      <c r="J244" s="76">
        <f t="shared" si="13"/>
        <v>0.17965367111044392</v>
      </c>
      <c r="K244" s="72">
        <v>1476.0140348327</v>
      </c>
      <c r="L244" s="72">
        <f t="shared" si="14"/>
        <v>1586.2311966926629</v>
      </c>
      <c r="M244" s="75">
        <f t="shared" si="15"/>
        <v>-110.21716185996297</v>
      </c>
    </row>
    <row r="245" spans="1:13" x14ac:dyDescent="0.2">
      <c r="A245">
        <v>-0.74347397233697299</v>
      </c>
      <c r="B245" s="70">
        <v>-0.458284506416827</v>
      </c>
      <c r="C245">
        <v>-1.8448117801761299</v>
      </c>
      <c r="D245">
        <v>0</v>
      </c>
      <c r="E245">
        <v>4.0389685784788798E-2</v>
      </c>
      <c r="F245">
        <v>-1.83486412771634E-3</v>
      </c>
      <c r="G245">
        <f>SQRT(Calcs!J246)</f>
        <v>0.10352313103852828</v>
      </c>
      <c r="H245" s="84">
        <f t="shared" si="12"/>
        <v>-6.3133445253739484E-2</v>
      </c>
      <c r="I245" s="71">
        <f>LN(Calcs!L247/Calcs!L246)</f>
        <v>7.3614802010377239E-3</v>
      </c>
      <c r="J245" s="76">
        <f t="shared" si="13"/>
        <v>9.1963443287540643E-3</v>
      </c>
      <c r="K245" s="72">
        <v>1473.4997375702301</v>
      </c>
      <c r="L245" s="72">
        <f t="shared" si="14"/>
        <v>1583.3233465423798</v>
      </c>
      <c r="M245" s="75">
        <f t="shared" si="15"/>
        <v>-109.82360897214971</v>
      </c>
    </row>
    <row r="246" spans="1:13" x14ac:dyDescent="0.2">
      <c r="A246">
        <v>0.196038696624175</v>
      </c>
      <c r="B246" s="70">
        <v>-0.63359413995792602</v>
      </c>
      <c r="C246">
        <v>-0.12770939522692401</v>
      </c>
      <c r="D246">
        <v>0</v>
      </c>
      <c r="E246">
        <v>1.8203614047827801E-2</v>
      </c>
      <c r="F246">
        <v>2.8414566619211701E-4</v>
      </c>
      <c r="G246">
        <f>SQRT(Calcs!J247)</f>
        <v>2.0958388982120154E-2</v>
      </c>
      <c r="H246" s="84">
        <f t="shared" si="12"/>
        <v>-2.7547749342923533E-3</v>
      </c>
      <c r="I246" s="71">
        <f>LN(Calcs!L248/Calcs!L247)</f>
        <v>-4.1210660400707386E-5</v>
      </c>
      <c r="J246" s="76">
        <f t="shared" si="13"/>
        <v>-3.2535632659282441E-4</v>
      </c>
      <c r="K246" s="72">
        <v>1473.8065880399799</v>
      </c>
      <c r="L246" s="72">
        <f t="shared" si="14"/>
        <v>1583.7733049333167</v>
      </c>
      <c r="M246" s="75">
        <f t="shared" si="15"/>
        <v>-109.96671689333675</v>
      </c>
    </row>
    <row r="247" spans="1:13" x14ac:dyDescent="0.2">
      <c r="A247">
        <v>-1.4279683694683201</v>
      </c>
      <c r="B247" s="70">
        <v>0.36623426893150501</v>
      </c>
      <c r="C247">
        <v>3.00374247183965E-3</v>
      </c>
      <c r="D247">
        <v>0</v>
      </c>
      <c r="E247">
        <v>0</v>
      </c>
      <c r="F247">
        <v>6.0001675177823498E-5</v>
      </c>
      <c r="G247">
        <f>SQRT(Calcs!J248)</f>
        <v>0</v>
      </c>
      <c r="H247" s="84">
        <f t="shared" si="12"/>
        <v>0</v>
      </c>
      <c r="I247" s="71">
        <f>LN(Calcs!L249/Calcs!L248)</f>
        <v>1.75706491873755E-5</v>
      </c>
      <c r="J247" s="76">
        <f t="shared" si="13"/>
        <v>-4.2431025990447994E-5</v>
      </c>
      <c r="K247" s="72">
        <v>1472.46232029883</v>
      </c>
      <c r="L247" s="72">
        <f t="shared" si="14"/>
        <v>1583.8683368357229</v>
      </c>
      <c r="M247" s="75">
        <f t="shared" si="15"/>
        <v>-111.40601653689282</v>
      </c>
    </row>
    <row r="248" spans="1:13" x14ac:dyDescent="0.2">
      <c r="A248">
        <v>1.5399271151423299</v>
      </c>
      <c r="B248" s="70">
        <v>-2.44564635140134</v>
      </c>
      <c r="C248">
        <v>-1.0682673194358401</v>
      </c>
      <c r="D248">
        <v>0</v>
      </c>
      <c r="E248">
        <v>0</v>
      </c>
      <c r="F248">
        <v>6.0001675177823498E-5</v>
      </c>
      <c r="G248">
        <f>SQRT(Calcs!J249)</f>
        <v>0</v>
      </c>
      <c r="H248" s="84">
        <f t="shared" si="12"/>
        <v>0</v>
      </c>
      <c r="I248" s="71">
        <f>LN(Calcs!L250/Calcs!L249)</f>
        <v>1.75706491873755E-5</v>
      </c>
      <c r="J248" s="76">
        <f t="shared" si="13"/>
        <v>-4.2431025990447994E-5</v>
      </c>
      <c r="K248" s="72">
        <v>1477.1338951468499</v>
      </c>
      <c r="L248" s="72">
        <f t="shared" si="14"/>
        <v>1583.9633744403734</v>
      </c>
      <c r="M248" s="75">
        <f t="shared" si="15"/>
        <v>-106.82947929352349</v>
      </c>
    </row>
    <row r="249" spans="1:13" x14ac:dyDescent="0.2">
      <c r="A249">
        <v>1.05553413954028</v>
      </c>
      <c r="B249" s="70">
        <v>-0.91908197706501704</v>
      </c>
      <c r="C249">
        <v>1.1831653467955301</v>
      </c>
      <c r="D249">
        <v>0</v>
      </c>
      <c r="E249">
        <v>5.8959126241075403E-2</v>
      </c>
      <c r="F249">
        <v>3.9734383482674003E-3</v>
      </c>
      <c r="G249">
        <f>SQRT(Calcs!J250)</f>
        <v>1.521167319859704E-2</v>
      </c>
      <c r="H249" s="84">
        <f t="shared" si="12"/>
        <v>4.374745304247836E-2</v>
      </c>
      <c r="I249" s="71">
        <f>LN(Calcs!L251/Calcs!L250)</f>
        <v>-6.8986986173248069E-4</v>
      </c>
      <c r="J249" s="76">
        <f t="shared" si="13"/>
        <v>-4.6633082099998809E-3</v>
      </c>
      <c r="K249" s="72">
        <v>1477.1598496217</v>
      </c>
      <c r="L249" s="72">
        <f t="shared" si="14"/>
        <v>1590.2696758073696</v>
      </c>
      <c r="M249" s="75">
        <f t="shared" si="15"/>
        <v>-113.10982618566959</v>
      </c>
    </row>
    <row r="250" spans="1:13" x14ac:dyDescent="0.2">
      <c r="A250">
        <v>-1.1502635956213501</v>
      </c>
      <c r="B250" s="70">
        <v>1.3738865534823099</v>
      </c>
      <c r="C250">
        <v>1.1741613300853699</v>
      </c>
      <c r="D250">
        <v>0</v>
      </c>
      <c r="E250">
        <v>2.74546045588113E-2</v>
      </c>
      <c r="F250">
        <v>-1.9308489063293299E-3</v>
      </c>
      <c r="G250">
        <f>SQRT(Calcs!J251)</f>
        <v>3.5674769770358911E-2</v>
      </c>
      <c r="H250" s="84">
        <f t="shared" si="12"/>
        <v>-8.2201652115476108E-3</v>
      </c>
      <c r="I250" s="71">
        <f>LN(Calcs!L252/Calcs!L251)</f>
        <v>2.394105234736643E-3</v>
      </c>
      <c r="J250" s="76">
        <f t="shared" si="13"/>
        <v>4.3249541410659729E-3</v>
      </c>
      <c r="K250" s="72">
        <v>1477.1858045525801</v>
      </c>
      <c r="L250" s="72">
        <f t="shared" si="14"/>
        <v>1587.2020678398615</v>
      </c>
      <c r="M250" s="75">
        <f t="shared" si="15"/>
        <v>-110.01626328728139</v>
      </c>
    </row>
    <row r="251" spans="1:13" x14ac:dyDescent="0.2">
      <c r="A251">
        <v>-0.11357247118093899</v>
      </c>
      <c r="B251" s="70">
        <v>-1.36960418872241</v>
      </c>
      <c r="C251">
        <v>0.480703048091423</v>
      </c>
      <c r="D251">
        <v>0</v>
      </c>
      <c r="E251">
        <v>5.8816094315190998E-2</v>
      </c>
      <c r="F251">
        <v>-3.6765554607448098E-4</v>
      </c>
      <c r="G251">
        <f>SQRT(Calcs!J252)</f>
        <v>0</v>
      </c>
      <c r="H251" s="84">
        <f t="shared" si="12"/>
        <v>5.8816094315190998E-2</v>
      </c>
      <c r="I251" s="71">
        <f>LN(Calcs!L253/Calcs!L252)</f>
        <v>1.75706491873755E-5</v>
      </c>
      <c r="J251" s="76">
        <f t="shared" si="13"/>
        <v>3.852261952618565E-4</v>
      </c>
      <c r="K251" s="72">
        <v>1477.11463659378</v>
      </c>
      <c r="L251" s="72">
        <f t="shared" si="14"/>
        <v>1586.6186314552626</v>
      </c>
      <c r="M251" s="75">
        <f t="shared" si="15"/>
        <v>-109.50399486148262</v>
      </c>
    </row>
    <row r="252" spans="1:13" x14ac:dyDescent="0.2">
      <c r="A252">
        <v>1.4940341400199899</v>
      </c>
      <c r="B252" s="70">
        <v>-0.937291751275797</v>
      </c>
      <c r="C252">
        <v>-0.98090886940016297</v>
      </c>
      <c r="D252">
        <v>0</v>
      </c>
      <c r="E252">
        <v>7.9230959741554193E-3</v>
      </c>
      <c r="F252">
        <v>8.0556171009934304E-4</v>
      </c>
      <c r="G252">
        <f>SQRT(Calcs!J253)</f>
        <v>0</v>
      </c>
      <c r="H252" s="84">
        <f t="shared" si="12"/>
        <v>7.9230959741554193E-3</v>
      </c>
      <c r="I252" s="71">
        <f>LN(Calcs!L254/Calcs!L253)</f>
        <v>1.75706491873755E-5</v>
      </c>
      <c r="J252" s="76">
        <f t="shared" si="13"/>
        <v>-7.8799106091196757E-4</v>
      </c>
      <c r="K252" s="72">
        <v>1482.9312218323801</v>
      </c>
      <c r="L252" s="72">
        <f t="shared" si="14"/>
        <v>1587.8972656135074</v>
      </c>
      <c r="M252" s="75">
        <f t="shared" si="15"/>
        <v>-104.96604378112738</v>
      </c>
    </row>
    <row r="253" spans="1:13" x14ac:dyDescent="0.2">
      <c r="A253">
        <v>0.90936479893091104</v>
      </c>
      <c r="B253" s="70">
        <v>-1.1346137291760701</v>
      </c>
      <c r="C253">
        <v>-0.34111576590737003</v>
      </c>
      <c r="D253">
        <v>0</v>
      </c>
      <c r="E253">
        <v>0</v>
      </c>
      <c r="F253">
        <v>6.0001675177823498E-5</v>
      </c>
      <c r="G253">
        <f>SQRT(Calcs!J254)</f>
        <v>0</v>
      </c>
      <c r="H253" s="84">
        <f t="shared" si="12"/>
        <v>0</v>
      </c>
      <c r="I253" s="71">
        <f>LN(Calcs!L255/Calcs!L254)</f>
        <v>1.75706491873755E-5</v>
      </c>
      <c r="J253" s="76">
        <f t="shared" si="13"/>
        <v>-4.2431025990447994E-5</v>
      </c>
      <c r="K253" s="72">
        <v>1487.2507322563899</v>
      </c>
      <c r="L253" s="72">
        <f t="shared" si="14"/>
        <v>1587.9925449678865</v>
      </c>
      <c r="M253" s="75">
        <f t="shared" si="15"/>
        <v>-100.74181271149655</v>
      </c>
    </row>
    <row r="254" spans="1:13" x14ac:dyDescent="0.2">
      <c r="A254">
        <v>6.1804273493132597E-2</v>
      </c>
      <c r="B254" s="70">
        <v>0.12693463130688001</v>
      </c>
      <c r="C254">
        <v>-0.60706505502584995</v>
      </c>
      <c r="D254">
        <v>0</v>
      </c>
      <c r="E254">
        <v>1.92637614253117E-2</v>
      </c>
      <c r="F254">
        <v>1.3426504600638799E-4</v>
      </c>
      <c r="G254">
        <f>SQRT(Calcs!J255)</f>
        <v>0</v>
      </c>
      <c r="H254" s="84">
        <f t="shared" si="12"/>
        <v>1.92637614253117E-2</v>
      </c>
      <c r="I254" s="71">
        <f>LN(Calcs!L256/Calcs!L255)</f>
        <v>1.75706491873755E-5</v>
      </c>
      <c r="J254" s="76">
        <f t="shared" si="13"/>
        <v>-1.166943968190125E-4</v>
      </c>
      <c r="K254" s="72">
        <v>1487.31090680735</v>
      </c>
      <c r="L254" s="72">
        <f t="shared" si="14"/>
        <v>1588.2057711740872</v>
      </c>
      <c r="M254" s="75">
        <f t="shared" si="15"/>
        <v>-100.89486436673724</v>
      </c>
    </row>
    <row r="255" spans="1:13" x14ac:dyDescent="0.2">
      <c r="A255">
        <v>0.466693335182924</v>
      </c>
      <c r="B255" s="70">
        <v>-0.322068377475142</v>
      </c>
      <c r="C255">
        <v>0.43136262192029301</v>
      </c>
      <c r="D255">
        <v>0</v>
      </c>
      <c r="E255">
        <v>5.0598115925603298E-3</v>
      </c>
      <c r="F255">
        <v>2.0870385793857399E-4</v>
      </c>
      <c r="G255">
        <f>SQRT(Calcs!J256)</f>
        <v>0</v>
      </c>
      <c r="H255" s="84">
        <f t="shared" si="12"/>
        <v>5.0598115925603298E-3</v>
      </c>
      <c r="I255" s="71">
        <f>LN(Calcs!L257/Calcs!L256)</f>
        <v>1.75706491873755E-5</v>
      </c>
      <c r="J255" s="76">
        <f t="shared" si="13"/>
        <v>-1.911332087511985E-4</v>
      </c>
      <c r="K255" s="72">
        <v>1487.3370401007801</v>
      </c>
      <c r="L255" s="72">
        <f t="shared" si="14"/>
        <v>1588.5372704371157</v>
      </c>
      <c r="M255" s="75">
        <f t="shared" si="15"/>
        <v>-101.20023033633561</v>
      </c>
    </row>
    <row r="256" spans="1:13" x14ac:dyDescent="0.2">
      <c r="A256">
        <v>0.60383298069795399</v>
      </c>
      <c r="B256" s="70">
        <v>-0.25416669440305301</v>
      </c>
      <c r="C256">
        <v>-0.354766699280053</v>
      </c>
      <c r="D256">
        <v>0</v>
      </c>
      <c r="E256">
        <v>0</v>
      </c>
      <c r="F256">
        <v>6.0001675177823498E-5</v>
      </c>
      <c r="G256">
        <f>SQRT(Calcs!J257)</f>
        <v>0</v>
      </c>
      <c r="H256" s="84">
        <f t="shared" si="12"/>
        <v>0</v>
      </c>
      <c r="I256" s="71">
        <f>LN(Calcs!L258/Calcs!L257)</f>
        <v>1.75706491873755E-5</v>
      </c>
      <c r="J256" s="76">
        <f t="shared" si="13"/>
        <v>-4.2431025990447994E-5</v>
      </c>
      <c r="K256" s="72">
        <v>1487.3631738534</v>
      </c>
      <c r="L256" s="72">
        <f t="shared" si="14"/>
        <v>1588.6325881940083</v>
      </c>
      <c r="M256" s="75">
        <f t="shared" si="15"/>
        <v>-101.26941434060836</v>
      </c>
    </row>
    <row r="257" spans="1:13" x14ac:dyDescent="0.2">
      <c r="A257">
        <v>-1.54899452228013</v>
      </c>
      <c r="B257" s="70">
        <v>0.54394999147477396</v>
      </c>
      <c r="C257">
        <v>-0.48366062997505099</v>
      </c>
      <c r="D257">
        <v>0</v>
      </c>
      <c r="E257">
        <v>0</v>
      </c>
      <c r="F257">
        <v>6.0001675177823498E-5</v>
      </c>
      <c r="G257">
        <f>SQRT(Calcs!J258)</f>
        <v>3.2321186772230052E-2</v>
      </c>
      <c r="H257" s="84">
        <f t="shared" si="12"/>
        <v>-3.2321186772230052E-2</v>
      </c>
      <c r="I257" s="71">
        <f>LN(Calcs!L259/Calcs!L258)</f>
        <v>1.4407865230025155E-3</v>
      </c>
      <c r="J257" s="76">
        <f t="shared" si="13"/>
        <v>1.3807848478246921E-3</v>
      </c>
      <c r="K257" s="72">
        <v>1487.3893080652001</v>
      </c>
      <c r="L257" s="72">
        <f t="shared" si="14"/>
        <v>1588.7279116702978</v>
      </c>
      <c r="M257" s="75">
        <f t="shared" si="15"/>
        <v>-101.33860360509766</v>
      </c>
    </row>
    <row r="258" spans="1:13" x14ac:dyDescent="0.2">
      <c r="A258">
        <v>0.53355034902551002</v>
      </c>
      <c r="B258" s="70">
        <v>-1.04178836982461</v>
      </c>
      <c r="C258">
        <v>6.8192103277440005E-2</v>
      </c>
      <c r="D258">
        <v>0</v>
      </c>
      <c r="E258">
        <v>0</v>
      </c>
      <c r="F258">
        <v>6.0001675177823498E-5</v>
      </c>
      <c r="G258">
        <f>SQRT(Calcs!J259)</f>
        <v>0</v>
      </c>
      <c r="H258" s="84">
        <f t="shared" si="12"/>
        <v>0</v>
      </c>
      <c r="I258" s="71">
        <f>LN(Calcs!L260/Calcs!L259)</f>
        <v>1.75706491873755E-5</v>
      </c>
      <c r="J258" s="76">
        <f t="shared" si="13"/>
        <v>-4.2431025990447994E-5</v>
      </c>
      <c r="K258" s="72">
        <v>1487.4154427362</v>
      </c>
      <c r="L258" s="72">
        <f t="shared" si="14"/>
        <v>1588.8232408663271</v>
      </c>
      <c r="M258" s="75">
        <f t="shared" si="15"/>
        <v>-101.40779813012705</v>
      </c>
    </row>
    <row r="259" spans="1:13" x14ac:dyDescent="0.2">
      <c r="A259">
        <v>-0.287120679717698</v>
      </c>
      <c r="B259" s="70">
        <v>-0.39898640878348102</v>
      </c>
      <c r="C259">
        <v>-1.09189479333585</v>
      </c>
      <c r="D259">
        <v>0</v>
      </c>
      <c r="E259">
        <v>1.5409345432840201E-2</v>
      </c>
      <c r="F259">
        <v>-2.1917678368776601E-4</v>
      </c>
      <c r="G259">
        <f>SQRT(Calcs!J260)</f>
        <v>0</v>
      </c>
      <c r="H259" s="84">
        <f t="shared" ref="H259:H316" si="16">E259-G259</f>
        <v>1.5409345432840201E-2</v>
      </c>
      <c r="I259" s="71">
        <f>LN(Calcs!L261/Calcs!L260)</f>
        <v>1.75706491873755E-5</v>
      </c>
      <c r="J259" s="76">
        <f t="shared" ref="J259:J316" si="17">I259-F259</f>
        <v>2.3674743287514151E-4</v>
      </c>
      <c r="K259" s="72">
        <v>1487.16335965959</v>
      </c>
      <c r="L259" s="72">
        <f t="shared" ref="L259:L316" si="18">EXP(F259)*L258</f>
        <v>1588.4750458580706</v>
      </c>
      <c r="M259" s="75">
        <f t="shared" ref="M259:M316" si="19">K259-L259</f>
        <v>-101.31168619848063</v>
      </c>
    </row>
    <row r="260" spans="1:13" x14ac:dyDescent="0.2">
      <c r="A260">
        <v>1.0272983551541299</v>
      </c>
      <c r="B260" s="70">
        <v>0.44400489424857398</v>
      </c>
      <c r="C260">
        <v>-2.9600652938053398</v>
      </c>
      <c r="D260">
        <v>0</v>
      </c>
      <c r="E260">
        <v>0</v>
      </c>
      <c r="F260">
        <v>6.0001675177823498E-5</v>
      </c>
      <c r="G260">
        <f>SQRT(Calcs!J261)</f>
        <v>0</v>
      </c>
      <c r="H260" s="84">
        <f t="shared" si="16"/>
        <v>0</v>
      </c>
      <c r="I260" s="71">
        <f>LN(Calcs!L262/Calcs!L261)</f>
        <v>1.75706491873755E-5</v>
      </c>
      <c r="J260" s="76">
        <f t="shared" si="17"/>
        <v>-4.2431025990447994E-5</v>
      </c>
      <c r="K260" s="72">
        <v>1487.1894903605</v>
      </c>
      <c r="L260" s="72">
        <f t="shared" si="18"/>
        <v>1588.5703598812725</v>
      </c>
      <c r="M260" s="75">
        <f t="shared" si="19"/>
        <v>-101.38086952077242</v>
      </c>
    </row>
    <row r="261" spans="1:13" x14ac:dyDescent="0.2">
      <c r="A261">
        <v>0.42025553548752098</v>
      </c>
      <c r="B261" s="70">
        <v>-0.16971004964686801</v>
      </c>
      <c r="C261">
        <v>0.61970568692434602</v>
      </c>
      <c r="D261">
        <v>0</v>
      </c>
      <c r="E261">
        <v>0</v>
      </c>
      <c r="F261">
        <v>6.0001675177823498E-5</v>
      </c>
      <c r="G261">
        <f>SQRT(Calcs!J262)</f>
        <v>0</v>
      </c>
      <c r="H261" s="84">
        <f t="shared" si="16"/>
        <v>0</v>
      </c>
      <c r="I261" s="71">
        <f>LN(Calcs!L263/Calcs!L262)</f>
        <v>1.75706491873755E-5</v>
      </c>
      <c r="J261" s="76">
        <f t="shared" si="17"/>
        <v>-4.2431025990447994E-5</v>
      </c>
      <c r="K261" s="72">
        <v>1487.21562152054</v>
      </c>
      <c r="L261" s="72">
        <f t="shared" si="18"/>
        <v>1588.6656796236468</v>
      </c>
      <c r="M261" s="75">
        <f t="shared" si="19"/>
        <v>-101.45005810310681</v>
      </c>
    </row>
    <row r="262" spans="1:13" x14ac:dyDescent="0.2">
      <c r="A262">
        <v>0.707397271002561</v>
      </c>
      <c r="B262" s="70">
        <v>0.99214540360247905</v>
      </c>
      <c r="C262">
        <v>1.0399767846278101</v>
      </c>
      <c r="D262">
        <v>0</v>
      </c>
      <c r="E262">
        <v>0</v>
      </c>
      <c r="F262">
        <v>6.0001675177823498E-5</v>
      </c>
      <c r="G262">
        <f>SQRT(Calcs!J263)</f>
        <v>0</v>
      </c>
      <c r="H262" s="84">
        <f t="shared" si="16"/>
        <v>0</v>
      </c>
      <c r="I262" s="71">
        <f>LN(Calcs!L264/Calcs!L263)</f>
        <v>1.75706491873755E-5</v>
      </c>
      <c r="J262" s="76">
        <f t="shared" si="17"/>
        <v>-4.2431025990447994E-5</v>
      </c>
      <c r="K262" s="72">
        <v>1487.24175313972</v>
      </c>
      <c r="L262" s="72">
        <f t="shared" si="18"/>
        <v>1588.7610050855369</v>
      </c>
      <c r="M262" s="75">
        <f t="shared" si="19"/>
        <v>-101.5192519458169</v>
      </c>
    </row>
    <row r="263" spans="1:13" x14ac:dyDescent="0.2">
      <c r="A263">
        <v>2.1250701927214699</v>
      </c>
      <c r="B263" s="70">
        <v>-1.93810841909832</v>
      </c>
      <c r="C263">
        <v>-2.2392823687590901</v>
      </c>
      <c r="D263">
        <v>0</v>
      </c>
      <c r="E263">
        <v>1.30634421073441E-2</v>
      </c>
      <c r="F263">
        <v>1.8084247815590799E-3</v>
      </c>
      <c r="G263">
        <f>SQRT(Calcs!J264)</f>
        <v>0</v>
      </c>
      <c r="H263" s="84">
        <f t="shared" si="16"/>
        <v>1.30634421073441E-2</v>
      </c>
      <c r="I263" s="71">
        <f>LN(Calcs!L265/Calcs!L264)</f>
        <v>1.75706491873755E-5</v>
      </c>
      <c r="J263" s="76">
        <f t="shared" si="17"/>
        <v>-1.7908541323717045E-3</v>
      </c>
      <c r="K263" s="72">
        <v>1487.26788521806</v>
      </c>
      <c r="L263" s="72">
        <f t="shared" si="18"/>
        <v>1591.6367593680243</v>
      </c>
      <c r="M263" s="75">
        <f t="shared" si="19"/>
        <v>-104.36887414996431</v>
      </c>
    </row>
    <row r="264" spans="1:13" x14ac:dyDescent="0.2">
      <c r="A264">
        <v>-1.50649320541825</v>
      </c>
      <c r="B264" s="70">
        <v>2.0425268734947202</v>
      </c>
      <c r="C264">
        <v>-0.50676740404088605</v>
      </c>
      <c r="D264">
        <v>0</v>
      </c>
      <c r="E264">
        <v>2.9528978123294199E-2</v>
      </c>
      <c r="F264">
        <v>-2.74403291009079E-3</v>
      </c>
      <c r="G264">
        <f>SQRT(Calcs!J265)</f>
        <v>0</v>
      </c>
      <c r="H264" s="84">
        <f t="shared" si="16"/>
        <v>2.9528978123294199E-2</v>
      </c>
      <c r="I264" s="71">
        <f>LN(Calcs!L266/Calcs!L265)</f>
        <v>1.75706491873755E-5</v>
      </c>
      <c r="J264" s="76">
        <f t="shared" si="17"/>
        <v>2.7616035592781655E-3</v>
      </c>
      <c r="K264" s="72">
        <v>1487.2940177555699</v>
      </c>
      <c r="L264" s="72">
        <f t="shared" si="18"/>
        <v>1587.2752425290287</v>
      </c>
      <c r="M264" s="75">
        <f t="shared" si="19"/>
        <v>-99.981224773458734</v>
      </c>
    </row>
    <row r="265" spans="1:13" x14ac:dyDescent="0.2">
      <c r="A265">
        <v>0.29888482129362598</v>
      </c>
      <c r="B265" s="70">
        <v>-0.43979070856791103</v>
      </c>
      <c r="C265">
        <v>0.98668807459028596</v>
      </c>
      <c r="D265">
        <v>0</v>
      </c>
      <c r="E265">
        <v>7.9060057605905704E-2</v>
      </c>
      <c r="F265">
        <v>1.53614061258695E-3</v>
      </c>
      <c r="G265">
        <f>SQRT(Calcs!J266)</f>
        <v>0</v>
      </c>
      <c r="H265" s="84">
        <f t="shared" si="16"/>
        <v>7.9060057605905704E-2</v>
      </c>
      <c r="I265" s="71">
        <f>LN(Calcs!L267/Calcs!L266)</f>
        <v>1.75706491873755E-5</v>
      </c>
      <c r="J265" s="76">
        <f t="shared" si="17"/>
        <v>-1.5185699633995745E-3</v>
      </c>
      <c r="K265" s="72">
        <v>1487.3201507522399</v>
      </c>
      <c r="L265" s="72">
        <f t="shared" si="18"/>
        <v>1589.7153942206473</v>
      </c>
      <c r="M265" s="75">
        <f t="shared" si="19"/>
        <v>-102.39524346840744</v>
      </c>
    </row>
    <row r="266" spans="1:13" x14ac:dyDescent="0.2">
      <c r="A266">
        <v>-1.30629880440179</v>
      </c>
      <c r="B266" s="70">
        <v>1.5794071027929399</v>
      </c>
      <c r="C266">
        <v>-0.82754453284530405</v>
      </c>
      <c r="D266">
        <v>0</v>
      </c>
      <c r="E266">
        <v>6.3918208678988495E-2</v>
      </c>
      <c r="F266">
        <v>-5.2078757679072203E-3</v>
      </c>
      <c r="G266">
        <f>SQRT(Calcs!J267)</f>
        <v>0</v>
      </c>
      <c r="H266" s="84">
        <f t="shared" si="16"/>
        <v>6.3918208678988495E-2</v>
      </c>
      <c r="I266" s="71">
        <f>LN(Calcs!L268/Calcs!L267)</f>
        <v>1.75706491873755E-5</v>
      </c>
      <c r="J266" s="76">
        <f t="shared" si="17"/>
        <v>5.2254464170945958E-3</v>
      </c>
      <c r="K266" s="72">
        <v>1487.3462842080901</v>
      </c>
      <c r="L266" s="72">
        <f t="shared" si="18"/>
        <v>1581.4578746725367</v>
      </c>
      <c r="M266" s="75">
        <f t="shared" si="19"/>
        <v>-94.111590464446635</v>
      </c>
    </row>
    <row r="267" spans="1:13" x14ac:dyDescent="0.2">
      <c r="A267">
        <v>-1.4628416015972701</v>
      </c>
      <c r="B267" s="70">
        <v>0.61505332613035502</v>
      </c>
      <c r="C267">
        <v>9.9233247089766594E-2</v>
      </c>
      <c r="D267">
        <v>0</v>
      </c>
      <c r="E267">
        <v>0.102140483832371</v>
      </c>
      <c r="F267">
        <v>-9.3729803549806E-3</v>
      </c>
      <c r="G267">
        <f>SQRT(Calcs!J268)</f>
        <v>7.0302807229413108E-2</v>
      </c>
      <c r="H267" s="84">
        <f t="shared" si="16"/>
        <v>3.1837676602957887E-2</v>
      </c>
      <c r="I267" s="71">
        <f>LN(Calcs!L269/Calcs!L268)</f>
        <v>8.1528243263241998E-4</v>
      </c>
      <c r="J267" s="76">
        <f t="shared" si="17"/>
        <v>1.018826278761302E-2</v>
      </c>
      <c r="K267" s="72">
        <v>1483.3162077868601</v>
      </c>
      <c r="L267" s="72">
        <f t="shared" si="18"/>
        <v>1566.7041522689067</v>
      </c>
      <c r="M267" s="75">
        <f t="shared" si="19"/>
        <v>-83.387944482046578</v>
      </c>
    </row>
    <row r="268" spans="1:13" x14ac:dyDescent="0.2">
      <c r="A268">
        <v>-1.0494710290982401</v>
      </c>
      <c r="B268" s="70">
        <v>-0.26495557762573801</v>
      </c>
      <c r="C268">
        <v>0.76066793302425495</v>
      </c>
      <c r="D268">
        <v>0</v>
      </c>
      <c r="E268">
        <v>0.115733429663854</v>
      </c>
      <c r="F268">
        <v>-7.6177645298528699E-3</v>
      </c>
      <c r="G268">
        <f>SQRT(Calcs!J269)</f>
        <v>9.2808247489356469E-2</v>
      </c>
      <c r="H268" s="84">
        <f t="shared" si="16"/>
        <v>2.292518217449753E-2</v>
      </c>
      <c r="I268" s="71">
        <f>LN(Calcs!L270/Calcs!L269)</f>
        <v>-5.0966642000368481E-3</v>
      </c>
      <c r="J268" s="76">
        <f t="shared" si="17"/>
        <v>2.5211003298160218E-3</v>
      </c>
      <c r="K268" s="72">
        <v>1476.6780874040801</v>
      </c>
      <c r="L268" s="72">
        <f t="shared" si="18"/>
        <v>1554.8147119230821</v>
      </c>
      <c r="M268" s="75">
        <f t="shared" si="19"/>
        <v>-78.136624519001998</v>
      </c>
    </row>
    <row r="269" spans="1:13" x14ac:dyDescent="0.2">
      <c r="A269">
        <v>1.4478493251731901</v>
      </c>
      <c r="B269" s="70">
        <v>-1.1624755316605799</v>
      </c>
      <c r="C269">
        <v>0.34734107838468198</v>
      </c>
      <c r="D269">
        <v>0</v>
      </c>
      <c r="E269">
        <v>0.106450644039102</v>
      </c>
      <c r="F269">
        <v>9.7464485358383906E-3</v>
      </c>
      <c r="G269">
        <f>SQRT(Calcs!J270)</f>
        <v>0.13762274372485486</v>
      </c>
      <c r="H269" s="84">
        <f t="shared" si="16"/>
        <v>-3.1172099685752866E-2</v>
      </c>
      <c r="I269" s="71">
        <f>LN(Calcs!L271/Calcs!L270)</f>
        <v>-3.558814950518309E-3</v>
      </c>
      <c r="J269" s="76">
        <f t="shared" si="17"/>
        <v>-1.3305263486356699E-2</v>
      </c>
      <c r="K269" s="72">
        <v>1488.3041489811401</v>
      </c>
      <c r="L269" s="72">
        <f t="shared" si="18"/>
        <v>1570.0427224597661</v>
      </c>
      <c r="M269" s="75">
        <f t="shared" si="19"/>
        <v>-81.738573478625995</v>
      </c>
    </row>
    <row r="270" spans="1:13" x14ac:dyDescent="0.2">
      <c r="A270">
        <v>0.190253057116059</v>
      </c>
      <c r="B270" s="70">
        <v>0.46403850344084502</v>
      </c>
      <c r="C270">
        <v>0.28675925673715502</v>
      </c>
      <c r="D270">
        <v>0</v>
      </c>
      <c r="E270">
        <v>7.3051078624093602E-2</v>
      </c>
      <c r="F270">
        <v>9.2491720236625898E-4</v>
      </c>
      <c r="G270">
        <f>SQRT(Calcs!J271)</f>
        <v>0.12562523829013483</v>
      </c>
      <c r="H270" s="84">
        <f t="shared" si="16"/>
        <v>-5.2574159666041231E-2</v>
      </c>
      <c r="I270" s="71">
        <f>LN(Calcs!L272/Calcs!L271)</f>
        <v>8.0171123016541947E-4</v>
      </c>
      <c r="J270" s="76">
        <f t="shared" si="17"/>
        <v>-1.2320597220083951E-4</v>
      </c>
      <c r="K270" s="72">
        <v>1489.1914317442699</v>
      </c>
      <c r="L270" s="72">
        <f t="shared" si="18"/>
        <v>1571.4955537529754</v>
      </c>
      <c r="M270" s="75">
        <f t="shared" si="19"/>
        <v>-82.304122008705463</v>
      </c>
    </row>
    <row r="271" spans="1:13" x14ac:dyDescent="0.2">
      <c r="A271">
        <v>-0.350436618201868</v>
      </c>
      <c r="B271" s="70">
        <v>-0.93547844678119196</v>
      </c>
      <c r="C271">
        <v>-1.5682568670842401</v>
      </c>
      <c r="D271">
        <v>0</v>
      </c>
      <c r="E271">
        <v>8.1986597211084103E-2</v>
      </c>
      <c r="F271">
        <v>-1.7632247816382E-3</v>
      </c>
      <c r="G271">
        <f>SQRT(Calcs!J272)</f>
        <v>0.15849235451517749</v>
      </c>
      <c r="H271" s="84">
        <f t="shared" si="16"/>
        <v>-7.6505757304093383E-2</v>
      </c>
      <c r="I271" s="71">
        <f>LN(Calcs!L273/Calcs!L272)</f>
        <v>9.7023555699990924E-3</v>
      </c>
      <c r="J271" s="76">
        <f t="shared" si="17"/>
        <v>1.1465580351637292E-2</v>
      </c>
      <c r="K271" s="72">
        <v>1488.83168511022</v>
      </c>
      <c r="L271" s="72">
        <f t="shared" si="18"/>
        <v>1568.7270952729159</v>
      </c>
      <c r="M271" s="75">
        <f t="shared" si="19"/>
        <v>-79.895410162695953</v>
      </c>
    </row>
    <row r="272" spans="1:13" x14ac:dyDescent="0.2">
      <c r="A272">
        <v>-0.49822409656796002</v>
      </c>
      <c r="B272" s="70">
        <v>-2.0735591462043599E-2</v>
      </c>
      <c r="C272">
        <v>0.26841898521420798</v>
      </c>
      <c r="D272">
        <v>0</v>
      </c>
      <c r="E272">
        <v>5.3378742696956701E-2</v>
      </c>
      <c r="F272">
        <v>-1.62095248639856E-3</v>
      </c>
      <c r="G272">
        <f>SQRT(Calcs!J273)</f>
        <v>0.14110211895598609</v>
      </c>
      <c r="H272" s="84">
        <f t="shared" si="16"/>
        <v>-8.7723376259029401E-2</v>
      </c>
      <c r="I272" s="71">
        <f>LN(Calcs!L274/Calcs!L273)</f>
        <v>-5.2988683333825282E-3</v>
      </c>
      <c r="J272" s="76">
        <f t="shared" si="17"/>
        <v>-3.6779158469839681E-3</v>
      </c>
      <c r="K272" s="72">
        <v>1487.6076608404201</v>
      </c>
      <c r="L272" s="72">
        <f t="shared" si="18"/>
        <v>1566.1863229792564</v>
      </c>
      <c r="M272" s="75">
        <f t="shared" si="19"/>
        <v>-78.578662138836307</v>
      </c>
    </row>
    <row r="273" spans="1:13" x14ac:dyDescent="0.2">
      <c r="A273">
        <v>-0.73778018835359804</v>
      </c>
      <c r="B273" s="70">
        <v>0.59854427212712003</v>
      </c>
      <c r="C273">
        <v>-0.56838614260046705</v>
      </c>
      <c r="D273">
        <v>0</v>
      </c>
      <c r="E273">
        <v>4.7971482194159802E-2</v>
      </c>
      <c r="F273">
        <v>-2.17407653638015E-3</v>
      </c>
      <c r="G273">
        <f>SQRT(Calcs!J274)</f>
        <v>0.10726533426123291</v>
      </c>
      <c r="H273" s="84">
        <f t="shared" si="16"/>
        <v>-5.9293852067073112E-2</v>
      </c>
      <c r="I273" s="71">
        <f>LN(Calcs!L275/Calcs!L274)</f>
        <v>6.2317725845286729E-3</v>
      </c>
      <c r="J273" s="76">
        <f t="shared" si="17"/>
        <v>8.4058491209088228E-3</v>
      </c>
      <c r="K273" s="72">
        <v>1482.5397348593999</v>
      </c>
      <c r="L273" s="72">
        <f t="shared" si="18"/>
        <v>1562.7850127369848</v>
      </c>
      <c r="M273" s="75">
        <f t="shared" si="19"/>
        <v>-80.24527787758484</v>
      </c>
    </row>
    <row r="274" spans="1:13" x14ac:dyDescent="0.2">
      <c r="A274">
        <v>-0.45216927852561001</v>
      </c>
      <c r="B274" s="70">
        <v>1.20946084268865</v>
      </c>
      <c r="C274">
        <v>0.60399188889723898</v>
      </c>
      <c r="D274">
        <v>0</v>
      </c>
      <c r="E274">
        <v>5.9379928823482801E-2</v>
      </c>
      <c r="F274">
        <v>-1.63837144009166E-3</v>
      </c>
      <c r="G274">
        <f>SQRT(Calcs!J275)</f>
        <v>9.5933826453001594E-2</v>
      </c>
      <c r="H274" s="84">
        <f t="shared" si="16"/>
        <v>-3.6553897629518793E-2</v>
      </c>
      <c r="I274" s="71">
        <f>LN(Calcs!L276/Calcs!L275)</f>
        <v>-9.0790764963421845E-3</v>
      </c>
      <c r="J274" s="76">
        <f t="shared" si="17"/>
        <v>-7.4407050562505248E-3</v>
      </c>
      <c r="K274" s="72">
        <v>1477.43299576399</v>
      </c>
      <c r="L274" s="72">
        <f t="shared" si="18"/>
        <v>1560.2266867215201</v>
      </c>
      <c r="M274" s="75">
        <f t="shared" si="19"/>
        <v>-82.793690957530089</v>
      </c>
    </row>
    <row r="275" spans="1:13" x14ac:dyDescent="0.2">
      <c r="A275">
        <v>9.6217320547034593E-2</v>
      </c>
      <c r="B275" s="70">
        <v>-1.0875504492464101</v>
      </c>
      <c r="C275">
        <v>-1.0478346444322899</v>
      </c>
      <c r="D275">
        <v>0</v>
      </c>
      <c r="E275">
        <v>8.7715531264609806E-2</v>
      </c>
      <c r="F275">
        <v>5.7639026385173796E-4</v>
      </c>
      <c r="G275">
        <f>SQRT(Calcs!J276)</f>
        <v>0.14955889224349986</v>
      </c>
      <c r="H275" s="84">
        <f t="shared" si="16"/>
        <v>-6.1843360978890052E-2</v>
      </c>
      <c r="I275" s="71">
        <f>LN(Calcs!L277/Calcs!L276)</f>
        <v>-3.4368283575712168E-3</v>
      </c>
      <c r="J275" s="76">
        <f t="shared" si="17"/>
        <v>-4.0132186214229546E-3</v>
      </c>
      <c r="K275" s="72">
        <v>1478.34203692353</v>
      </c>
      <c r="L275" s="72">
        <f t="shared" si="18"/>
        <v>1561.1262454166801</v>
      </c>
      <c r="M275" s="75">
        <f t="shared" si="19"/>
        <v>-82.784208493150118</v>
      </c>
    </row>
    <row r="276" spans="1:13" x14ac:dyDescent="0.2">
      <c r="A276">
        <v>-1.39355248523762</v>
      </c>
      <c r="B276" s="70">
        <v>0.314380850423923</v>
      </c>
      <c r="C276">
        <v>0.62525201760809301</v>
      </c>
      <c r="D276">
        <v>0</v>
      </c>
      <c r="E276">
        <v>5.5312432752962798E-2</v>
      </c>
      <c r="F276">
        <v>-4.80170130632888E-3</v>
      </c>
      <c r="G276">
        <f>SQRT(Calcs!J277)</f>
        <v>0.16433177535643256</v>
      </c>
      <c r="H276" s="84">
        <f t="shared" si="16"/>
        <v>-0.10901934260346977</v>
      </c>
      <c r="I276" s="71">
        <f>LN(Calcs!L278/Calcs!L277)</f>
        <v>6.5359853687956869E-3</v>
      </c>
      <c r="J276" s="76">
        <f t="shared" si="17"/>
        <v>1.1337686675124567E-2</v>
      </c>
      <c r="K276" s="72">
        <v>1462.04554091352</v>
      </c>
      <c r="L276" s="72">
        <f t="shared" si="18"/>
        <v>1553.648151639163</v>
      </c>
      <c r="M276" s="75">
        <f t="shared" si="19"/>
        <v>-91.60261072564299</v>
      </c>
    </row>
    <row r="277" spans="1:13" x14ac:dyDescent="0.2">
      <c r="A277">
        <v>1.4018532731597599</v>
      </c>
      <c r="B277" s="70">
        <v>-0.52155903717520602</v>
      </c>
      <c r="C277">
        <v>1.2032905229233299</v>
      </c>
      <c r="D277">
        <v>0</v>
      </c>
      <c r="E277">
        <v>5.9390012315206797E-2</v>
      </c>
      <c r="F277">
        <v>5.2976435808133101E-3</v>
      </c>
      <c r="G277">
        <f>SQRT(Calcs!J278)</f>
        <v>0.15811827988009525</v>
      </c>
      <c r="H277" s="84">
        <f t="shared" si="16"/>
        <v>-9.872826756488845E-2</v>
      </c>
      <c r="I277" s="71">
        <f>LN(Calcs!L279/Calcs!L278)</f>
        <v>5.6559140962050246E-3</v>
      </c>
      <c r="J277" s="76">
        <f t="shared" si="17"/>
        <v>3.5827051539171449E-4</v>
      </c>
      <c r="K277" s="72">
        <v>1480.8057256974</v>
      </c>
      <c r="L277" s="72">
        <f t="shared" si="18"/>
        <v>1561.900665935653</v>
      </c>
      <c r="M277" s="75">
        <f t="shared" si="19"/>
        <v>-81.094940238253002</v>
      </c>
    </row>
    <row r="278" spans="1:13" x14ac:dyDescent="0.2">
      <c r="A278">
        <v>-0.67479655335229605</v>
      </c>
      <c r="B278" s="70">
        <v>0.15909633754338501</v>
      </c>
      <c r="C278">
        <v>-0.64308404398952501</v>
      </c>
      <c r="D278">
        <v>0</v>
      </c>
      <c r="E278">
        <v>4.02465458938535E-2</v>
      </c>
      <c r="F278">
        <v>-1.6540198930744001E-3</v>
      </c>
      <c r="G278">
        <f>SQRT(Calcs!J279)</f>
        <v>0.1408656763159169</v>
      </c>
      <c r="H278" s="84">
        <f t="shared" si="16"/>
        <v>-0.1006191304220634</v>
      </c>
      <c r="I278" s="71">
        <f>LN(Calcs!L280/Calcs!L279)</f>
        <v>-1.5700537976704335E-3</v>
      </c>
      <c r="J278" s="76">
        <f t="shared" si="17"/>
        <v>8.3966095403966616E-5</v>
      </c>
      <c r="K278" s="72">
        <v>1471.06354080242</v>
      </c>
      <c r="L278" s="72">
        <f t="shared" si="18"/>
        <v>1559.319386495446</v>
      </c>
      <c r="M278" s="75">
        <f t="shared" si="19"/>
        <v>-88.255845693026004</v>
      </c>
    </row>
    <row r="279" spans="1:13" x14ac:dyDescent="0.2">
      <c r="A279">
        <v>-1.4423105308497499</v>
      </c>
      <c r="B279" s="70">
        <v>1.81495436154906</v>
      </c>
      <c r="C279">
        <v>0.61293749692752997</v>
      </c>
      <c r="D279">
        <v>0</v>
      </c>
      <c r="E279">
        <v>3.8460545973999498E-2</v>
      </c>
      <c r="F279">
        <v>-3.4373439935369999E-3</v>
      </c>
      <c r="G279">
        <f>SQRT(Calcs!J280)</f>
        <v>0.13962350830836748</v>
      </c>
      <c r="H279" s="84">
        <f t="shared" si="16"/>
        <v>-0.10116296233436797</v>
      </c>
      <c r="I279" s="71">
        <f>LN(Calcs!L281/Calcs!L280)</f>
        <v>8.6959427875972668E-3</v>
      </c>
      <c r="J279" s="76">
        <f t="shared" si="17"/>
        <v>1.2133286781134267E-2</v>
      </c>
      <c r="K279" s="72">
        <v>1228.5171231709101</v>
      </c>
      <c r="L279" s="72">
        <f t="shared" si="18"/>
        <v>1553.9686707619371</v>
      </c>
      <c r="M279" s="75">
        <f t="shared" si="19"/>
        <v>-325.45154759102707</v>
      </c>
    </row>
    <row r="280" spans="1:13" x14ac:dyDescent="0.2">
      <c r="A280">
        <v>-1.0627918213322101</v>
      </c>
      <c r="B280" s="70">
        <v>-0.15481651072201</v>
      </c>
      <c r="C280">
        <v>0.45920739602209099</v>
      </c>
      <c r="D280">
        <v>0</v>
      </c>
      <c r="E280">
        <v>8.2236836381221895E-2</v>
      </c>
      <c r="F280">
        <v>-5.45913939660437E-3</v>
      </c>
      <c r="G280">
        <f>SQRT(Calcs!J281)</f>
        <v>0.12188657086805531</v>
      </c>
      <c r="H280" s="84">
        <f t="shared" si="16"/>
        <v>-3.9649734486833413E-2</v>
      </c>
      <c r="I280" s="71">
        <f>LN(Calcs!L282/Calcs!L281)</f>
        <v>-1.2043489378958593E-2</v>
      </c>
      <c r="J280" s="76">
        <f t="shared" si="17"/>
        <v>-6.5843499823542229E-3</v>
      </c>
      <c r="K280" s="72">
        <v>1213.4922879876799</v>
      </c>
      <c r="L280" s="72">
        <f t="shared" si="18"/>
        <v>1545.5084529355952</v>
      </c>
      <c r="M280" s="75">
        <f t="shared" si="19"/>
        <v>-332.01616494791529</v>
      </c>
    </row>
    <row r="281" spans="1:13" x14ac:dyDescent="0.2">
      <c r="A281">
        <v>0.87234532813100696</v>
      </c>
      <c r="B281" s="70">
        <v>0.27311764594578303</v>
      </c>
      <c r="C281">
        <v>1.2707987071828299</v>
      </c>
      <c r="D281">
        <v>0</v>
      </c>
      <c r="E281">
        <v>7.4950308023900597E-2</v>
      </c>
      <c r="F281">
        <v>4.16756932032769E-3</v>
      </c>
      <c r="G281">
        <f>SQRT(Calcs!J282)</f>
        <v>0.14401637614258092</v>
      </c>
      <c r="H281" s="84">
        <f t="shared" si="16"/>
        <v>-6.9066068118680324E-2</v>
      </c>
      <c r="I281" s="71">
        <f>LN(Calcs!L283/Calcs!L282)</f>
        <v>-7.9310285692594362E-3</v>
      </c>
      <c r="J281" s="76">
        <f t="shared" si="17"/>
        <v>-1.2098597889587125E-2</v>
      </c>
      <c r="K281" s="72">
        <v>1226.0832241964499</v>
      </c>
      <c r="L281" s="72">
        <f t="shared" si="18"/>
        <v>1551.9629068984295</v>
      </c>
      <c r="M281" s="75">
        <f t="shared" si="19"/>
        <v>-325.87968270197962</v>
      </c>
    </row>
    <row r="282" spans="1:13" x14ac:dyDescent="0.2">
      <c r="A282">
        <v>-0.849779718264707</v>
      </c>
      <c r="B282" s="70">
        <v>0.22390405505171901</v>
      </c>
      <c r="C282">
        <v>0.92520158921169504</v>
      </c>
      <c r="D282">
        <v>0</v>
      </c>
      <c r="E282">
        <v>7.8854075211128194E-2</v>
      </c>
      <c r="F282">
        <v>-4.1734801988349904E-3</v>
      </c>
      <c r="G282">
        <f>SQRT(Calcs!J283)</f>
        <v>0.16532409542817206</v>
      </c>
      <c r="H282" s="84">
        <f t="shared" si="16"/>
        <v>-8.6470020217043864E-2</v>
      </c>
      <c r="I282" s="71">
        <f>LN(Calcs!L284/Calcs!L283)</f>
        <v>6.9772429878363672E-3</v>
      </c>
      <c r="J282" s="76">
        <f t="shared" si="17"/>
        <v>1.1150723186671357E-2</v>
      </c>
      <c r="K282" s="72">
        <v>1216.4214451098201</v>
      </c>
      <c r="L282" s="72">
        <f t="shared" si="18"/>
        <v>1545.4993176498967</v>
      </c>
      <c r="M282" s="75">
        <f t="shared" si="19"/>
        <v>-329.07787254007667</v>
      </c>
    </row>
    <row r="283" spans="1:13" x14ac:dyDescent="0.2">
      <c r="A283">
        <v>1.0425798335863601</v>
      </c>
      <c r="B283" s="70">
        <v>-1.00171360756998</v>
      </c>
      <c r="C283">
        <v>-0.59596949652278997</v>
      </c>
      <c r="D283">
        <v>0</v>
      </c>
      <c r="E283">
        <v>8.1579006310166097E-2</v>
      </c>
      <c r="F283">
        <v>5.4046089228891496E-3</v>
      </c>
      <c r="G283">
        <f>SQRT(Calcs!J284)</f>
        <v>0.11479689408975195</v>
      </c>
      <c r="H283" s="84">
        <f t="shared" si="16"/>
        <v>-3.3217887779585856E-2</v>
      </c>
      <c r="I283" s="71">
        <f>LN(Calcs!L285/Calcs!L284)</f>
        <v>3.3532985374036973E-3</v>
      </c>
      <c r="J283" s="76">
        <f t="shared" si="17"/>
        <v>-2.0513103854854524E-3</v>
      </c>
      <c r="K283" s="72">
        <v>1225.82851499354</v>
      </c>
      <c r="L283" s="72">
        <f t="shared" si="18"/>
        <v>1553.8747496325534</v>
      </c>
      <c r="M283" s="75">
        <f t="shared" si="19"/>
        <v>-328.04623463901339</v>
      </c>
    </row>
    <row r="284" spans="1:13" x14ac:dyDescent="0.2">
      <c r="A284">
        <v>1.3345277577179999</v>
      </c>
      <c r="B284" s="70">
        <v>-1.2777037571297001</v>
      </c>
      <c r="C284">
        <v>0.181130149320262</v>
      </c>
      <c r="D284">
        <v>0</v>
      </c>
      <c r="E284">
        <v>5.1082466674175597E-2</v>
      </c>
      <c r="F284">
        <v>4.3491916978375504E-3</v>
      </c>
      <c r="G284">
        <f>SQRT(Calcs!J285)</f>
        <v>9.5882267777252991E-2</v>
      </c>
      <c r="H284" s="84">
        <f t="shared" si="16"/>
        <v>-4.4799801103077394E-2</v>
      </c>
      <c r="I284" s="71">
        <f>LN(Calcs!L286/Calcs!L285)</f>
        <v>1.5546626460339673E-3</v>
      </c>
      <c r="J284" s="76">
        <f t="shared" si="17"/>
        <v>-2.7945290518035831E-3</v>
      </c>
      <c r="K284" s="72">
        <v>1237.73354435693</v>
      </c>
      <c r="L284" s="72">
        <f t="shared" si="18"/>
        <v>1560.6475662561368</v>
      </c>
      <c r="M284" s="75">
        <f t="shared" si="19"/>
        <v>-322.91402189920677</v>
      </c>
    </row>
    <row r="285" spans="1:13" x14ac:dyDescent="0.2">
      <c r="A285">
        <v>1.4240814774199899</v>
      </c>
      <c r="B285" s="70">
        <v>-1.1434642000777999</v>
      </c>
      <c r="C285">
        <v>0.77541439688245695</v>
      </c>
      <c r="D285">
        <v>0</v>
      </c>
      <c r="E285">
        <v>0</v>
      </c>
      <c r="F285">
        <v>6.0001675177823498E-5</v>
      </c>
      <c r="G285">
        <f>SQRT(Calcs!J286)</f>
        <v>8.7829421771443997E-2</v>
      </c>
      <c r="H285" s="84">
        <f t="shared" si="16"/>
        <v>-8.7829421771443997E-2</v>
      </c>
      <c r="I285" s="71">
        <f>LN(Calcs!L287/Calcs!L286)</f>
        <v>-9.5204713570586404E-3</v>
      </c>
      <c r="J285" s="76">
        <f t="shared" si="17"/>
        <v>-9.5804730322364643E-3</v>
      </c>
      <c r="K285" s="72">
        <v>1247.3357688764499</v>
      </c>
      <c r="L285" s="72">
        <f t="shared" si="18"/>
        <v>1560.7412105338531</v>
      </c>
      <c r="M285" s="75">
        <f t="shared" si="19"/>
        <v>-313.40544165740312</v>
      </c>
    </row>
    <row r="286" spans="1:13" x14ac:dyDescent="0.2">
      <c r="A286">
        <v>-0.23610253058689101</v>
      </c>
      <c r="B286" s="70">
        <v>0.88807893188102305</v>
      </c>
      <c r="C286">
        <v>-1.34123977733694</v>
      </c>
      <c r="D286">
        <v>0</v>
      </c>
      <c r="E286">
        <v>1.96068914231965E-2</v>
      </c>
      <c r="F286">
        <v>-2.3237558362681899E-4</v>
      </c>
      <c r="G286">
        <f>SQRT(Calcs!J287)</f>
        <v>0.1225479821753917</v>
      </c>
      <c r="H286" s="84">
        <f t="shared" si="16"/>
        <v>-0.10294109075219521</v>
      </c>
      <c r="I286" s="71">
        <f>LN(Calcs!L288/Calcs!L287)</f>
        <v>3.0316200540859649E-3</v>
      </c>
      <c r="J286" s="76">
        <f t="shared" si="17"/>
        <v>3.2639956377127841E-3</v>
      </c>
      <c r="K286" s="72">
        <v>1246.60760419601</v>
      </c>
      <c r="L286" s="72">
        <f t="shared" si="18"/>
        <v>1560.3785745196744</v>
      </c>
      <c r="M286" s="75">
        <f t="shared" si="19"/>
        <v>-313.77097032366441</v>
      </c>
    </row>
    <row r="287" spans="1:13" x14ac:dyDescent="0.2">
      <c r="A287">
        <v>9.8802135409154404E-2</v>
      </c>
      <c r="B287" s="70">
        <v>-0.94729098866229999</v>
      </c>
      <c r="C287">
        <v>0.66282896386134305</v>
      </c>
      <c r="D287">
        <v>0</v>
      </c>
      <c r="E287">
        <v>3.6330163355358901E-2</v>
      </c>
      <c r="F287">
        <v>2.8349996643283902E-4</v>
      </c>
      <c r="G287">
        <f>SQRT(Calcs!J288)</f>
        <v>0.10841272240444856</v>
      </c>
      <c r="H287" s="84">
        <f t="shared" si="16"/>
        <v>-7.2082559049089667E-2</v>
      </c>
      <c r="I287" s="71">
        <f>LN(Calcs!L289/Calcs!L288)</f>
        <v>1.1721514419240161E-2</v>
      </c>
      <c r="J287" s="76">
        <f t="shared" si="17"/>
        <v>1.1438014452807321E-2</v>
      </c>
      <c r="K287" s="72">
        <v>1246.90607246544</v>
      </c>
      <c r="L287" s="72">
        <f t="shared" si="18"/>
        <v>1560.8210045046528</v>
      </c>
      <c r="M287" s="75">
        <f t="shared" si="19"/>
        <v>-313.91493203921277</v>
      </c>
    </row>
    <row r="288" spans="1:13" x14ac:dyDescent="0.2">
      <c r="A288">
        <v>2.55897716412249E-2</v>
      </c>
      <c r="B288" s="70">
        <v>0.75198127501578704</v>
      </c>
      <c r="C288">
        <v>-0.74409148521842605</v>
      </c>
      <c r="D288">
        <v>0</v>
      </c>
      <c r="E288">
        <v>0</v>
      </c>
      <c r="F288">
        <v>6.0001675177823498E-5</v>
      </c>
      <c r="G288">
        <f>SQRT(Calcs!J289)</f>
        <v>9.2008513191734392E-2</v>
      </c>
      <c r="H288" s="84">
        <f t="shared" si="16"/>
        <v>-9.2008513191734392E-2</v>
      </c>
      <c r="I288" s="71">
        <f>LN(Calcs!L290/Calcs!L289)</f>
        <v>5.3497986452495042E-3</v>
      </c>
      <c r="J288" s="76">
        <f t="shared" si="17"/>
        <v>5.2897969700716804E-3</v>
      </c>
      <c r="K288" s="72">
        <v>1246.98558304572</v>
      </c>
      <c r="L288" s="72">
        <f t="shared" si="18"/>
        <v>1560.9146591892668</v>
      </c>
      <c r="M288" s="75">
        <f t="shared" si="19"/>
        <v>-313.92907614354681</v>
      </c>
    </row>
    <row r="289" spans="1:13" x14ac:dyDescent="0.2">
      <c r="A289">
        <v>0.16263932681031601</v>
      </c>
      <c r="B289" s="70">
        <v>-0.49767260963959198</v>
      </c>
      <c r="C289">
        <v>-0.79559266835953202</v>
      </c>
      <c r="D289">
        <v>0</v>
      </c>
      <c r="E289">
        <v>0</v>
      </c>
      <c r="F289">
        <v>6.0001675177823498E-5</v>
      </c>
      <c r="G289">
        <f>SQRT(Calcs!J290)</f>
        <v>0.10106724088890913</v>
      </c>
      <c r="H289" s="84">
        <f t="shared" si="16"/>
        <v>-0.10106724088890913</v>
      </c>
      <c r="I289" s="71">
        <f>LN(Calcs!L291/Calcs!L290)</f>
        <v>-6.3298742308787624E-3</v>
      </c>
      <c r="J289" s="76">
        <f t="shared" si="17"/>
        <v>-6.3898759060565863E-3</v>
      </c>
      <c r="K289" s="72">
        <v>1247.4065110214301</v>
      </c>
      <c r="L289" s="72">
        <f t="shared" si="18"/>
        <v>1561.0083194934873</v>
      </c>
      <c r="M289" s="75">
        <f t="shared" si="19"/>
        <v>-313.6018084720572</v>
      </c>
    </row>
    <row r="290" spans="1:13" x14ac:dyDescent="0.2">
      <c r="A290">
        <v>0.129896371705361</v>
      </c>
      <c r="B290" s="70">
        <v>-0.93305549523316</v>
      </c>
      <c r="C290">
        <v>1.0312595506806601</v>
      </c>
      <c r="D290">
        <v>0</v>
      </c>
      <c r="E290">
        <v>0</v>
      </c>
      <c r="F290">
        <v>6.0001675177823498E-5</v>
      </c>
      <c r="G290">
        <f>SQRT(Calcs!J291)</f>
        <v>0.12493172690083527</v>
      </c>
      <c r="H290" s="84">
        <f t="shared" si="16"/>
        <v>-0.12493172690083527</v>
      </c>
      <c r="I290" s="71">
        <f>LN(Calcs!L292/Calcs!L291)</f>
        <v>-3.1912012846663546E-3</v>
      </c>
      <c r="J290" s="76">
        <f t="shared" si="17"/>
        <v>-3.251202959844178E-3</v>
      </c>
      <c r="K290" s="72">
        <v>1247.4284289944901</v>
      </c>
      <c r="L290" s="72">
        <f t="shared" si="18"/>
        <v>1561.1019854176516</v>
      </c>
      <c r="M290" s="75">
        <f t="shared" si="19"/>
        <v>-313.67355642316147</v>
      </c>
    </row>
    <row r="291" spans="1:13" x14ac:dyDescent="0.2">
      <c r="A291">
        <v>-1.2156490365566499</v>
      </c>
      <c r="B291" s="70">
        <v>0.64560379507781196</v>
      </c>
      <c r="C291">
        <v>-0.70249216071208997</v>
      </c>
      <c r="D291">
        <v>0</v>
      </c>
      <c r="E291">
        <v>9.7672203077922206E-3</v>
      </c>
      <c r="F291">
        <v>-6.8814855601019098E-4</v>
      </c>
      <c r="G291">
        <f>SQRT(Calcs!J292)</f>
        <v>0.11849855125295422</v>
      </c>
      <c r="H291" s="84">
        <f t="shared" si="16"/>
        <v>-0.10873133094516201</v>
      </c>
      <c r="I291" s="71">
        <f>LN(Calcs!L293/Calcs!L292)</f>
        <v>4.2227948716497144E-3</v>
      </c>
      <c r="J291" s="76">
        <f t="shared" si="17"/>
        <v>4.910943427659905E-3</v>
      </c>
      <c r="K291" s="72">
        <v>1247.4503473526599</v>
      </c>
      <c r="L291" s="72">
        <f t="shared" si="18"/>
        <v>1560.0280848845312</v>
      </c>
      <c r="M291" s="75">
        <f t="shared" si="19"/>
        <v>-312.57773753187121</v>
      </c>
    </row>
    <row r="292" spans="1:13" x14ac:dyDescent="0.2">
      <c r="A292">
        <v>-0.78351238302090198</v>
      </c>
      <c r="B292" s="70">
        <v>-0.56750812646146398</v>
      </c>
      <c r="C292">
        <v>-0.45478227505032598</v>
      </c>
      <c r="D292">
        <v>0</v>
      </c>
      <c r="E292">
        <v>1.4649616036542201E-2</v>
      </c>
      <c r="F292">
        <v>-6.63479977721264E-4</v>
      </c>
      <c r="G292">
        <f>SQRT(Calcs!J293)</f>
        <v>9.5975189735971619E-2</v>
      </c>
      <c r="H292" s="84">
        <f t="shared" si="16"/>
        <v>-8.1325573699429415E-2</v>
      </c>
      <c r="I292" s="71">
        <f>LN(Calcs!L294/Calcs!L293)</f>
        <v>4.8564522299239839E-5</v>
      </c>
      <c r="J292" s="76">
        <f t="shared" si="17"/>
        <v>7.1204450002050384E-4</v>
      </c>
      <c r="K292" s="72">
        <v>1247.4722660959501</v>
      </c>
      <c r="L292" s="72">
        <f t="shared" si="18"/>
        <v>1558.9933807762136</v>
      </c>
      <c r="M292" s="75">
        <f t="shared" si="19"/>
        <v>-311.52111468026351</v>
      </c>
    </row>
    <row r="293" spans="1:13" x14ac:dyDescent="0.2">
      <c r="A293">
        <v>0.16439842930217</v>
      </c>
      <c r="B293" s="70">
        <v>-0.65733384476284695</v>
      </c>
      <c r="C293">
        <v>-1.7734836973397601</v>
      </c>
      <c r="D293">
        <v>0</v>
      </c>
      <c r="E293">
        <v>0</v>
      </c>
      <c r="F293">
        <v>6.0001675177823498E-5</v>
      </c>
      <c r="G293">
        <f>SQRT(Calcs!J294)</f>
        <v>7.1015477439265201E-2</v>
      </c>
      <c r="H293" s="84">
        <f t="shared" si="16"/>
        <v>-7.1015477439265201E-2</v>
      </c>
      <c r="I293" s="71">
        <f>LN(Calcs!L295/Calcs!L294)</f>
        <v>4.9712182464154318E-3</v>
      </c>
      <c r="J293" s="76">
        <f t="shared" si="17"/>
        <v>4.9112165712376079E-3</v>
      </c>
      <c r="K293" s="72">
        <v>1247.5907905256099</v>
      </c>
      <c r="L293" s="72">
        <f t="shared" si="18"/>
        <v>1559.0869257970523</v>
      </c>
      <c r="M293" s="75">
        <f t="shared" si="19"/>
        <v>-311.49613527144243</v>
      </c>
    </row>
    <row r="294" spans="1:13" x14ac:dyDescent="0.2">
      <c r="A294">
        <v>0.63328634497314296</v>
      </c>
      <c r="B294" s="70">
        <v>-0.27353158273497802</v>
      </c>
      <c r="C294">
        <v>1.5704038785157599</v>
      </c>
      <c r="D294">
        <v>0</v>
      </c>
      <c r="E294">
        <v>0</v>
      </c>
      <c r="F294">
        <v>6.0001675177823498E-5</v>
      </c>
      <c r="G294">
        <f>SQRT(Calcs!J295)</f>
        <v>5.9543370415545884E-3</v>
      </c>
      <c r="H294" s="84">
        <f t="shared" si="16"/>
        <v>-5.9543370415545884E-3</v>
      </c>
      <c r="I294" s="71">
        <f>LN(Calcs!L296/Calcs!L295)</f>
        <v>-9.4128956826251969E-5</v>
      </c>
      <c r="J294" s="76">
        <f t="shared" si="17"/>
        <v>-1.5413063200407547E-4</v>
      </c>
      <c r="K294" s="72">
        <v>1247.61271173661</v>
      </c>
      <c r="L294" s="72">
        <f t="shared" si="18"/>
        <v>1559.1804764309175</v>
      </c>
      <c r="M294" s="75">
        <f t="shared" si="19"/>
        <v>-311.56776469430747</v>
      </c>
    </row>
    <row r="295" spans="1:13" x14ac:dyDescent="0.2">
      <c r="A295">
        <v>-0.44543144722001399</v>
      </c>
      <c r="B295" s="70">
        <v>1.3218081788102201</v>
      </c>
      <c r="C295">
        <v>0.32286919461753799</v>
      </c>
      <c r="D295">
        <v>0</v>
      </c>
      <c r="E295">
        <v>0</v>
      </c>
      <c r="F295">
        <v>6.0001675177823498E-5</v>
      </c>
      <c r="G295">
        <f>SQRT(Calcs!J296)</f>
        <v>0</v>
      </c>
      <c r="H295" s="84">
        <f t="shared" si="16"/>
        <v>0</v>
      </c>
      <c r="I295" s="71">
        <f>LN(Calcs!L297/Calcs!L296)</f>
        <v>1.75706491873755E-5</v>
      </c>
      <c r="J295" s="76">
        <f t="shared" si="17"/>
        <v>-4.2431025990447994E-5</v>
      </c>
      <c r="K295" s="72">
        <v>1247.6346333327799</v>
      </c>
      <c r="L295" s="72">
        <f t="shared" si="18"/>
        <v>1559.2740326781457</v>
      </c>
      <c r="M295" s="75">
        <f t="shared" si="19"/>
        <v>-311.63939934536575</v>
      </c>
    </row>
    <row r="296" spans="1:13" x14ac:dyDescent="0.2">
      <c r="A296">
        <v>1.3550552007783001</v>
      </c>
      <c r="B296" s="70">
        <v>-1.10515023441272</v>
      </c>
      <c r="C296">
        <v>-0.71425193834075895</v>
      </c>
      <c r="D296">
        <v>0</v>
      </c>
      <c r="E296">
        <v>2.5986152038202901E-2</v>
      </c>
      <c r="F296">
        <v>2.27685157313527E-3</v>
      </c>
      <c r="G296">
        <f>SQRT(Calcs!J297)</f>
        <v>1.6674234202494628E-2</v>
      </c>
      <c r="H296" s="84">
        <f t="shared" si="16"/>
        <v>9.3119178357082728E-3</v>
      </c>
      <c r="I296" s="71">
        <f>LN(Calcs!L298/Calcs!L297)</f>
        <v>-7.1867821789763726E-4</v>
      </c>
      <c r="J296" s="76">
        <f t="shared" si="17"/>
        <v>-2.9955297910329074E-3</v>
      </c>
      <c r="K296" s="72">
        <v>1247.65655531414</v>
      </c>
      <c r="L296" s="72">
        <f t="shared" si="18"/>
        <v>1562.8283129612601</v>
      </c>
      <c r="M296" s="75">
        <f t="shared" si="19"/>
        <v>-315.1717576471201</v>
      </c>
    </row>
    <row r="297" spans="1:13" x14ac:dyDescent="0.2">
      <c r="A297">
        <v>-0.67313442375221599</v>
      </c>
      <c r="B297" s="70">
        <v>-1.1602160001017801</v>
      </c>
      <c r="C297">
        <v>-0.50729345543917503</v>
      </c>
      <c r="D297">
        <v>0</v>
      </c>
      <c r="E297">
        <v>0</v>
      </c>
      <c r="F297">
        <v>6.0001675177823498E-5</v>
      </c>
      <c r="G297">
        <f>SQRT(Calcs!J298)</f>
        <v>5.9425621249932871E-2</v>
      </c>
      <c r="H297" s="84">
        <f t="shared" si="16"/>
        <v>-5.9425621249932871E-2</v>
      </c>
      <c r="I297" s="71">
        <f>LN(Calcs!L299/Calcs!L298)</f>
        <v>1.1233407862329819E-3</v>
      </c>
      <c r="J297" s="76">
        <f t="shared" si="17"/>
        <v>1.0633391110551585E-3</v>
      </c>
      <c r="K297" s="72">
        <v>1244.9340592920501</v>
      </c>
      <c r="L297" s="72">
        <f t="shared" si="18"/>
        <v>1562.9220880913574</v>
      </c>
      <c r="M297" s="75">
        <f t="shared" si="19"/>
        <v>-317.98802879930736</v>
      </c>
    </row>
    <row r="298" spans="1:13" x14ac:dyDescent="0.2">
      <c r="A298">
        <v>1.38896527467819</v>
      </c>
      <c r="B298" s="70">
        <v>-0.76720139914822605</v>
      </c>
      <c r="C298">
        <v>-2.2525448887181598</v>
      </c>
      <c r="D298">
        <v>0</v>
      </c>
      <c r="E298">
        <v>2.02474423781921E-2</v>
      </c>
      <c r="F298">
        <v>1.8307703886774999E-3</v>
      </c>
      <c r="G298">
        <f>SQRT(Calcs!J299)</f>
        <v>3.3802890458548437E-2</v>
      </c>
      <c r="H298" s="84">
        <f t="shared" si="16"/>
        <v>-1.3555448080356337E-2</v>
      </c>
      <c r="I298" s="71">
        <f>LN(Calcs!L300/Calcs!L299)</f>
        <v>5.4706771359963569E-4</v>
      </c>
      <c r="J298" s="76">
        <f t="shared" si="17"/>
        <v>-1.2837026750778641E-3</v>
      </c>
      <c r="K298" s="72">
        <v>1247.86765969311</v>
      </c>
      <c r="L298" s="72">
        <f t="shared" si="18"/>
        <v>1565.7860604079647</v>
      </c>
      <c r="M298" s="75">
        <f t="shared" si="19"/>
        <v>-317.91840071485467</v>
      </c>
    </row>
    <row r="299" spans="1:13" x14ac:dyDescent="0.2">
      <c r="A299">
        <v>1.41422976170319</v>
      </c>
      <c r="B299" s="70">
        <v>-0.38619283678961602</v>
      </c>
      <c r="C299">
        <v>-0.80261396066108004</v>
      </c>
      <c r="D299">
        <v>0</v>
      </c>
      <c r="E299">
        <v>0</v>
      </c>
      <c r="F299">
        <v>6.0001675177823498E-5</v>
      </c>
      <c r="G299">
        <f>SQRT(Calcs!J300)</f>
        <v>2.246666493775009E-2</v>
      </c>
      <c r="H299" s="84">
        <f t="shared" si="16"/>
        <v>-2.246666493775009E-2</v>
      </c>
      <c r="I299" s="71">
        <f>LN(Calcs!L301/Calcs!L300)</f>
        <v>-5.9120602201075015E-4</v>
      </c>
      <c r="J299" s="76">
        <f t="shared" si="17"/>
        <v>-6.5120769718857369E-4</v>
      </c>
      <c r="K299" s="72">
        <v>1247.8895857689299</v>
      </c>
      <c r="L299" s="72">
        <f t="shared" si="18"/>
        <v>1565.8800130131881</v>
      </c>
      <c r="M299" s="75">
        <f t="shared" si="19"/>
        <v>-317.99042724425817</v>
      </c>
    </row>
    <row r="300" spans="1:13" x14ac:dyDescent="0.2">
      <c r="A300">
        <v>0.790428272251405</v>
      </c>
      <c r="B300" s="70">
        <v>-0.50271179263442001</v>
      </c>
      <c r="C300">
        <v>0.17189240437605499</v>
      </c>
      <c r="D300">
        <v>0</v>
      </c>
      <c r="E300">
        <v>0</v>
      </c>
      <c r="F300">
        <v>6.0001675177823498E-5</v>
      </c>
      <c r="G300">
        <f>SQRT(Calcs!J301)</f>
        <v>0</v>
      </c>
      <c r="H300" s="84">
        <f t="shared" si="16"/>
        <v>0</v>
      </c>
      <c r="I300" s="71">
        <f>LN(Calcs!L302/Calcs!L301)</f>
        <v>1.75706491873755E-5</v>
      </c>
      <c r="J300" s="76">
        <f>I300-F300</f>
        <v>-4.2431025990447994E-5</v>
      </c>
      <c r="K300" s="72">
        <v>1247.91151223001</v>
      </c>
      <c r="L300" s="72">
        <f t="shared" si="18"/>
        <v>1565.9739712558942</v>
      </c>
      <c r="M300" s="75">
        <f t="shared" si="19"/>
        <v>-318.06245902588421</v>
      </c>
    </row>
    <row r="301" spans="1:13" x14ac:dyDescent="0.2">
      <c r="A301">
        <v>0.92494253962378203</v>
      </c>
      <c r="B301" s="70">
        <v>-0.79148173199526595</v>
      </c>
      <c r="C301">
        <v>0.59671666198733497</v>
      </c>
      <c r="D301">
        <v>0</v>
      </c>
      <c r="E301">
        <v>0</v>
      </c>
      <c r="F301">
        <v>6.0001675177823498E-5</v>
      </c>
      <c r="G301">
        <f>SQRT(Calcs!J302)</f>
        <v>2.9798979142509879E-2</v>
      </c>
      <c r="H301" s="84">
        <f t="shared" si="16"/>
        <v>-2.9798979142509879E-2</v>
      </c>
      <c r="I301" s="71">
        <f>LN(Calcs!L303/Calcs!L302)</f>
        <v>-7.4652109771010063E-4</v>
      </c>
      <c r="J301" s="76">
        <f t="shared" si="17"/>
        <v>-8.0652277288792418E-4</v>
      </c>
      <c r="K301" s="72">
        <v>1249.7040497569801</v>
      </c>
      <c r="L301" s="72">
        <f t="shared" si="18"/>
        <v>1566.0679351364215</v>
      </c>
      <c r="M301" s="75">
        <f t="shared" si="19"/>
        <v>-316.3638853794414</v>
      </c>
    </row>
    <row r="302" spans="1:13" x14ac:dyDescent="0.2">
      <c r="A302">
        <v>-1.02643404273289</v>
      </c>
      <c r="B302" s="70">
        <v>-0.47199611162794203</v>
      </c>
      <c r="C302">
        <v>-0.35602196834156302</v>
      </c>
      <c r="D302">
        <v>0</v>
      </c>
      <c r="E302">
        <v>0</v>
      </c>
      <c r="F302">
        <v>6.0001675177823498E-5</v>
      </c>
      <c r="G302">
        <f>SQRT(Calcs!J303)</f>
        <v>9.3515457628830026E-3</v>
      </c>
      <c r="H302" s="84">
        <f t="shared" si="16"/>
        <v>-9.3515457628830026E-3</v>
      </c>
      <c r="I302" s="71">
        <f>LN(Calcs!L304/Calcs!L303)</f>
        <v>-4.2877593802826043E-4</v>
      </c>
      <c r="J302" s="76">
        <f t="shared" si="17"/>
        <v>-4.8877761320608392E-4</v>
      </c>
      <c r="K302" s="72">
        <v>1249.7260080997</v>
      </c>
      <c r="L302" s="72">
        <f t="shared" si="18"/>
        <v>1566.1619046551082</v>
      </c>
      <c r="M302" s="75">
        <f t="shared" si="19"/>
        <v>-316.43589655540814</v>
      </c>
    </row>
    <row r="303" spans="1:13" x14ac:dyDescent="0.2">
      <c r="A303">
        <v>0.382049697119899</v>
      </c>
      <c r="B303" s="70">
        <v>0.88741511585822497</v>
      </c>
      <c r="C303">
        <v>1.5673080128897099</v>
      </c>
      <c r="D303">
        <v>0</v>
      </c>
      <c r="E303">
        <v>0</v>
      </c>
      <c r="F303">
        <v>6.0001675177823498E-5</v>
      </c>
      <c r="G303">
        <f>SQRT(Calcs!J304)</f>
        <v>1.0445630670330542E-2</v>
      </c>
      <c r="H303" s="84">
        <f t="shared" si="16"/>
        <v>-1.0445630670330542E-2</v>
      </c>
      <c r="I303" s="71">
        <f>LN(Calcs!L305/Calcs!L304)</f>
        <v>-1.0935388412316007E-4</v>
      </c>
      <c r="J303" s="76">
        <f t="shared" si="17"/>
        <v>-1.6935555930098356E-4</v>
      </c>
      <c r="K303" s="72">
        <v>1249.7479668282499</v>
      </c>
      <c r="L303" s="72">
        <f t="shared" si="18"/>
        <v>1566.2558798122925</v>
      </c>
      <c r="M303" s="75">
        <f t="shared" si="19"/>
        <v>-316.5079129840426</v>
      </c>
    </row>
    <row r="304" spans="1:13" x14ac:dyDescent="0.2">
      <c r="A304">
        <v>0.56157595902494395</v>
      </c>
      <c r="B304" s="70">
        <v>-0.65846898394355302</v>
      </c>
      <c r="C304">
        <v>-0.56341571942556101</v>
      </c>
      <c r="D304">
        <v>0</v>
      </c>
      <c r="E304">
        <v>6.3588185220025198E-3</v>
      </c>
      <c r="F304">
        <v>2.8487075902375899E-4</v>
      </c>
      <c r="G304">
        <f>SQRT(Calcs!J305)</f>
        <v>0</v>
      </c>
      <c r="H304" s="84">
        <f t="shared" si="16"/>
        <v>6.3588185220025198E-3</v>
      </c>
      <c r="I304" s="71">
        <f>LN(Calcs!L306/Calcs!L305)</f>
        <v>1.75706491873755E-5</v>
      </c>
      <c r="J304" s="76">
        <f t="shared" si="17"/>
        <v>-2.6730010983638347E-4</v>
      </c>
      <c r="K304" s="72">
        <v>1249.7699259426399</v>
      </c>
      <c r="L304" s="72">
        <f t="shared" si="18"/>
        <v>1566.7021238715242</v>
      </c>
      <c r="M304" s="75">
        <f t="shared" si="19"/>
        <v>-316.93219792888431</v>
      </c>
    </row>
    <row r="305" spans="1:13" x14ac:dyDescent="0.2">
      <c r="A305">
        <v>0.76452096562993699</v>
      </c>
      <c r="B305" s="70">
        <v>-0.98886771481784297</v>
      </c>
      <c r="C305">
        <v>-1.1053567841937999</v>
      </c>
      <c r="D305">
        <v>0</v>
      </c>
      <c r="E305">
        <v>0</v>
      </c>
      <c r="F305">
        <v>6.0001675177823498E-5</v>
      </c>
      <c r="G305">
        <f>SQRT(Calcs!J306)</f>
        <v>4.4275981315925396E-2</v>
      </c>
      <c r="H305" s="84">
        <f t="shared" si="16"/>
        <v>-4.4275981315925396E-2</v>
      </c>
      <c r="I305" s="71">
        <f>LN(Calcs!L307/Calcs!L306)</f>
        <v>-2.8357379845964934E-3</v>
      </c>
      <c r="J305" s="76">
        <f t="shared" si="17"/>
        <v>-2.8957396597743168E-3</v>
      </c>
      <c r="K305" s="72">
        <v>1251.2270412545899</v>
      </c>
      <c r="L305" s="72">
        <f t="shared" si="18"/>
        <v>1566.7961314437391</v>
      </c>
      <c r="M305" s="75">
        <f t="shared" si="19"/>
        <v>-315.56909018914916</v>
      </c>
    </row>
    <row r="306" spans="1:13" x14ac:dyDescent="0.2">
      <c r="A306">
        <v>-0.828514948746501</v>
      </c>
      <c r="B306" s="70">
        <v>0.90836750486555895</v>
      </c>
      <c r="C306">
        <v>0.289310073928428</v>
      </c>
      <c r="D306">
        <v>0</v>
      </c>
      <c r="E306">
        <v>1.2897990120720499E-2</v>
      </c>
      <c r="F306">
        <v>-6.1349431619213998E-4</v>
      </c>
      <c r="G306">
        <f>SQRT(Calcs!J307)</f>
        <v>6.3625016366704965E-2</v>
      </c>
      <c r="H306" s="84">
        <f t="shared" si="16"/>
        <v>-5.0727026245984463E-2</v>
      </c>
      <c r="I306" s="71">
        <f>LN(Calcs!L308/Calcs!L307)</f>
        <v>3.512244804838262E-4</v>
      </c>
      <c r="J306" s="76">
        <f t="shared" si="17"/>
        <v>9.6471879667596613E-4</v>
      </c>
      <c r="K306" s="72">
        <v>1251.2490263575501</v>
      </c>
      <c r="L306" s="72">
        <f t="shared" si="18"/>
        <v>1565.8352057138425</v>
      </c>
      <c r="M306" s="75">
        <f t="shared" si="19"/>
        <v>-314.5861793562924</v>
      </c>
    </row>
    <row r="307" spans="1:13" x14ac:dyDescent="0.2">
      <c r="A307">
        <v>-1.0014978324082999</v>
      </c>
      <c r="B307" s="70">
        <v>1.2150279295297399</v>
      </c>
      <c r="C307">
        <v>-0.69524589381382795</v>
      </c>
      <c r="D307">
        <v>0</v>
      </c>
      <c r="E307">
        <v>2.88743626375896E-2</v>
      </c>
      <c r="F307">
        <v>-1.7632908531176801E-3</v>
      </c>
      <c r="G307">
        <f>SQRT(Calcs!J308)</f>
        <v>5.3921907256233054E-2</v>
      </c>
      <c r="H307" s="84">
        <f t="shared" si="16"/>
        <v>-2.5047544618643454E-2</v>
      </c>
      <c r="I307" s="71">
        <f>LN(Calcs!L309/Calcs!L308)</f>
        <v>-2.4785197753901143E-3</v>
      </c>
      <c r="J307" s="76">
        <f t="shared" si="17"/>
        <v>-7.1522892227243425E-4</v>
      </c>
      <c r="K307" s="72">
        <v>1251.0733932806199</v>
      </c>
      <c r="L307" s="72">
        <f t="shared" si="18"/>
        <v>1563.0766156311972</v>
      </c>
      <c r="M307" s="75">
        <f t="shared" si="19"/>
        <v>-312.00322235057729</v>
      </c>
    </row>
    <row r="308" spans="1:13" x14ac:dyDescent="0.2">
      <c r="A308">
        <v>1.4434725833956601</v>
      </c>
      <c r="B308" s="70">
        <v>-0.48847082179053902</v>
      </c>
      <c r="C308">
        <v>0.69318981958935</v>
      </c>
      <c r="D308">
        <v>0</v>
      </c>
      <c r="E308">
        <v>5.5958209452029298E-2</v>
      </c>
      <c r="F308">
        <v>5.1420813523256302E-3</v>
      </c>
      <c r="G308">
        <f>SQRT(Calcs!J309)</f>
        <v>5.016068257484449E-2</v>
      </c>
      <c r="H308" s="84">
        <f t="shared" si="16"/>
        <v>5.7975268771848082E-3</v>
      </c>
      <c r="I308" s="71">
        <f>LN(Calcs!L310/Calcs!L309)</f>
        <v>3.1267738303961362E-3</v>
      </c>
      <c r="J308" s="76">
        <f t="shared" si="17"/>
        <v>-2.015307521929494E-3</v>
      </c>
      <c r="K308" s="72">
        <v>1258.1095523106601</v>
      </c>
      <c r="L308" s="72">
        <f t="shared" si="18"/>
        <v>1571.1347828689418</v>
      </c>
      <c r="M308" s="75">
        <f t="shared" si="19"/>
        <v>-313.02523055828169</v>
      </c>
    </row>
    <row r="309" spans="1:13" x14ac:dyDescent="0.2">
      <c r="A309">
        <v>0.90635491709770599</v>
      </c>
      <c r="B309" s="70">
        <v>-1.3927723693417999</v>
      </c>
      <c r="C309">
        <v>-0.26816440007113401</v>
      </c>
      <c r="D309">
        <v>0</v>
      </c>
      <c r="E309">
        <v>3.7291404969204599E-2</v>
      </c>
      <c r="F309">
        <v>2.1863949606075002E-3</v>
      </c>
      <c r="G309">
        <f>SQRT(Calcs!J310)</f>
        <v>2.7747782508378525E-2</v>
      </c>
      <c r="H309" s="84">
        <f t="shared" si="16"/>
        <v>9.5436224608260734E-3</v>
      </c>
      <c r="I309" s="71">
        <f>LN(Calcs!L311/Calcs!L310)</f>
        <v>-2.8622700402028385E-3</v>
      </c>
      <c r="J309" s="76">
        <f t="shared" si="17"/>
        <v>-5.0486650008103387E-3</v>
      </c>
      <c r="K309" s="72">
        <v>1258.13165834507</v>
      </c>
      <c r="L309" s="72">
        <f t="shared" si="18"/>
        <v>1574.5736620447792</v>
      </c>
      <c r="M309" s="75">
        <f t="shared" si="19"/>
        <v>-316.44200369970918</v>
      </c>
    </row>
    <row r="310" spans="1:13" x14ac:dyDescent="0.2">
      <c r="A310">
        <v>1.84135553294027</v>
      </c>
      <c r="B310" s="70">
        <v>-0.51730034357454602</v>
      </c>
      <c r="C310">
        <v>-1.58057533794509E-2</v>
      </c>
      <c r="D310">
        <v>0</v>
      </c>
      <c r="E310">
        <v>0</v>
      </c>
      <c r="F310">
        <v>6.0001675177823498E-5</v>
      </c>
      <c r="G310">
        <f>SQRT(Calcs!J311)</f>
        <v>5.2481727785335767E-2</v>
      </c>
      <c r="H310" s="84">
        <f t="shared" si="16"/>
        <v>-5.2481727785335767E-2</v>
      </c>
      <c r="I310" s="71">
        <f>LN(Calcs!L312/Calcs!L311)</f>
        <v>-4.0657967865030493E-3</v>
      </c>
      <c r="J310" s="76">
        <f t="shared" si="17"/>
        <v>-4.1257984616808732E-3</v>
      </c>
      <c r="K310" s="72">
        <v>1260.8035772154501</v>
      </c>
      <c r="L310" s="72">
        <f t="shared" si="18"/>
        <v>1574.6681419366405</v>
      </c>
      <c r="M310" s="75">
        <f t="shared" si="19"/>
        <v>-313.86456472119039</v>
      </c>
    </row>
    <row r="311" spans="1:13" x14ac:dyDescent="0.2">
      <c r="A311">
        <v>-1.0398286926176299</v>
      </c>
      <c r="B311" s="70">
        <v>0.52664150726068404</v>
      </c>
      <c r="C311">
        <v>-0.60711441295365798</v>
      </c>
      <c r="D311">
        <v>0</v>
      </c>
      <c r="E311">
        <v>0</v>
      </c>
      <c r="F311">
        <v>6.0001675177823498E-5</v>
      </c>
      <c r="G311">
        <f>SQRT(Calcs!J312)</f>
        <v>7.8293540263490266E-2</v>
      </c>
      <c r="H311" s="84">
        <f t="shared" si="16"/>
        <v>-7.8293540263490266E-2</v>
      </c>
      <c r="I311" s="71">
        <f>LN(Calcs!L313/Calcs!L312)</f>
        <v>-4.0579795470496614E-3</v>
      </c>
      <c r="J311" s="76">
        <f t="shared" si="17"/>
        <v>-4.1179812222274853E-3</v>
      </c>
      <c r="K311" s="72">
        <v>1259.2291697312301</v>
      </c>
      <c r="L311" s="72">
        <f t="shared" si="18"/>
        <v>1574.7626274976235</v>
      </c>
      <c r="M311" s="75">
        <f t="shared" si="19"/>
        <v>-315.53345776639344</v>
      </c>
    </row>
    <row r="312" spans="1:13" x14ac:dyDescent="0.2">
      <c r="A312">
        <v>1.75806436327605</v>
      </c>
      <c r="B312" s="70">
        <v>-1.2339961931160099</v>
      </c>
      <c r="C312">
        <v>-2.2090854611386201</v>
      </c>
      <c r="D312">
        <v>0</v>
      </c>
      <c r="E312">
        <v>0</v>
      </c>
      <c r="F312">
        <v>6.0001675177823498E-5</v>
      </c>
      <c r="G312">
        <f>SQRT(Calcs!J313)</f>
        <v>6.4339070740108834E-2</v>
      </c>
      <c r="H312" s="84">
        <f t="shared" si="16"/>
        <v>-6.4339070740108834E-2</v>
      </c>
      <c r="I312" s="71">
        <f>LN(Calcs!L314/Calcs!L313)</f>
        <v>-3.249637732238058E-3</v>
      </c>
      <c r="J312" s="76">
        <f t="shared" si="17"/>
        <v>-3.3096394074158815E-3</v>
      </c>
      <c r="K312" s="72">
        <v>1259.2512954382601</v>
      </c>
      <c r="L312" s="72">
        <f t="shared" si="18"/>
        <v>1574.8571187280686</v>
      </c>
      <c r="M312" s="75">
        <f t="shared" si="19"/>
        <v>-315.60582328980854</v>
      </c>
    </row>
    <row r="313" spans="1:13" x14ac:dyDescent="0.2">
      <c r="A313">
        <v>-0.44483634683750101</v>
      </c>
      <c r="B313" s="70">
        <v>0.55309695147998195</v>
      </c>
      <c r="C313">
        <v>-0.44594700376586699</v>
      </c>
      <c r="D313">
        <v>0</v>
      </c>
      <c r="E313">
        <v>2.2952431446371699E-2</v>
      </c>
      <c r="F313">
        <v>-5.8421790797298905E-4</v>
      </c>
      <c r="G313">
        <f>SQRT(Calcs!J314)</f>
        <v>0.11514380998057305</v>
      </c>
      <c r="H313" s="84">
        <f t="shared" si="16"/>
        <v>-9.2191378534201354E-2</v>
      </c>
      <c r="I313" s="71">
        <f>LN(Calcs!L315/Calcs!L314)</f>
        <v>3.2334656977588499E-3</v>
      </c>
      <c r="J313" s="76">
        <f t="shared" si="17"/>
        <v>3.8176836057318389E-3</v>
      </c>
      <c r="K313" s="72">
        <v>1258.2783334891701</v>
      </c>
      <c r="L313" s="72">
        <f t="shared" si="18"/>
        <v>1573.9373277021646</v>
      </c>
      <c r="M313" s="75">
        <f t="shared" si="19"/>
        <v>-315.65899421299446</v>
      </c>
    </row>
    <row r="314" spans="1:13" x14ac:dyDescent="0.2">
      <c r="A314">
        <v>0.25930143528871802</v>
      </c>
      <c r="B314" s="70">
        <v>1.0815944430033599</v>
      </c>
      <c r="C314">
        <v>3.65578801487507E-2</v>
      </c>
      <c r="D314">
        <v>0</v>
      </c>
      <c r="E314">
        <v>2.9994799128501899E-2</v>
      </c>
      <c r="F314">
        <v>5.4816527828525105E-4</v>
      </c>
      <c r="G314">
        <f>SQRT(Calcs!J315)</f>
        <v>9.980637420303945E-2</v>
      </c>
      <c r="H314" s="84">
        <f t="shared" si="16"/>
        <v>-6.9811575074537557E-2</v>
      </c>
      <c r="I314" s="71">
        <f>LN(Calcs!L316/Calcs!L315)</f>
        <v>-1.0697839566429194E-2</v>
      </c>
      <c r="J314" s="76">
        <f t="shared" si="17"/>
        <v>-1.1246004844714445E-2</v>
      </c>
      <c r="K314" s="72">
        <v>1259.25417945498</v>
      </c>
      <c r="L314" s="72">
        <f t="shared" si="18"/>
        <v>1574.8003420110369</v>
      </c>
      <c r="M314" s="75">
        <f t="shared" si="19"/>
        <v>-315.54616255605697</v>
      </c>
    </row>
    <row r="315" spans="1:13" x14ac:dyDescent="0.2">
      <c r="A315">
        <v>0.55515483229303797</v>
      </c>
      <c r="B315" s="70">
        <v>-1.09349943631515</v>
      </c>
      <c r="C315">
        <v>-0.35661287233099098</v>
      </c>
      <c r="D315">
        <v>0</v>
      </c>
      <c r="E315">
        <v>5.3464534771173002E-2</v>
      </c>
      <c r="F315">
        <v>1.92406336245706E-3</v>
      </c>
      <c r="G315">
        <f>SQRT(Calcs!J316)</f>
        <v>0.10190106178559642</v>
      </c>
      <c r="H315" s="84">
        <f t="shared" si="16"/>
        <v>-4.8436527014423421E-2</v>
      </c>
      <c r="I315" s="71">
        <f>LN(Calcs!L317/Calcs!L316)</f>
        <v>-4.8930724885873737E-3</v>
      </c>
      <c r="J315" s="76">
        <f t="shared" si="17"/>
        <v>-6.8171358510444339E-3</v>
      </c>
      <c r="K315" s="72">
        <v>1259.2763056014501</v>
      </c>
      <c r="L315" s="72">
        <f t="shared" si="18"/>
        <v>1577.8332744937561</v>
      </c>
      <c r="M315" s="75">
        <f t="shared" si="19"/>
        <v>-318.55696889230603</v>
      </c>
    </row>
    <row r="316" spans="1:13" x14ac:dyDescent="0.2">
      <c r="A316">
        <v>0.65607814960613098</v>
      </c>
      <c r="B316" s="70">
        <v>-0.74474024598571897</v>
      </c>
      <c r="C316">
        <v>1.27765812368525</v>
      </c>
      <c r="D316">
        <v>0</v>
      </c>
      <c r="E316">
        <v>1.2275404721186401E-2</v>
      </c>
      <c r="F316">
        <v>5.6703337240154004E-4</v>
      </c>
      <c r="G316">
        <f>SQRT(Calcs!J317)</f>
        <v>9.3332749958258299E-2</v>
      </c>
      <c r="H316" s="84">
        <f t="shared" si="16"/>
        <v>-8.1057345237071893E-2</v>
      </c>
      <c r="I316" s="71">
        <f>LN(Calcs!L318/Calcs!L317)</f>
        <v>1.711188013046713E-2</v>
      </c>
      <c r="J316" s="76">
        <f t="shared" si="17"/>
        <v>1.6544846758065588E-2</v>
      </c>
      <c r="K316" s="72">
        <v>1259.2984321367001</v>
      </c>
      <c r="L316" s="72">
        <f t="shared" si="18"/>
        <v>1578.7282123223083</v>
      </c>
      <c r="M316" s="75">
        <f t="shared" si="19"/>
        <v>-319.42978018560825</v>
      </c>
    </row>
    <row r="317" spans="1:13" x14ac:dyDescent="0.2">
      <c r="B317" s="67"/>
    </row>
    <row r="318" spans="1:13" x14ac:dyDescent="0.2">
      <c r="B318" s="67"/>
    </row>
    <row r="319" spans="1:13" x14ac:dyDescent="0.2">
      <c r="B319" s="67"/>
    </row>
    <row r="320" spans="1:13" x14ac:dyDescent="0.2">
      <c r="B320" s="67"/>
    </row>
    <row r="321" spans="2:2" x14ac:dyDescent="0.2">
      <c r="B321" s="67"/>
    </row>
    <row r="322" spans="2:2" x14ac:dyDescent="0.2">
      <c r="B322" s="67"/>
    </row>
    <row r="323" spans="2:2" x14ac:dyDescent="0.2">
      <c r="B323" s="67"/>
    </row>
    <row r="324" spans="2:2" x14ac:dyDescent="0.2">
      <c r="B324" s="67"/>
    </row>
    <row r="325" spans="2:2" x14ac:dyDescent="0.2">
      <c r="B325" s="67"/>
    </row>
    <row r="326" spans="2:2" x14ac:dyDescent="0.2">
      <c r="B326" s="67"/>
    </row>
    <row r="327" spans="2:2" x14ac:dyDescent="0.2">
      <c r="B327" s="67"/>
    </row>
    <row r="328" spans="2:2" x14ac:dyDescent="0.2">
      <c r="B328" s="67"/>
    </row>
    <row r="329" spans="2:2" x14ac:dyDescent="0.2">
      <c r="B329" s="67"/>
    </row>
    <row r="330" spans="2:2" x14ac:dyDescent="0.2">
      <c r="B330" s="67"/>
    </row>
    <row r="331" spans="2:2" x14ac:dyDescent="0.2">
      <c r="B331" s="67"/>
    </row>
    <row r="332" spans="2:2" x14ac:dyDescent="0.2">
      <c r="B332" s="67"/>
    </row>
    <row r="333" spans="2:2" x14ac:dyDescent="0.2">
      <c r="B333" s="67"/>
    </row>
    <row r="334" spans="2:2" x14ac:dyDescent="0.2">
      <c r="B334" s="67"/>
    </row>
    <row r="335" spans="2:2" x14ac:dyDescent="0.2">
      <c r="B335" s="67"/>
    </row>
    <row r="336" spans="2:2" x14ac:dyDescent="0.2">
      <c r="B336" s="67"/>
    </row>
    <row r="337" spans="2:2" x14ac:dyDescent="0.2">
      <c r="B337" s="67"/>
    </row>
    <row r="338" spans="2:2" x14ac:dyDescent="0.2">
      <c r="B338" s="67"/>
    </row>
    <row r="339" spans="2:2" x14ac:dyDescent="0.2">
      <c r="B339" s="67"/>
    </row>
    <row r="340" spans="2:2" x14ac:dyDescent="0.2">
      <c r="B340" s="67"/>
    </row>
    <row r="341" spans="2:2" x14ac:dyDescent="0.2">
      <c r="B341" s="67"/>
    </row>
    <row r="342" spans="2:2" x14ac:dyDescent="0.2">
      <c r="B342" s="67"/>
    </row>
    <row r="343" spans="2:2" x14ac:dyDescent="0.2">
      <c r="B343" s="67"/>
    </row>
    <row r="344" spans="2:2" x14ac:dyDescent="0.2">
      <c r="B344" s="67"/>
    </row>
    <row r="345" spans="2:2" x14ac:dyDescent="0.2">
      <c r="B345" s="67"/>
    </row>
    <row r="346" spans="2:2" x14ac:dyDescent="0.2">
      <c r="B346" s="67"/>
    </row>
    <row r="347" spans="2:2" x14ac:dyDescent="0.2">
      <c r="B347" s="67"/>
    </row>
    <row r="348" spans="2:2" x14ac:dyDescent="0.2">
      <c r="B348" s="67"/>
    </row>
    <row r="349" spans="2:2" x14ac:dyDescent="0.2">
      <c r="B349" s="67"/>
    </row>
    <row r="350" spans="2:2" x14ac:dyDescent="0.2">
      <c r="B350" s="67"/>
    </row>
    <row r="351" spans="2:2" x14ac:dyDescent="0.2">
      <c r="B351" s="67"/>
    </row>
    <row r="352" spans="2:2" x14ac:dyDescent="0.2">
      <c r="B352" s="67"/>
    </row>
    <row r="353" spans="2:2" x14ac:dyDescent="0.2">
      <c r="B353" s="67"/>
    </row>
    <row r="354" spans="2:2" x14ac:dyDescent="0.2">
      <c r="B354" s="67"/>
    </row>
    <row r="355" spans="2:2" x14ac:dyDescent="0.2">
      <c r="B355" s="67"/>
    </row>
    <row r="356" spans="2:2" x14ac:dyDescent="0.2">
      <c r="B356" s="67"/>
    </row>
    <row r="357" spans="2:2" x14ac:dyDescent="0.2">
      <c r="B357" s="67"/>
    </row>
    <row r="358" spans="2:2" x14ac:dyDescent="0.2">
      <c r="B358" s="67"/>
    </row>
    <row r="359" spans="2:2" x14ac:dyDescent="0.2">
      <c r="B359" s="67"/>
    </row>
    <row r="360" spans="2:2" x14ac:dyDescent="0.2">
      <c r="B360" s="67"/>
    </row>
    <row r="361" spans="2:2" x14ac:dyDescent="0.2">
      <c r="B361" s="67"/>
    </row>
    <row r="362" spans="2:2" x14ac:dyDescent="0.2">
      <c r="B362" s="67"/>
    </row>
    <row r="363" spans="2:2" x14ac:dyDescent="0.2">
      <c r="B363" s="67"/>
    </row>
    <row r="364" spans="2:2" x14ac:dyDescent="0.2">
      <c r="B364" s="67"/>
    </row>
    <row r="365" spans="2:2" x14ac:dyDescent="0.2">
      <c r="B365" s="67"/>
    </row>
    <row r="366" spans="2:2" x14ac:dyDescent="0.2">
      <c r="B366" s="67"/>
    </row>
    <row r="367" spans="2:2" x14ac:dyDescent="0.2">
      <c r="B367" s="67"/>
    </row>
    <row r="368" spans="2:2" x14ac:dyDescent="0.2">
      <c r="B368" s="67"/>
    </row>
    <row r="369" spans="2:2" x14ac:dyDescent="0.2">
      <c r="B369" s="67"/>
    </row>
    <row r="370" spans="2:2" x14ac:dyDescent="0.2">
      <c r="B370" s="67"/>
    </row>
    <row r="371" spans="2:2" x14ac:dyDescent="0.2">
      <c r="B371" s="67"/>
    </row>
    <row r="372" spans="2:2" x14ac:dyDescent="0.2">
      <c r="B372" s="67"/>
    </row>
    <row r="373" spans="2:2" x14ac:dyDescent="0.2">
      <c r="B373" s="67"/>
    </row>
    <row r="374" spans="2:2" x14ac:dyDescent="0.2">
      <c r="B374" s="67"/>
    </row>
    <row r="375" spans="2:2" x14ac:dyDescent="0.2">
      <c r="B375" s="67"/>
    </row>
    <row r="376" spans="2:2" x14ac:dyDescent="0.2">
      <c r="B376" s="67"/>
    </row>
    <row r="377" spans="2:2" x14ac:dyDescent="0.2">
      <c r="B377" s="67"/>
    </row>
    <row r="378" spans="2:2" x14ac:dyDescent="0.2">
      <c r="B378" s="67"/>
    </row>
    <row r="379" spans="2:2" x14ac:dyDescent="0.2">
      <c r="B379" s="67"/>
    </row>
    <row r="380" spans="2:2" x14ac:dyDescent="0.2">
      <c r="B380" s="6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</vt:lpstr>
      <vt:lpstr>Calcs</vt:lpstr>
      <vt:lpstr>Sheet1</vt:lpstr>
      <vt:lpstr>Alpha</vt:lpstr>
      <vt:lpstr>Delta</vt:lpstr>
      <vt:lpstr>dt</vt:lpstr>
      <vt:lpstr>Eta</vt:lpstr>
      <vt:lpstr>Kappa</vt:lpstr>
      <vt:lpstr>Lambda</vt:lpstr>
      <vt:lpstr>Rho</vt:lpstr>
      <vt:lpstr>S</vt:lpstr>
      <vt:lpstr>Sigma.SPX</vt:lpstr>
      <vt:lpstr>Theta</vt:lpstr>
    </vt:vector>
  </TitlesOfParts>
  <Company>AIG SunAmerica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Liu, Lisa</cp:lastModifiedBy>
  <cp:lastPrinted>2013-04-11T22:40:37Z</cp:lastPrinted>
  <dcterms:created xsi:type="dcterms:W3CDTF">2004-12-15T15:06:42Z</dcterms:created>
  <dcterms:modified xsi:type="dcterms:W3CDTF">2013-07-30T15:27:44Z</dcterms:modified>
  <cp:contentStatus/>
</cp:coreProperties>
</file>