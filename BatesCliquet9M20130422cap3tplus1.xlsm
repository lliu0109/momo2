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60" windowWidth="7545" windowHeight="4980" activeTab="1"/>
  </bookViews>
  <sheets>
    <sheet name="Input" sheetId="1" r:id="rId1"/>
    <sheet name="Calcs" sheetId="5" r:id="rId2"/>
    <sheet name="Sheet1" sheetId="6" r:id="rId3"/>
  </sheets>
  <functionGroups builtInGroupCount="17"/>
  <definedNames>
    <definedName name="Alpha">Input!$B$14</definedName>
    <definedName name="Delta">Input!$B$15</definedName>
    <definedName name="dt">Input!$B$6</definedName>
    <definedName name="Eta">Input!$B$10</definedName>
    <definedName name="Kappa">Input!$B$7</definedName>
    <definedName name="Lambda">Input!$B$13</definedName>
    <definedName name="Rho">Input!$B$9</definedName>
    <definedName name="S">Input!$B$12</definedName>
    <definedName name="Sigma.SPX">Input!$B$8</definedName>
    <definedName name="Theta">Input!$B$11</definedName>
  </definedNames>
  <calcPr calcId="145621" calcOnSave="0"/>
</workbook>
</file>

<file path=xl/calcChain.xml><?xml version="1.0" encoding="utf-8"?>
<calcChain xmlns="http://schemas.openxmlformats.org/spreadsheetml/2006/main">
  <c r="N13" i="5" l="1"/>
  <c r="N12" i="5"/>
  <c r="N11" i="5"/>
  <c r="N10" i="5"/>
  <c r="N9" i="5"/>
  <c r="N8" i="5"/>
  <c r="N7" i="5"/>
  <c r="N6" i="5"/>
  <c r="N5" i="5"/>
  <c r="N4" i="5"/>
  <c r="Q1" i="5"/>
  <c r="T1" i="5" l="1"/>
  <c r="I5" i="5" l="1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4" i="5"/>
  <c r="L2" i="6" l="1"/>
  <c r="L3" i="6" s="1"/>
  <c r="L4" i="6" s="1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L78" i="6" s="1"/>
  <c r="L79" i="6" s="1"/>
  <c r="L80" i="6" s="1"/>
  <c r="L81" i="6" s="1"/>
  <c r="L82" i="6" s="1"/>
  <c r="L83" i="6" s="1"/>
  <c r="L84" i="6" s="1"/>
  <c r="L85" i="6" s="1"/>
  <c r="L86" i="6" s="1"/>
  <c r="L87" i="6" s="1"/>
  <c r="L88" i="6" s="1"/>
  <c r="L89" i="6" s="1"/>
  <c r="L90" i="6" s="1"/>
  <c r="L91" i="6" s="1"/>
  <c r="L92" i="6" s="1"/>
  <c r="L93" i="6" s="1"/>
  <c r="L94" i="6" s="1"/>
  <c r="L95" i="6" s="1"/>
  <c r="L96" i="6" s="1"/>
  <c r="L97" i="6" s="1"/>
  <c r="L98" i="6" s="1"/>
  <c r="L99" i="6" s="1"/>
  <c r="L100" i="6" s="1"/>
  <c r="L101" i="6" s="1"/>
  <c r="L102" i="6" s="1"/>
  <c r="L103" i="6" s="1"/>
  <c r="L104" i="6" s="1"/>
  <c r="L105" i="6" s="1"/>
  <c r="L106" i="6" s="1"/>
  <c r="L107" i="6" s="1"/>
  <c r="L108" i="6" s="1"/>
  <c r="L109" i="6" s="1"/>
  <c r="L110" i="6" s="1"/>
  <c r="L111" i="6" s="1"/>
  <c r="L112" i="6" s="1"/>
  <c r="L113" i="6" s="1"/>
  <c r="L114" i="6" s="1"/>
  <c r="L115" i="6" s="1"/>
  <c r="L116" i="6" s="1"/>
  <c r="L117" i="6" s="1"/>
  <c r="L118" i="6" s="1"/>
  <c r="L119" i="6" s="1"/>
  <c r="L120" i="6" s="1"/>
  <c r="L121" i="6" s="1"/>
  <c r="L122" i="6" s="1"/>
  <c r="L123" i="6" s="1"/>
  <c r="L124" i="6" s="1"/>
  <c r="L125" i="6" s="1"/>
  <c r="L126" i="6" s="1"/>
  <c r="L127" i="6" s="1"/>
  <c r="L128" i="6" s="1"/>
  <c r="L129" i="6" s="1"/>
  <c r="L130" i="6" s="1"/>
  <c r="L131" i="6" s="1"/>
  <c r="L132" i="6" s="1"/>
  <c r="L133" i="6" s="1"/>
  <c r="L134" i="6" s="1"/>
  <c r="L135" i="6" s="1"/>
  <c r="L136" i="6" s="1"/>
  <c r="L137" i="6" s="1"/>
  <c r="L138" i="6" s="1"/>
  <c r="L139" i="6" s="1"/>
  <c r="L140" i="6" s="1"/>
  <c r="L141" i="6" s="1"/>
  <c r="L142" i="6" s="1"/>
  <c r="L143" i="6" s="1"/>
  <c r="L144" i="6" s="1"/>
  <c r="L145" i="6" s="1"/>
  <c r="L146" i="6" s="1"/>
  <c r="L147" i="6" s="1"/>
  <c r="L148" i="6" s="1"/>
  <c r="L149" i="6" s="1"/>
  <c r="L150" i="6" s="1"/>
  <c r="L151" i="6" s="1"/>
  <c r="L152" i="6" s="1"/>
  <c r="L153" i="6" s="1"/>
  <c r="L154" i="6" s="1"/>
  <c r="L155" i="6" s="1"/>
  <c r="L156" i="6" s="1"/>
  <c r="L157" i="6" s="1"/>
  <c r="L158" i="6" s="1"/>
  <c r="L159" i="6" s="1"/>
  <c r="L160" i="6" s="1"/>
  <c r="L161" i="6" s="1"/>
  <c r="L162" i="6" s="1"/>
  <c r="L163" i="6" s="1"/>
  <c r="L164" i="6" s="1"/>
  <c r="L165" i="6" s="1"/>
  <c r="L166" i="6" s="1"/>
  <c r="L167" i="6" s="1"/>
  <c r="L168" i="6" s="1"/>
  <c r="L169" i="6" s="1"/>
  <c r="L170" i="6" s="1"/>
  <c r="L171" i="6" s="1"/>
  <c r="L172" i="6" s="1"/>
  <c r="L173" i="6" s="1"/>
  <c r="L174" i="6" s="1"/>
  <c r="L175" i="6" s="1"/>
  <c r="L176" i="6" s="1"/>
  <c r="L177" i="6" s="1"/>
  <c r="L178" i="6" s="1"/>
  <c r="L179" i="6" s="1"/>
  <c r="L180" i="6" s="1"/>
  <c r="L181" i="6" s="1"/>
  <c r="L182" i="6" s="1"/>
  <c r="L183" i="6" s="1"/>
  <c r="L184" i="6" s="1"/>
  <c r="L185" i="6" s="1"/>
  <c r="L186" i="6" s="1"/>
  <c r="L187" i="6" s="1"/>
  <c r="L188" i="6" s="1"/>
  <c r="L189" i="6" s="1"/>
  <c r="L190" i="6" s="1"/>
  <c r="L191" i="6" s="1"/>
  <c r="L192" i="6" s="1"/>
  <c r="L193" i="6" s="1"/>
  <c r="L194" i="6" s="1"/>
  <c r="L195" i="6" s="1"/>
  <c r="L196" i="6" s="1"/>
  <c r="L197" i="6" s="1"/>
  <c r="L198" i="6" s="1"/>
  <c r="L199" i="6" s="1"/>
  <c r="L200" i="6" s="1"/>
  <c r="L201" i="6" s="1"/>
  <c r="L202" i="6" s="1"/>
  <c r="L203" i="6" s="1"/>
  <c r="L204" i="6" s="1"/>
  <c r="L205" i="6" s="1"/>
  <c r="L206" i="6" s="1"/>
  <c r="L207" i="6" s="1"/>
  <c r="L208" i="6" s="1"/>
  <c r="L209" i="6" s="1"/>
  <c r="L210" i="6" s="1"/>
  <c r="L211" i="6" s="1"/>
  <c r="L212" i="6" s="1"/>
  <c r="L213" i="6" s="1"/>
  <c r="L214" i="6" s="1"/>
  <c r="L215" i="6" s="1"/>
  <c r="L216" i="6" s="1"/>
  <c r="L217" i="6" s="1"/>
  <c r="L218" i="6" s="1"/>
  <c r="L219" i="6" s="1"/>
  <c r="L220" i="6" s="1"/>
  <c r="L221" i="6" s="1"/>
  <c r="L222" i="6" s="1"/>
  <c r="L223" i="6" s="1"/>
  <c r="L224" i="6" s="1"/>
  <c r="L225" i="6" s="1"/>
  <c r="L226" i="6" s="1"/>
  <c r="L227" i="6" s="1"/>
  <c r="L228" i="6" s="1"/>
  <c r="L229" i="6" s="1"/>
  <c r="L230" i="6" s="1"/>
  <c r="L231" i="6" s="1"/>
  <c r="L232" i="6" s="1"/>
  <c r="L233" i="6" s="1"/>
  <c r="L234" i="6" s="1"/>
  <c r="L235" i="6" s="1"/>
  <c r="L236" i="6" s="1"/>
  <c r="L237" i="6" s="1"/>
  <c r="L238" i="6" s="1"/>
  <c r="L239" i="6" s="1"/>
  <c r="L240" i="6" s="1"/>
  <c r="L241" i="6" s="1"/>
  <c r="L242" i="6" s="1"/>
  <c r="L243" i="6" s="1"/>
  <c r="L244" i="6" s="1"/>
  <c r="L245" i="6" s="1"/>
  <c r="L246" i="6" s="1"/>
  <c r="L247" i="6" s="1"/>
  <c r="L248" i="6" s="1"/>
  <c r="L249" i="6" s="1"/>
  <c r="L250" i="6" s="1"/>
  <c r="L251" i="6" s="1"/>
  <c r="L252" i="6" s="1"/>
  <c r="L253" i="6" s="1"/>
  <c r="L254" i="6" s="1"/>
  <c r="L255" i="6" s="1"/>
  <c r="L256" i="6" s="1"/>
  <c r="L257" i="6" s="1"/>
  <c r="L258" i="6" s="1"/>
  <c r="L259" i="6" s="1"/>
  <c r="L260" i="6" s="1"/>
  <c r="L261" i="6" s="1"/>
  <c r="L262" i="6" s="1"/>
  <c r="L263" i="6" s="1"/>
  <c r="L264" i="6" s="1"/>
  <c r="L265" i="6" s="1"/>
  <c r="L266" i="6" s="1"/>
  <c r="L267" i="6" s="1"/>
  <c r="L268" i="6" s="1"/>
  <c r="L269" i="6" s="1"/>
  <c r="L270" i="6" s="1"/>
  <c r="L271" i="6" s="1"/>
  <c r="L272" i="6" s="1"/>
  <c r="L273" i="6" s="1"/>
  <c r="L274" i="6" s="1"/>
  <c r="L275" i="6" s="1"/>
  <c r="L276" i="6" s="1"/>
  <c r="L277" i="6" s="1"/>
  <c r="L278" i="6" s="1"/>
  <c r="L279" i="6" s="1"/>
  <c r="L280" i="6" s="1"/>
  <c r="L281" i="6" s="1"/>
  <c r="L282" i="6" s="1"/>
  <c r="L283" i="6" s="1"/>
  <c r="L284" i="6" s="1"/>
  <c r="L285" i="6" s="1"/>
  <c r="L286" i="6" s="1"/>
  <c r="L287" i="6" s="1"/>
  <c r="L288" i="6" s="1"/>
  <c r="L289" i="6" s="1"/>
  <c r="L290" i="6" s="1"/>
  <c r="L291" i="6" s="1"/>
  <c r="L292" i="6" s="1"/>
  <c r="L293" i="6" s="1"/>
  <c r="L294" i="6" s="1"/>
  <c r="L295" i="6" s="1"/>
  <c r="L296" i="6" s="1"/>
  <c r="L297" i="6" s="1"/>
  <c r="L298" i="6" s="1"/>
  <c r="L299" i="6" s="1"/>
  <c r="L300" i="6" s="1"/>
  <c r="L301" i="6" s="1"/>
  <c r="L302" i="6" s="1"/>
  <c r="L303" i="6" s="1"/>
  <c r="L304" i="6" s="1"/>
  <c r="L305" i="6" s="1"/>
  <c r="L306" i="6" s="1"/>
  <c r="L307" i="6" s="1"/>
  <c r="L308" i="6" s="1"/>
  <c r="L309" i="6" s="1"/>
  <c r="L310" i="6" s="1"/>
  <c r="L311" i="6" s="1"/>
  <c r="L312" i="6" s="1"/>
  <c r="L313" i="6" s="1"/>
  <c r="L314" i="6" s="1"/>
  <c r="L315" i="6" s="1"/>
  <c r="L316" i="6" s="1"/>
  <c r="S6" i="5"/>
  <c r="S7" i="5"/>
  <c r="S8" i="5"/>
  <c r="S9" i="5"/>
  <c r="S10" i="5"/>
  <c r="S11" i="5"/>
  <c r="S12" i="5"/>
  <c r="S13" i="5"/>
  <c r="S14" i="5"/>
  <c r="S15" i="5"/>
  <c r="S16" i="5"/>
  <c r="S5" i="5"/>
  <c r="S17" i="5" s="1"/>
  <c r="Y14" i="5" l="1"/>
  <c r="Y15" i="5"/>
  <c r="Z15" i="5" s="1"/>
  <c r="Y13" i="5"/>
  <c r="Z14" i="5" s="1"/>
  <c r="Y12" i="5"/>
  <c r="Y11" i="5"/>
  <c r="Y10" i="5"/>
  <c r="Y9" i="5"/>
  <c r="Y8" i="5"/>
  <c r="Y7" i="5"/>
  <c r="Y6" i="5"/>
  <c r="Y5" i="5"/>
  <c r="Z5" i="5" s="1"/>
  <c r="T26" i="5"/>
  <c r="T27" i="5" s="1"/>
  <c r="T28" i="5" s="1"/>
  <c r="T29" i="5" s="1"/>
  <c r="T30" i="5" s="1"/>
  <c r="T31" i="5" s="1"/>
  <c r="T32" i="5" s="1"/>
  <c r="T33" i="5" s="1"/>
  <c r="T34" i="5" s="1"/>
  <c r="T35" i="5" s="1"/>
  <c r="T36" i="5" s="1"/>
  <c r="T37" i="5" s="1"/>
  <c r="T38" i="5" s="1"/>
  <c r="T39" i="5" s="1"/>
  <c r="T40" i="5" s="1"/>
  <c r="T41" i="5" s="1"/>
  <c r="T42" i="5" s="1"/>
  <c r="T43" i="5" s="1"/>
  <c r="T44" i="5" s="1"/>
  <c r="T45" i="5" s="1"/>
  <c r="T46" i="5" s="1"/>
  <c r="T47" i="5" s="1"/>
  <c r="T48" i="5" s="1"/>
  <c r="T49" i="5" s="1"/>
  <c r="T50" i="5" s="1"/>
  <c r="T51" i="5" s="1"/>
  <c r="T52" i="5" s="1"/>
  <c r="T53" i="5" s="1"/>
  <c r="T54" i="5" s="1"/>
  <c r="T55" i="5" s="1"/>
  <c r="T56" i="5" s="1"/>
  <c r="T57" i="5" s="1"/>
  <c r="T58" i="5" s="1"/>
  <c r="T59" i="5" s="1"/>
  <c r="T60" i="5" s="1"/>
  <c r="T61" i="5" s="1"/>
  <c r="T62" i="5" s="1"/>
  <c r="T63" i="5" s="1"/>
  <c r="T64" i="5" s="1"/>
  <c r="T65" i="5" s="1"/>
  <c r="T66" i="5" s="1"/>
  <c r="T67" i="5" s="1"/>
  <c r="T68" i="5" s="1"/>
  <c r="T69" i="5" s="1"/>
  <c r="T70" i="5" s="1"/>
  <c r="T71" i="5" s="1"/>
  <c r="T72" i="5" s="1"/>
  <c r="T73" i="5" s="1"/>
  <c r="T74" i="5" s="1"/>
  <c r="T75" i="5" s="1"/>
  <c r="T76" i="5" s="1"/>
  <c r="T77" i="5" s="1"/>
  <c r="T78" i="5" s="1"/>
  <c r="T79" i="5" s="1"/>
  <c r="T80" i="5" s="1"/>
  <c r="T81" i="5" s="1"/>
  <c r="T82" i="5" s="1"/>
  <c r="T83" i="5" s="1"/>
  <c r="T84" i="5" s="1"/>
  <c r="T85" i="5" s="1"/>
  <c r="T86" i="5" s="1"/>
  <c r="T87" i="5" s="1"/>
  <c r="T88" i="5" s="1"/>
  <c r="T89" i="5" s="1"/>
  <c r="T90" i="5" s="1"/>
  <c r="T91" i="5" s="1"/>
  <c r="T92" i="5" s="1"/>
  <c r="T93" i="5" s="1"/>
  <c r="T94" i="5" s="1"/>
  <c r="T95" i="5" s="1"/>
  <c r="T96" i="5" s="1"/>
  <c r="T97" i="5" s="1"/>
  <c r="T98" i="5" s="1"/>
  <c r="T99" i="5" s="1"/>
  <c r="T100" i="5" s="1"/>
  <c r="T101" i="5" s="1"/>
  <c r="T102" i="5" s="1"/>
  <c r="T103" i="5" s="1"/>
  <c r="T104" i="5" s="1"/>
  <c r="T105" i="5" s="1"/>
  <c r="T106" i="5" s="1"/>
  <c r="T107" i="5" s="1"/>
  <c r="T108" i="5" s="1"/>
  <c r="T109" i="5" s="1"/>
  <c r="T110" i="5" s="1"/>
  <c r="T111" i="5" s="1"/>
  <c r="T112" i="5" s="1"/>
  <c r="T113" i="5" s="1"/>
  <c r="T114" i="5" s="1"/>
  <c r="T115" i="5" s="1"/>
  <c r="T116" i="5" s="1"/>
  <c r="T117" i="5" s="1"/>
  <c r="T118" i="5" s="1"/>
  <c r="T119" i="5" s="1"/>
  <c r="T120" i="5" s="1"/>
  <c r="T121" i="5" s="1"/>
  <c r="T122" i="5" s="1"/>
  <c r="T123" i="5" s="1"/>
  <c r="T124" i="5" s="1"/>
  <c r="T125" i="5" s="1"/>
  <c r="T126" i="5" s="1"/>
  <c r="T127" i="5" s="1"/>
  <c r="T128" i="5" s="1"/>
  <c r="T129" i="5" s="1"/>
  <c r="T130" i="5" s="1"/>
  <c r="T131" i="5" s="1"/>
  <c r="T132" i="5" s="1"/>
  <c r="T133" i="5" s="1"/>
  <c r="T134" i="5" s="1"/>
  <c r="T135" i="5" s="1"/>
  <c r="T136" i="5" s="1"/>
  <c r="T137" i="5" s="1"/>
  <c r="T138" i="5" s="1"/>
  <c r="T139" i="5" s="1"/>
  <c r="T140" i="5" s="1"/>
  <c r="T141" i="5" s="1"/>
  <c r="T142" i="5" s="1"/>
  <c r="T143" i="5" s="1"/>
  <c r="T144" i="5" s="1"/>
  <c r="T145" i="5" s="1"/>
  <c r="T146" i="5" s="1"/>
  <c r="T147" i="5" s="1"/>
  <c r="T148" i="5" s="1"/>
  <c r="T149" i="5" s="1"/>
  <c r="T150" i="5" s="1"/>
  <c r="T151" i="5" s="1"/>
  <c r="T152" i="5" s="1"/>
  <c r="T153" i="5" s="1"/>
  <c r="T154" i="5" s="1"/>
  <c r="T155" i="5" s="1"/>
  <c r="T156" i="5" s="1"/>
  <c r="T157" i="5" s="1"/>
  <c r="T158" i="5" s="1"/>
  <c r="T159" i="5" s="1"/>
  <c r="T160" i="5" s="1"/>
  <c r="T161" i="5" s="1"/>
  <c r="T162" i="5" s="1"/>
  <c r="T163" i="5" s="1"/>
  <c r="T164" i="5" s="1"/>
  <c r="T165" i="5" s="1"/>
  <c r="T166" i="5" s="1"/>
  <c r="T167" i="5" s="1"/>
  <c r="T168" i="5" s="1"/>
  <c r="T169" i="5" s="1"/>
  <c r="T170" i="5" s="1"/>
  <c r="T171" i="5" s="1"/>
  <c r="T172" i="5" s="1"/>
  <c r="T173" i="5" s="1"/>
  <c r="T174" i="5" s="1"/>
  <c r="T175" i="5" s="1"/>
  <c r="T176" i="5" s="1"/>
  <c r="T177" i="5" s="1"/>
  <c r="T178" i="5" s="1"/>
  <c r="T179" i="5" s="1"/>
  <c r="T180" i="5" s="1"/>
  <c r="T181" i="5" s="1"/>
  <c r="T182" i="5" s="1"/>
  <c r="T183" i="5" s="1"/>
  <c r="T184" i="5" s="1"/>
  <c r="T185" i="5" s="1"/>
  <c r="T186" i="5" s="1"/>
  <c r="T187" i="5" s="1"/>
  <c r="T188" i="5" s="1"/>
  <c r="T189" i="5" s="1"/>
  <c r="T190" i="5" s="1"/>
  <c r="T191" i="5" s="1"/>
  <c r="T192" i="5" s="1"/>
  <c r="T193" i="5" s="1"/>
  <c r="T194" i="5" s="1"/>
  <c r="T195" i="5" s="1"/>
  <c r="T196" i="5" s="1"/>
  <c r="T197" i="5" s="1"/>
  <c r="T198" i="5" s="1"/>
  <c r="T199" i="5" s="1"/>
  <c r="T200" i="5" s="1"/>
  <c r="T201" i="5" s="1"/>
  <c r="T202" i="5" s="1"/>
  <c r="T203" i="5" s="1"/>
  <c r="T204" i="5" s="1"/>
  <c r="T205" i="5" s="1"/>
  <c r="T206" i="5" s="1"/>
  <c r="T207" i="5" s="1"/>
  <c r="T208" i="5" s="1"/>
  <c r="T209" i="5" s="1"/>
  <c r="T210" i="5" s="1"/>
  <c r="T211" i="5" s="1"/>
  <c r="T212" i="5" s="1"/>
  <c r="T213" i="5" s="1"/>
  <c r="T214" i="5" s="1"/>
  <c r="T215" i="5" s="1"/>
  <c r="T216" i="5" s="1"/>
  <c r="T217" i="5" s="1"/>
  <c r="T218" i="5" s="1"/>
  <c r="T219" i="5" s="1"/>
  <c r="T220" i="5" s="1"/>
  <c r="T221" i="5" s="1"/>
  <c r="T222" i="5" s="1"/>
  <c r="T223" i="5" s="1"/>
  <c r="T224" i="5" s="1"/>
  <c r="T225" i="5" s="1"/>
  <c r="T226" i="5" s="1"/>
  <c r="T227" i="5" s="1"/>
  <c r="T228" i="5" s="1"/>
  <c r="T229" i="5" s="1"/>
  <c r="T230" i="5" s="1"/>
  <c r="T231" i="5" s="1"/>
  <c r="T232" i="5" s="1"/>
  <c r="T233" i="5" s="1"/>
  <c r="T234" i="5" s="1"/>
  <c r="T235" i="5" s="1"/>
  <c r="T236" i="5" s="1"/>
  <c r="T237" i="5" s="1"/>
  <c r="T238" i="5" s="1"/>
  <c r="T239" i="5" s="1"/>
  <c r="T240" i="5" s="1"/>
  <c r="T241" i="5" s="1"/>
  <c r="T242" i="5" s="1"/>
  <c r="T243" i="5" s="1"/>
  <c r="T244" i="5" s="1"/>
  <c r="T245" i="5" s="1"/>
  <c r="T246" i="5" s="1"/>
  <c r="T247" i="5" s="1"/>
  <c r="T248" i="5" s="1"/>
  <c r="T249" i="5" s="1"/>
  <c r="T250" i="5" s="1"/>
  <c r="T251" i="5" s="1"/>
  <c r="T252" i="5" s="1"/>
  <c r="T253" i="5" s="1"/>
  <c r="T254" i="5" s="1"/>
  <c r="T255" i="5" s="1"/>
  <c r="Y4" i="5"/>
  <c r="X16" i="5"/>
  <c r="X15" i="5"/>
  <c r="X14" i="5"/>
  <c r="X13" i="5"/>
  <c r="X12" i="5"/>
  <c r="X11" i="5"/>
  <c r="X10" i="5"/>
  <c r="X9" i="5"/>
  <c r="X8" i="5"/>
  <c r="X7" i="5"/>
  <c r="X6" i="5"/>
  <c r="Z12" i="5" l="1"/>
  <c r="Z6" i="5"/>
  <c r="Z7" i="5"/>
  <c r="Z8" i="5"/>
  <c r="Z11" i="5"/>
  <c r="Z13" i="5"/>
  <c r="Z9" i="5"/>
  <c r="Z10" i="5"/>
  <c r="Q2" i="5" l="1"/>
  <c r="P2" i="5"/>
  <c r="M16" i="5" l="1"/>
  <c r="M15" i="5"/>
  <c r="M14" i="5"/>
  <c r="J3" i="5" l="1"/>
  <c r="G2" i="6" s="1"/>
  <c r="H2" i="6" s="1"/>
  <c r="L3" i="5"/>
  <c r="M3" i="5"/>
  <c r="A4" i="5"/>
  <c r="A5" i="5" l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B6" i="1"/>
  <c r="O16" i="5" s="1"/>
  <c r="O12" i="5" l="1"/>
  <c r="O11" i="5"/>
  <c r="O10" i="5"/>
  <c r="O9" i="5"/>
  <c r="O8" i="5"/>
  <c r="O6" i="5"/>
  <c r="O5" i="5"/>
  <c r="O15" i="5"/>
  <c r="O14" i="5"/>
  <c r="O13" i="5"/>
  <c r="O7" i="5"/>
  <c r="B4" i="5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O4" i="5"/>
  <c r="J4" i="5"/>
  <c r="G3" i="6" s="1"/>
  <c r="H3" i="6" s="1"/>
  <c r="K4" i="5"/>
  <c r="L4" i="5" s="1"/>
  <c r="I2" i="6" l="1"/>
  <c r="J5" i="5"/>
  <c r="G4" i="6" s="1"/>
  <c r="H4" i="6" s="1"/>
  <c r="K5" i="5"/>
  <c r="L5" i="5" s="1"/>
  <c r="I3" i="6" s="1"/>
  <c r="J3" i="6" l="1"/>
  <c r="J2" i="6"/>
  <c r="K2" i="6"/>
  <c r="J6" i="5"/>
  <c r="G5" i="6" s="1"/>
  <c r="H5" i="6" s="1"/>
  <c r="K6" i="5"/>
  <c r="L6" i="5" s="1"/>
  <c r="I4" i="6" s="1"/>
  <c r="K3" i="6" l="1"/>
  <c r="M3" i="6" s="1"/>
  <c r="M2" i="6"/>
  <c r="J4" i="6"/>
  <c r="J7" i="5"/>
  <c r="G6" i="6" s="1"/>
  <c r="H6" i="6" s="1"/>
  <c r="K7" i="5"/>
  <c r="L7" i="5" s="1"/>
  <c r="I5" i="6" s="1"/>
  <c r="K4" i="6" l="1"/>
  <c r="M4" i="6" s="1"/>
  <c r="J5" i="6"/>
  <c r="J8" i="5"/>
  <c r="G7" i="6" s="1"/>
  <c r="H7" i="6" s="1"/>
  <c r="K8" i="5"/>
  <c r="L8" i="5" s="1"/>
  <c r="I6" i="6" s="1"/>
  <c r="J6" i="6" s="1"/>
  <c r="K5" i="6" l="1"/>
  <c r="M5" i="6" s="1"/>
  <c r="K9" i="5"/>
  <c r="L9" i="5" s="1"/>
  <c r="I7" i="6" s="1"/>
  <c r="J7" i="6" s="1"/>
  <c r="J9" i="5"/>
  <c r="G8" i="6" s="1"/>
  <c r="H8" i="6" s="1"/>
  <c r="K6" i="6" l="1"/>
  <c r="M6" i="6" s="1"/>
  <c r="J10" i="5"/>
  <c r="G9" i="6" s="1"/>
  <c r="H9" i="6" s="1"/>
  <c r="K10" i="5"/>
  <c r="L10" i="5" s="1"/>
  <c r="I8" i="6" s="1"/>
  <c r="J8" i="6" s="1"/>
  <c r="K7" i="6" l="1"/>
  <c r="M7" i="6" s="1"/>
  <c r="K11" i="5"/>
  <c r="L11" i="5" s="1"/>
  <c r="I9" i="6" s="1"/>
  <c r="J9" i="6" s="1"/>
  <c r="J11" i="5"/>
  <c r="G10" i="6" s="1"/>
  <c r="H10" i="6" s="1"/>
  <c r="K8" i="6" l="1"/>
  <c r="M8" i="6" s="1"/>
  <c r="K12" i="5"/>
  <c r="L12" i="5" s="1"/>
  <c r="I10" i="6" s="1"/>
  <c r="J10" i="6" s="1"/>
  <c r="J12" i="5"/>
  <c r="G11" i="6" s="1"/>
  <c r="H11" i="6" s="1"/>
  <c r="K9" i="6" l="1"/>
  <c r="M9" i="6" s="1"/>
  <c r="K13" i="5"/>
  <c r="L13" i="5" s="1"/>
  <c r="I11" i="6" s="1"/>
  <c r="J11" i="6" s="1"/>
  <c r="J13" i="5"/>
  <c r="G12" i="6" s="1"/>
  <c r="H12" i="6" s="1"/>
  <c r="K10" i="6" l="1"/>
  <c r="M10" i="6" s="1"/>
  <c r="J14" i="5"/>
  <c r="G13" i="6" s="1"/>
  <c r="H13" i="6" s="1"/>
  <c r="K14" i="5"/>
  <c r="L14" i="5" s="1"/>
  <c r="I12" i="6" s="1"/>
  <c r="J12" i="6" s="1"/>
  <c r="K11" i="6" l="1"/>
  <c r="M11" i="6" s="1"/>
  <c r="K15" i="5"/>
  <c r="L15" i="5" s="1"/>
  <c r="I13" i="6" s="1"/>
  <c r="J13" i="6" s="1"/>
  <c r="J15" i="5"/>
  <c r="G14" i="6" s="1"/>
  <c r="H14" i="6" s="1"/>
  <c r="K12" i="6" l="1"/>
  <c r="M12" i="6" s="1"/>
  <c r="J16" i="5"/>
  <c r="G15" i="6" s="1"/>
  <c r="H15" i="6" s="1"/>
  <c r="K16" i="5"/>
  <c r="L16" i="5" s="1"/>
  <c r="I14" i="6" s="1"/>
  <c r="J14" i="6" s="1"/>
  <c r="K13" i="6" l="1"/>
  <c r="M13" i="6" s="1"/>
  <c r="K17" i="5"/>
  <c r="L17" i="5" s="1"/>
  <c r="I15" i="6" s="1"/>
  <c r="J15" i="6" s="1"/>
  <c r="J17" i="5"/>
  <c r="G16" i="6" s="1"/>
  <c r="H16" i="6" s="1"/>
  <c r="K14" i="6" l="1"/>
  <c r="M14" i="6" s="1"/>
  <c r="J18" i="5"/>
  <c r="G17" i="6" s="1"/>
  <c r="H17" i="6" s="1"/>
  <c r="K18" i="5"/>
  <c r="L18" i="5" s="1"/>
  <c r="I16" i="6" s="1"/>
  <c r="J16" i="6" s="1"/>
  <c r="K15" i="6" l="1"/>
  <c r="M15" i="6" s="1"/>
  <c r="K19" i="5"/>
  <c r="L19" i="5" s="1"/>
  <c r="I17" i="6" s="1"/>
  <c r="J17" i="6" s="1"/>
  <c r="J19" i="5"/>
  <c r="G18" i="6" s="1"/>
  <c r="H18" i="6" s="1"/>
  <c r="K16" i="6" l="1"/>
  <c r="M16" i="6" s="1"/>
  <c r="K20" i="5"/>
  <c r="L20" i="5" s="1"/>
  <c r="I18" i="6" s="1"/>
  <c r="J18" i="6" s="1"/>
  <c r="J20" i="5"/>
  <c r="G19" i="6" s="1"/>
  <c r="H19" i="6" s="1"/>
  <c r="K17" i="6" l="1"/>
  <c r="M17" i="6" s="1"/>
  <c r="K21" i="5"/>
  <c r="L21" i="5" s="1"/>
  <c r="I19" i="6" s="1"/>
  <c r="J19" i="6" s="1"/>
  <c r="J21" i="5"/>
  <c r="G20" i="6" s="1"/>
  <c r="H20" i="6" s="1"/>
  <c r="K18" i="6" l="1"/>
  <c r="M18" i="6" s="1"/>
  <c r="J22" i="5"/>
  <c r="G21" i="6" s="1"/>
  <c r="H21" i="6" s="1"/>
  <c r="K22" i="5"/>
  <c r="L22" i="5" s="1"/>
  <c r="I20" i="6" s="1"/>
  <c r="J20" i="6" s="1"/>
  <c r="K19" i="6" l="1"/>
  <c r="M19" i="6" s="1"/>
  <c r="K23" i="5"/>
  <c r="L23" i="5" s="1"/>
  <c r="I21" i="6" s="1"/>
  <c r="J21" i="6" s="1"/>
  <c r="J23" i="5"/>
  <c r="G22" i="6" s="1"/>
  <c r="H22" i="6" s="1"/>
  <c r="K20" i="6" l="1"/>
  <c r="M20" i="6" s="1"/>
  <c r="J24" i="5"/>
  <c r="G23" i="6" s="1"/>
  <c r="H23" i="6" s="1"/>
  <c r="K24" i="5"/>
  <c r="L24" i="5" s="1"/>
  <c r="N14" i="5" s="1"/>
  <c r="K21" i="6" l="1"/>
  <c r="M21" i="6" s="1"/>
  <c r="I22" i="6"/>
  <c r="J22" i="6" s="1"/>
  <c r="K25" i="5"/>
  <c r="L25" i="5" s="1"/>
  <c r="J25" i="5"/>
  <c r="G24" i="6" s="1"/>
  <c r="H24" i="6" s="1"/>
  <c r="K22" i="6" l="1"/>
  <c r="M22" i="6" s="1"/>
  <c r="I23" i="6"/>
  <c r="J23" i="6" s="1"/>
  <c r="J26" i="5"/>
  <c r="G25" i="6" s="1"/>
  <c r="H25" i="6" s="1"/>
  <c r="K26" i="5"/>
  <c r="L26" i="5" s="1"/>
  <c r="I24" i="6" s="1"/>
  <c r="J24" i="6" s="1"/>
  <c r="K23" i="6" l="1"/>
  <c r="Y16" i="5"/>
  <c r="Z16" i="5" s="1"/>
  <c r="P5" i="5"/>
  <c r="T5" i="5" s="1"/>
  <c r="K27" i="5"/>
  <c r="L27" i="5" s="1"/>
  <c r="I25" i="6" s="1"/>
  <c r="J25" i="6" s="1"/>
  <c r="J27" i="5"/>
  <c r="G26" i="6" s="1"/>
  <c r="H26" i="6" s="1"/>
  <c r="K24" i="6" l="1"/>
  <c r="M24" i="6" s="1"/>
  <c r="M23" i="6"/>
  <c r="K28" i="5"/>
  <c r="L28" i="5" s="1"/>
  <c r="I26" i="6" s="1"/>
  <c r="J26" i="6" s="1"/>
  <c r="J28" i="5"/>
  <c r="G27" i="6" s="1"/>
  <c r="H27" i="6" s="1"/>
  <c r="K25" i="6" l="1"/>
  <c r="M25" i="6" s="1"/>
  <c r="K29" i="5"/>
  <c r="L29" i="5" s="1"/>
  <c r="I27" i="6" s="1"/>
  <c r="J27" i="6" s="1"/>
  <c r="J29" i="5"/>
  <c r="G28" i="6" s="1"/>
  <c r="H28" i="6" s="1"/>
  <c r="K26" i="6" l="1"/>
  <c r="M26" i="6" s="1"/>
  <c r="K30" i="5"/>
  <c r="L30" i="5" s="1"/>
  <c r="I28" i="6" s="1"/>
  <c r="J28" i="6" s="1"/>
  <c r="J30" i="5"/>
  <c r="G29" i="6" s="1"/>
  <c r="H29" i="6" s="1"/>
  <c r="K27" i="6" l="1"/>
  <c r="M27" i="6" s="1"/>
  <c r="K31" i="5"/>
  <c r="L31" i="5" s="1"/>
  <c r="I29" i="6" s="1"/>
  <c r="J29" i="6" s="1"/>
  <c r="J31" i="5"/>
  <c r="G30" i="6" s="1"/>
  <c r="H30" i="6" s="1"/>
  <c r="K28" i="6" l="1"/>
  <c r="M28" i="6" s="1"/>
  <c r="J32" i="5"/>
  <c r="G31" i="6" s="1"/>
  <c r="H31" i="6" s="1"/>
  <c r="K32" i="5"/>
  <c r="L32" i="5" s="1"/>
  <c r="I30" i="6" s="1"/>
  <c r="J30" i="6" s="1"/>
  <c r="K29" i="6" l="1"/>
  <c r="M29" i="6" s="1"/>
  <c r="K33" i="5"/>
  <c r="L33" i="5" s="1"/>
  <c r="I31" i="6" s="1"/>
  <c r="J31" i="6" s="1"/>
  <c r="J33" i="5"/>
  <c r="G32" i="6" s="1"/>
  <c r="H32" i="6" s="1"/>
  <c r="K30" i="6" l="1"/>
  <c r="M30" i="6" s="1"/>
  <c r="J34" i="5"/>
  <c r="G33" i="6" s="1"/>
  <c r="H33" i="6" s="1"/>
  <c r="K34" i="5"/>
  <c r="L34" i="5" s="1"/>
  <c r="I32" i="6" s="1"/>
  <c r="J32" i="6" s="1"/>
  <c r="K31" i="6" l="1"/>
  <c r="M31" i="6" s="1"/>
  <c r="K35" i="5"/>
  <c r="L35" i="5" s="1"/>
  <c r="I33" i="6" s="1"/>
  <c r="J33" i="6" s="1"/>
  <c r="J35" i="5"/>
  <c r="G34" i="6" s="1"/>
  <c r="H34" i="6" s="1"/>
  <c r="K32" i="6" l="1"/>
  <c r="M32" i="6" s="1"/>
  <c r="K36" i="5"/>
  <c r="L36" i="5" s="1"/>
  <c r="I34" i="6" s="1"/>
  <c r="J34" i="6" s="1"/>
  <c r="J36" i="5"/>
  <c r="G35" i="6" s="1"/>
  <c r="H35" i="6" s="1"/>
  <c r="K33" i="6" l="1"/>
  <c r="M33" i="6" s="1"/>
  <c r="J37" i="5"/>
  <c r="G36" i="6" s="1"/>
  <c r="H36" i="6" s="1"/>
  <c r="K37" i="5"/>
  <c r="L37" i="5" s="1"/>
  <c r="I35" i="6" s="1"/>
  <c r="J35" i="6" s="1"/>
  <c r="K34" i="6" l="1"/>
  <c r="M34" i="6" s="1"/>
  <c r="J38" i="5"/>
  <c r="G37" i="6" s="1"/>
  <c r="H37" i="6" s="1"/>
  <c r="K38" i="5"/>
  <c r="L38" i="5" s="1"/>
  <c r="I36" i="6" s="1"/>
  <c r="J36" i="6" s="1"/>
  <c r="K35" i="6" l="1"/>
  <c r="M35" i="6" s="1"/>
  <c r="J39" i="5"/>
  <c r="G38" i="6" s="1"/>
  <c r="H38" i="6" s="1"/>
  <c r="K39" i="5"/>
  <c r="L39" i="5" s="1"/>
  <c r="I37" i="6" s="1"/>
  <c r="J37" i="6" s="1"/>
  <c r="K36" i="6" l="1"/>
  <c r="M36" i="6" s="1"/>
  <c r="K40" i="5"/>
  <c r="L40" i="5" s="1"/>
  <c r="I38" i="6" s="1"/>
  <c r="J38" i="6" s="1"/>
  <c r="J40" i="5"/>
  <c r="G39" i="6" s="1"/>
  <c r="H39" i="6" s="1"/>
  <c r="K37" i="6" l="1"/>
  <c r="M37" i="6" s="1"/>
  <c r="K41" i="5"/>
  <c r="L41" i="5" s="1"/>
  <c r="I39" i="6" s="1"/>
  <c r="J39" i="6" s="1"/>
  <c r="J41" i="5"/>
  <c r="G40" i="6" s="1"/>
  <c r="H40" i="6" s="1"/>
  <c r="K38" i="6" l="1"/>
  <c r="M38" i="6" s="1"/>
  <c r="J42" i="5"/>
  <c r="G41" i="6" s="1"/>
  <c r="H41" i="6" s="1"/>
  <c r="K42" i="5"/>
  <c r="L42" i="5" s="1"/>
  <c r="I40" i="6" s="1"/>
  <c r="J40" i="6" s="1"/>
  <c r="K39" i="6" l="1"/>
  <c r="M39" i="6" s="1"/>
  <c r="K43" i="5"/>
  <c r="L43" i="5" s="1"/>
  <c r="I41" i="6" s="1"/>
  <c r="J41" i="6" s="1"/>
  <c r="J43" i="5"/>
  <c r="G42" i="6" s="1"/>
  <c r="H42" i="6" s="1"/>
  <c r="K40" i="6" l="1"/>
  <c r="M40" i="6" s="1"/>
  <c r="K44" i="5"/>
  <c r="L44" i="5" s="1"/>
  <c r="I42" i="6" s="1"/>
  <c r="J42" i="6" s="1"/>
  <c r="J44" i="5"/>
  <c r="G43" i="6" s="1"/>
  <c r="H43" i="6" s="1"/>
  <c r="K41" i="6" l="1"/>
  <c r="M41" i="6" s="1"/>
  <c r="K45" i="5"/>
  <c r="L45" i="5" s="1"/>
  <c r="J45" i="5"/>
  <c r="G44" i="6" s="1"/>
  <c r="H44" i="6" s="1"/>
  <c r="I43" i="6" l="1"/>
  <c r="J43" i="6" s="1"/>
  <c r="N15" i="5"/>
  <c r="K42" i="6"/>
  <c r="M42" i="6" s="1"/>
  <c r="J46" i="5"/>
  <c r="G45" i="6" s="1"/>
  <c r="H45" i="6" s="1"/>
  <c r="K46" i="5"/>
  <c r="L46" i="5" s="1"/>
  <c r="K43" i="6" l="1"/>
  <c r="M43" i="6" s="1"/>
  <c r="I44" i="6"/>
  <c r="J44" i="6" s="1"/>
  <c r="P6" i="5"/>
  <c r="T6" i="5" s="1"/>
  <c r="J47" i="5"/>
  <c r="G46" i="6" s="1"/>
  <c r="H46" i="6" s="1"/>
  <c r="K47" i="5"/>
  <c r="L47" i="5" s="1"/>
  <c r="I45" i="6" s="1"/>
  <c r="J45" i="6" s="1"/>
  <c r="K44" i="6" l="1"/>
  <c r="K48" i="5"/>
  <c r="L48" i="5" s="1"/>
  <c r="I46" i="6" s="1"/>
  <c r="J46" i="6" s="1"/>
  <c r="J48" i="5"/>
  <c r="G47" i="6" s="1"/>
  <c r="H47" i="6" s="1"/>
  <c r="K45" i="6" l="1"/>
  <c r="M45" i="6" s="1"/>
  <c r="M44" i="6"/>
  <c r="K49" i="5"/>
  <c r="L49" i="5" s="1"/>
  <c r="I47" i="6" s="1"/>
  <c r="J47" i="6" s="1"/>
  <c r="J49" i="5"/>
  <c r="G48" i="6" s="1"/>
  <c r="H48" i="6" s="1"/>
  <c r="K46" i="6" l="1"/>
  <c r="M46" i="6" s="1"/>
  <c r="J50" i="5"/>
  <c r="G49" i="6" s="1"/>
  <c r="H49" i="6" s="1"/>
  <c r="K50" i="5"/>
  <c r="L50" i="5" s="1"/>
  <c r="I48" i="6" s="1"/>
  <c r="J48" i="6" s="1"/>
  <c r="K47" i="6" l="1"/>
  <c r="M47" i="6" s="1"/>
  <c r="K51" i="5"/>
  <c r="L51" i="5" s="1"/>
  <c r="I49" i="6" s="1"/>
  <c r="J49" i="6" s="1"/>
  <c r="J51" i="5"/>
  <c r="G50" i="6" s="1"/>
  <c r="H50" i="6" s="1"/>
  <c r="K48" i="6" l="1"/>
  <c r="M48" i="6" s="1"/>
  <c r="K52" i="5"/>
  <c r="L52" i="5" s="1"/>
  <c r="I50" i="6" s="1"/>
  <c r="J50" i="6" s="1"/>
  <c r="J52" i="5"/>
  <c r="G51" i="6" s="1"/>
  <c r="H51" i="6" s="1"/>
  <c r="K49" i="6" l="1"/>
  <c r="M49" i="6" s="1"/>
  <c r="J53" i="5"/>
  <c r="G52" i="6" s="1"/>
  <c r="H52" i="6" s="1"/>
  <c r="K53" i="5"/>
  <c r="L53" i="5" s="1"/>
  <c r="I51" i="6" s="1"/>
  <c r="J51" i="6" s="1"/>
  <c r="K50" i="6" l="1"/>
  <c r="M50" i="6" s="1"/>
  <c r="K54" i="5"/>
  <c r="L54" i="5" s="1"/>
  <c r="I52" i="6" s="1"/>
  <c r="J52" i="6" s="1"/>
  <c r="J54" i="5"/>
  <c r="G53" i="6" s="1"/>
  <c r="H53" i="6" s="1"/>
  <c r="K51" i="6" l="1"/>
  <c r="M51" i="6" s="1"/>
  <c r="K55" i="5"/>
  <c r="L55" i="5" s="1"/>
  <c r="I53" i="6" s="1"/>
  <c r="J53" i="6" s="1"/>
  <c r="J55" i="5"/>
  <c r="G54" i="6" s="1"/>
  <c r="H54" i="6" s="1"/>
  <c r="K52" i="6" l="1"/>
  <c r="M52" i="6" s="1"/>
  <c r="K56" i="5"/>
  <c r="L56" i="5" s="1"/>
  <c r="I54" i="6" s="1"/>
  <c r="J54" i="6" s="1"/>
  <c r="J56" i="5"/>
  <c r="G55" i="6" s="1"/>
  <c r="H55" i="6" s="1"/>
  <c r="K53" i="6" l="1"/>
  <c r="M53" i="6" s="1"/>
  <c r="J57" i="5"/>
  <c r="G56" i="6" s="1"/>
  <c r="H56" i="6" s="1"/>
  <c r="K57" i="5"/>
  <c r="L57" i="5" s="1"/>
  <c r="I55" i="6" s="1"/>
  <c r="J55" i="6" s="1"/>
  <c r="K54" i="6" l="1"/>
  <c r="M54" i="6" s="1"/>
  <c r="J58" i="5"/>
  <c r="G57" i="6" s="1"/>
  <c r="H57" i="6" s="1"/>
  <c r="K58" i="5"/>
  <c r="L58" i="5" s="1"/>
  <c r="I56" i="6" s="1"/>
  <c r="J56" i="6" s="1"/>
  <c r="K55" i="6" l="1"/>
  <c r="M55" i="6" s="1"/>
  <c r="K59" i="5"/>
  <c r="L59" i="5" s="1"/>
  <c r="I57" i="6" s="1"/>
  <c r="J57" i="6" s="1"/>
  <c r="J59" i="5"/>
  <c r="G58" i="6" s="1"/>
  <c r="H58" i="6" s="1"/>
  <c r="K56" i="6" l="1"/>
  <c r="M56" i="6" s="1"/>
  <c r="J60" i="5"/>
  <c r="G59" i="6" s="1"/>
  <c r="H59" i="6" s="1"/>
  <c r="K60" i="5"/>
  <c r="L60" i="5" s="1"/>
  <c r="I58" i="6" s="1"/>
  <c r="J58" i="6" s="1"/>
  <c r="K57" i="6" l="1"/>
  <c r="M57" i="6" s="1"/>
  <c r="J61" i="5"/>
  <c r="G60" i="6" s="1"/>
  <c r="H60" i="6" s="1"/>
  <c r="K61" i="5"/>
  <c r="L61" i="5" s="1"/>
  <c r="I59" i="6" s="1"/>
  <c r="J59" i="6" s="1"/>
  <c r="K58" i="6" l="1"/>
  <c r="M58" i="6" s="1"/>
  <c r="J62" i="5"/>
  <c r="G61" i="6" s="1"/>
  <c r="H61" i="6" s="1"/>
  <c r="K62" i="5"/>
  <c r="L62" i="5" s="1"/>
  <c r="I60" i="6" s="1"/>
  <c r="J60" i="6" s="1"/>
  <c r="K59" i="6" l="1"/>
  <c r="M59" i="6" s="1"/>
  <c r="K63" i="5"/>
  <c r="L63" i="5" s="1"/>
  <c r="I61" i="6" s="1"/>
  <c r="J61" i="6" s="1"/>
  <c r="J63" i="5"/>
  <c r="G62" i="6" s="1"/>
  <c r="H62" i="6" s="1"/>
  <c r="K60" i="6" l="1"/>
  <c r="M60" i="6" s="1"/>
  <c r="K64" i="5"/>
  <c r="L64" i="5" s="1"/>
  <c r="I62" i="6" s="1"/>
  <c r="J62" i="6" s="1"/>
  <c r="J64" i="5"/>
  <c r="G63" i="6" s="1"/>
  <c r="H63" i="6" s="1"/>
  <c r="K61" i="6" l="1"/>
  <c r="M61" i="6" s="1"/>
  <c r="J65" i="5"/>
  <c r="G64" i="6" s="1"/>
  <c r="H64" i="6" s="1"/>
  <c r="K65" i="5"/>
  <c r="L65" i="5" s="1"/>
  <c r="N16" i="5" s="1"/>
  <c r="K62" i="6" l="1"/>
  <c r="M62" i="6" s="1"/>
  <c r="I63" i="6"/>
  <c r="J63" i="6" s="1"/>
  <c r="K66" i="5"/>
  <c r="L66" i="5" s="1"/>
  <c r="J66" i="5"/>
  <c r="G65" i="6" s="1"/>
  <c r="H65" i="6" s="1"/>
  <c r="K63" i="6" l="1"/>
  <c r="M63" i="6" s="1"/>
  <c r="I64" i="6"/>
  <c r="J64" i="6" s="1"/>
  <c r="P7" i="5"/>
  <c r="T7" i="5" s="1"/>
  <c r="J67" i="5"/>
  <c r="G66" i="6" s="1"/>
  <c r="H66" i="6" s="1"/>
  <c r="K67" i="5"/>
  <c r="L67" i="5" s="1"/>
  <c r="I65" i="6" s="1"/>
  <c r="J65" i="6" s="1"/>
  <c r="K64" i="6" l="1"/>
  <c r="K68" i="5"/>
  <c r="L68" i="5" s="1"/>
  <c r="I66" i="6" s="1"/>
  <c r="J66" i="6" s="1"/>
  <c r="J68" i="5"/>
  <c r="G67" i="6" s="1"/>
  <c r="H67" i="6" s="1"/>
  <c r="K65" i="6" l="1"/>
  <c r="M65" i="6" s="1"/>
  <c r="M64" i="6"/>
  <c r="J69" i="5"/>
  <c r="G68" i="6" s="1"/>
  <c r="H68" i="6" s="1"/>
  <c r="K69" i="5"/>
  <c r="L69" i="5" s="1"/>
  <c r="I67" i="6" s="1"/>
  <c r="J67" i="6" s="1"/>
  <c r="K66" i="6" l="1"/>
  <c r="M66" i="6" s="1"/>
  <c r="J70" i="5"/>
  <c r="G69" i="6" s="1"/>
  <c r="H69" i="6" s="1"/>
  <c r="K70" i="5"/>
  <c r="L70" i="5" s="1"/>
  <c r="I68" i="6" s="1"/>
  <c r="J68" i="6" s="1"/>
  <c r="K67" i="6" l="1"/>
  <c r="M67" i="6" s="1"/>
  <c r="K71" i="5"/>
  <c r="L71" i="5" s="1"/>
  <c r="I69" i="6" s="1"/>
  <c r="J69" i="6" s="1"/>
  <c r="J71" i="5"/>
  <c r="G70" i="6" s="1"/>
  <c r="H70" i="6" s="1"/>
  <c r="K68" i="6" l="1"/>
  <c r="M68" i="6" s="1"/>
  <c r="J72" i="5"/>
  <c r="G71" i="6" s="1"/>
  <c r="H71" i="6" s="1"/>
  <c r="K72" i="5"/>
  <c r="L72" i="5" s="1"/>
  <c r="I70" i="6" s="1"/>
  <c r="J70" i="6" s="1"/>
  <c r="K69" i="6" l="1"/>
  <c r="M69" i="6" s="1"/>
  <c r="J73" i="5"/>
  <c r="G72" i="6" s="1"/>
  <c r="H72" i="6" s="1"/>
  <c r="K73" i="5"/>
  <c r="L73" i="5" s="1"/>
  <c r="I71" i="6" s="1"/>
  <c r="J71" i="6" s="1"/>
  <c r="K70" i="6" l="1"/>
  <c r="M70" i="6" s="1"/>
  <c r="J74" i="5"/>
  <c r="G73" i="6" s="1"/>
  <c r="H73" i="6" s="1"/>
  <c r="K74" i="5"/>
  <c r="L74" i="5" s="1"/>
  <c r="I72" i="6" s="1"/>
  <c r="J72" i="6" s="1"/>
  <c r="K71" i="6" l="1"/>
  <c r="K72" i="6" s="1"/>
  <c r="M72" i="6" s="1"/>
  <c r="J75" i="5"/>
  <c r="G74" i="6" s="1"/>
  <c r="H74" i="6" s="1"/>
  <c r="K75" i="5"/>
  <c r="L75" i="5" s="1"/>
  <c r="I73" i="6" s="1"/>
  <c r="J73" i="6" s="1"/>
  <c r="M71" i="6" l="1"/>
  <c r="K73" i="6"/>
  <c r="M73" i="6" s="1"/>
  <c r="K76" i="5"/>
  <c r="L76" i="5" s="1"/>
  <c r="I74" i="6" s="1"/>
  <c r="J74" i="6" s="1"/>
  <c r="J76" i="5"/>
  <c r="G75" i="6" s="1"/>
  <c r="H75" i="6" s="1"/>
  <c r="K74" i="6" l="1"/>
  <c r="M74" i="6" s="1"/>
  <c r="K77" i="5"/>
  <c r="L77" i="5" s="1"/>
  <c r="I75" i="6" s="1"/>
  <c r="J75" i="6" s="1"/>
  <c r="J77" i="5"/>
  <c r="G76" i="6" s="1"/>
  <c r="H76" i="6" s="1"/>
  <c r="K75" i="6" l="1"/>
  <c r="M75" i="6" s="1"/>
  <c r="J78" i="5"/>
  <c r="G77" i="6" s="1"/>
  <c r="H77" i="6" s="1"/>
  <c r="K78" i="5"/>
  <c r="L78" i="5" s="1"/>
  <c r="I76" i="6" s="1"/>
  <c r="J76" i="6" s="1"/>
  <c r="K76" i="6" l="1"/>
  <c r="M76" i="6" s="1"/>
  <c r="J79" i="5"/>
  <c r="G78" i="6" s="1"/>
  <c r="H78" i="6" s="1"/>
  <c r="K79" i="5"/>
  <c r="L79" i="5" s="1"/>
  <c r="I77" i="6" s="1"/>
  <c r="J77" i="6" s="1"/>
  <c r="K77" i="6" l="1"/>
  <c r="M77" i="6" s="1"/>
  <c r="K80" i="5"/>
  <c r="L80" i="5" s="1"/>
  <c r="I78" i="6" s="1"/>
  <c r="J78" i="6" s="1"/>
  <c r="J80" i="5"/>
  <c r="G79" i="6" s="1"/>
  <c r="H79" i="6" s="1"/>
  <c r="K78" i="6" l="1"/>
  <c r="M78" i="6" s="1"/>
  <c r="J81" i="5"/>
  <c r="G80" i="6" s="1"/>
  <c r="H80" i="6" s="1"/>
  <c r="K81" i="5"/>
  <c r="L81" i="5" s="1"/>
  <c r="I79" i="6" s="1"/>
  <c r="J79" i="6" s="1"/>
  <c r="K79" i="6" l="1"/>
  <c r="M79" i="6" s="1"/>
  <c r="K82" i="5"/>
  <c r="L82" i="5" s="1"/>
  <c r="I80" i="6" s="1"/>
  <c r="J80" i="6" s="1"/>
  <c r="J82" i="5"/>
  <c r="G81" i="6" s="1"/>
  <c r="H81" i="6" s="1"/>
  <c r="K80" i="6" l="1"/>
  <c r="M80" i="6" s="1"/>
  <c r="K83" i="5"/>
  <c r="L83" i="5" s="1"/>
  <c r="I81" i="6" s="1"/>
  <c r="J81" i="6" s="1"/>
  <c r="J83" i="5"/>
  <c r="G82" i="6" s="1"/>
  <c r="H82" i="6" s="1"/>
  <c r="K81" i="6" l="1"/>
  <c r="M81" i="6" s="1"/>
  <c r="J84" i="5"/>
  <c r="G83" i="6" s="1"/>
  <c r="H83" i="6" s="1"/>
  <c r="K84" i="5"/>
  <c r="L84" i="5" s="1"/>
  <c r="I82" i="6" s="1"/>
  <c r="J82" i="6" s="1"/>
  <c r="K82" i="6" l="1"/>
  <c r="M82" i="6" s="1"/>
  <c r="J85" i="5"/>
  <c r="G84" i="6" s="1"/>
  <c r="H84" i="6" s="1"/>
  <c r="K85" i="5"/>
  <c r="L85" i="5" s="1"/>
  <c r="I83" i="6" s="1"/>
  <c r="J83" i="6" s="1"/>
  <c r="K83" i="6" l="1"/>
  <c r="M83" i="6" s="1"/>
  <c r="J86" i="5"/>
  <c r="G85" i="6" s="1"/>
  <c r="H85" i="6" s="1"/>
  <c r="K86" i="5"/>
  <c r="L86" i="5" s="1"/>
  <c r="I84" i="6" s="1"/>
  <c r="J84" i="6" s="1"/>
  <c r="K84" i="6" l="1"/>
  <c r="M84" i="6" s="1"/>
  <c r="J87" i="5"/>
  <c r="G86" i="6" s="1"/>
  <c r="H86" i="6" s="1"/>
  <c r="K87" i="5"/>
  <c r="L87" i="5" s="1"/>
  <c r="I85" i="6" l="1"/>
  <c r="J85" i="6" s="1"/>
  <c r="K88" i="5"/>
  <c r="L88" i="5" s="1"/>
  <c r="I86" i="6" s="1"/>
  <c r="J86" i="6" s="1"/>
  <c r="J88" i="5"/>
  <c r="G87" i="6" s="1"/>
  <c r="H87" i="6" s="1"/>
  <c r="K85" i="6" l="1"/>
  <c r="J89" i="5"/>
  <c r="G88" i="6" s="1"/>
  <c r="H88" i="6" s="1"/>
  <c r="K89" i="5"/>
  <c r="L89" i="5" s="1"/>
  <c r="K86" i="6" l="1"/>
  <c r="M86" i="6" s="1"/>
  <c r="M85" i="6"/>
  <c r="I87" i="6"/>
  <c r="J87" i="6" s="1"/>
  <c r="P8" i="5"/>
  <c r="T8" i="5" s="1"/>
  <c r="J90" i="5"/>
  <c r="G89" i="6" s="1"/>
  <c r="H89" i="6" s="1"/>
  <c r="K90" i="5"/>
  <c r="L90" i="5" s="1"/>
  <c r="I88" i="6" s="1"/>
  <c r="J88" i="6" s="1"/>
  <c r="K87" i="6" l="1"/>
  <c r="J91" i="5"/>
  <c r="G90" i="6" s="1"/>
  <c r="H90" i="6" s="1"/>
  <c r="K91" i="5"/>
  <c r="L91" i="5" s="1"/>
  <c r="I89" i="6" s="1"/>
  <c r="J89" i="6" s="1"/>
  <c r="K88" i="6" l="1"/>
  <c r="M88" i="6" s="1"/>
  <c r="M87" i="6"/>
  <c r="J92" i="5"/>
  <c r="G91" i="6" s="1"/>
  <c r="H91" i="6" s="1"/>
  <c r="K92" i="5"/>
  <c r="L92" i="5" s="1"/>
  <c r="I90" i="6" s="1"/>
  <c r="J90" i="6" s="1"/>
  <c r="K89" i="6" l="1"/>
  <c r="M89" i="6" s="1"/>
  <c r="J93" i="5"/>
  <c r="G92" i="6" s="1"/>
  <c r="H92" i="6" s="1"/>
  <c r="K93" i="5"/>
  <c r="L93" i="5" s="1"/>
  <c r="I91" i="6" s="1"/>
  <c r="J91" i="6" s="1"/>
  <c r="K90" i="6" l="1"/>
  <c r="M90" i="6" s="1"/>
  <c r="J94" i="5"/>
  <c r="G93" i="6" s="1"/>
  <c r="H93" i="6" s="1"/>
  <c r="K94" i="5"/>
  <c r="L94" i="5" s="1"/>
  <c r="I92" i="6" s="1"/>
  <c r="J92" i="6" s="1"/>
  <c r="K91" i="6" l="1"/>
  <c r="M91" i="6" s="1"/>
  <c r="K95" i="5"/>
  <c r="L95" i="5" s="1"/>
  <c r="I93" i="6" s="1"/>
  <c r="J93" i="6" s="1"/>
  <c r="J95" i="5"/>
  <c r="G94" i="6" s="1"/>
  <c r="H94" i="6" s="1"/>
  <c r="K92" i="6" l="1"/>
  <c r="M92" i="6" s="1"/>
  <c r="J96" i="5"/>
  <c r="G95" i="6" s="1"/>
  <c r="H95" i="6" s="1"/>
  <c r="K96" i="5"/>
  <c r="L96" i="5" s="1"/>
  <c r="I94" i="6" s="1"/>
  <c r="J94" i="6" s="1"/>
  <c r="K93" i="6" l="1"/>
  <c r="M93" i="6" s="1"/>
  <c r="K97" i="5"/>
  <c r="L97" i="5" s="1"/>
  <c r="I95" i="6" s="1"/>
  <c r="J95" i="6" s="1"/>
  <c r="J97" i="5"/>
  <c r="G96" i="6" s="1"/>
  <c r="H96" i="6" s="1"/>
  <c r="K94" i="6" l="1"/>
  <c r="M94" i="6" s="1"/>
  <c r="K98" i="5"/>
  <c r="L98" i="5" s="1"/>
  <c r="I96" i="6" s="1"/>
  <c r="J96" i="6" s="1"/>
  <c r="J98" i="5"/>
  <c r="G97" i="6" s="1"/>
  <c r="H97" i="6" s="1"/>
  <c r="K95" i="6" l="1"/>
  <c r="M95" i="6" s="1"/>
  <c r="K99" i="5"/>
  <c r="L99" i="5" s="1"/>
  <c r="I97" i="6" s="1"/>
  <c r="J97" i="6" s="1"/>
  <c r="J99" i="5"/>
  <c r="G98" i="6" s="1"/>
  <c r="H98" i="6" s="1"/>
  <c r="K96" i="6" l="1"/>
  <c r="M96" i="6" s="1"/>
  <c r="K100" i="5"/>
  <c r="L100" i="5" s="1"/>
  <c r="I98" i="6" s="1"/>
  <c r="J98" i="6" s="1"/>
  <c r="J100" i="5"/>
  <c r="G99" i="6" s="1"/>
  <c r="H99" i="6" s="1"/>
  <c r="K97" i="6" l="1"/>
  <c r="M97" i="6" s="1"/>
  <c r="J101" i="5"/>
  <c r="G100" i="6" s="1"/>
  <c r="H100" i="6" s="1"/>
  <c r="K101" i="5"/>
  <c r="L101" i="5" s="1"/>
  <c r="I99" i="6" s="1"/>
  <c r="J99" i="6" s="1"/>
  <c r="K98" i="6" l="1"/>
  <c r="M98" i="6" s="1"/>
  <c r="K102" i="5"/>
  <c r="L102" i="5" s="1"/>
  <c r="I100" i="6" s="1"/>
  <c r="J100" i="6" s="1"/>
  <c r="J102" i="5"/>
  <c r="G101" i="6" s="1"/>
  <c r="H101" i="6" s="1"/>
  <c r="K99" i="6" l="1"/>
  <c r="M99" i="6" s="1"/>
  <c r="K103" i="5"/>
  <c r="L103" i="5" s="1"/>
  <c r="I101" i="6" s="1"/>
  <c r="J101" i="6" s="1"/>
  <c r="J103" i="5"/>
  <c r="G102" i="6" s="1"/>
  <c r="H102" i="6" s="1"/>
  <c r="K100" i="6" l="1"/>
  <c r="K101" i="6" s="1"/>
  <c r="M101" i="6" s="1"/>
  <c r="K104" i="5"/>
  <c r="L104" i="5" s="1"/>
  <c r="I102" i="6" s="1"/>
  <c r="J102" i="6" s="1"/>
  <c r="J104" i="5"/>
  <c r="G103" i="6" s="1"/>
  <c r="H103" i="6" s="1"/>
  <c r="M100" i="6" l="1"/>
  <c r="K102" i="6"/>
  <c r="M102" i="6" s="1"/>
  <c r="K105" i="5"/>
  <c r="L105" i="5" s="1"/>
  <c r="I103" i="6" s="1"/>
  <c r="J103" i="6" s="1"/>
  <c r="J105" i="5"/>
  <c r="G104" i="6" s="1"/>
  <c r="H104" i="6" s="1"/>
  <c r="K103" i="6" l="1"/>
  <c r="M103" i="6" s="1"/>
  <c r="J106" i="5"/>
  <c r="G105" i="6" s="1"/>
  <c r="H105" i="6" s="1"/>
  <c r="K106" i="5"/>
  <c r="L106" i="5" s="1"/>
  <c r="I104" i="6" s="1"/>
  <c r="J104" i="6" s="1"/>
  <c r="K104" i="6" l="1"/>
  <c r="M104" i="6" s="1"/>
  <c r="K107" i="5"/>
  <c r="L107" i="5" s="1"/>
  <c r="I105" i="6" s="1"/>
  <c r="J105" i="6" s="1"/>
  <c r="J107" i="5"/>
  <c r="G106" i="6" s="1"/>
  <c r="H106" i="6" s="1"/>
  <c r="K105" i="6" l="1"/>
  <c r="M105" i="6" s="1"/>
  <c r="K108" i="5"/>
  <c r="L108" i="5" s="1"/>
  <c r="J108" i="5"/>
  <c r="G107" i="6" s="1"/>
  <c r="H107" i="6" s="1"/>
  <c r="I106" i="6" l="1"/>
  <c r="J106" i="6" s="1"/>
  <c r="K109" i="5"/>
  <c r="L109" i="5" s="1"/>
  <c r="J109" i="5"/>
  <c r="G108" i="6" s="1"/>
  <c r="H108" i="6" s="1"/>
  <c r="K106" i="6" l="1"/>
  <c r="I107" i="6"/>
  <c r="J107" i="6" s="1"/>
  <c r="P9" i="5"/>
  <c r="T9" i="5" s="1"/>
  <c r="J110" i="5"/>
  <c r="G109" i="6" s="1"/>
  <c r="H109" i="6" s="1"/>
  <c r="K110" i="5"/>
  <c r="L110" i="5" s="1"/>
  <c r="I108" i="6" s="1"/>
  <c r="J108" i="6" s="1"/>
  <c r="K107" i="6" l="1"/>
  <c r="M107" i="6" s="1"/>
  <c r="M106" i="6"/>
  <c r="J111" i="5"/>
  <c r="G110" i="6" s="1"/>
  <c r="H110" i="6" s="1"/>
  <c r="K111" i="5"/>
  <c r="L111" i="5" s="1"/>
  <c r="I109" i="6" l="1"/>
  <c r="J109" i="6" s="1"/>
  <c r="K108" i="6"/>
  <c r="M108" i="6" s="1"/>
  <c r="J112" i="5"/>
  <c r="G111" i="6" s="1"/>
  <c r="H111" i="6" s="1"/>
  <c r="K112" i="5"/>
  <c r="L112" i="5" s="1"/>
  <c r="I110" i="6" s="1"/>
  <c r="J110" i="6" s="1"/>
  <c r="K109" i="6" l="1"/>
  <c r="M109" i="6" s="1"/>
  <c r="K113" i="5"/>
  <c r="L113" i="5" s="1"/>
  <c r="I111" i="6" s="1"/>
  <c r="J111" i="6" s="1"/>
  <c r="J113" i="5"/>
  <c r="G112" i="6" s="1"/>
  <c r="H112" i="6" s="1"/>
  <c r="K110" i="6" l="1"/>
  <c r="M110" i="6" s="1"/>
  <c r="K114" i="5"/>
  <c r="L114" i="5" s="1"/>
  <c r="I112" i="6" s="1"/>
  <c r="J112" i="6" s="1"/>
  <c r="J114" i="5"/>
  <c r="G113" i="6" s="1"/>
  <c r="H113" i="6" s="1"/>
  <c r="K111" i="6" l="1"/>
  <c r="M111" i="6" s="1"/>
  <c r="J115" i="5"/>
  <c r="G114" i="6" s="1"/>
  <c r="H114" i="6" s="1"/>
  <c r="K115" i="5"/>
  <c r="L115" i="5" s="1"/>
  <c r="I113" i="6" s="1"/>
  <c r="J113" i="6" s="1"/>
  <c r="K112" i="6" l="1"/>
  <c r="M112" i="6" s="1"/>
  <c r="J116" i="5"/>
  <c r="G115" i="6" s="1"/>
  <c r="H115" i="6" s="1"/>
  <c r="K116" i="5"/>
  <c r="L116" i="5" s="1"/>
  <c r="I114" i="6" s="1"/>
  <c r="J114" i="6" s="1"/>
  <c r="K113" i="6" l="1"/>
  <c r="M113" i="6" s="1"/>
  <c r="J117" i="5"/>
  <c r="G116" i="6" s="1"/>
  <c r="H116" i="6" s="1"/>
  <c r="K117" i="5"/>
  <c r="L117" i="5" s="1"/>
  <c r="I115" i="6" s="1"/>
  <c r="J115" i="6" s="1"/>
  <c r="K114" i="6" l="1"/>
  <c r="M114" i="6" s="1"/>
  <c r="J118" i="5"/>
  <c r="G117" i="6" s="1"/>
  <c r="H117" i="6" s="1"/>
  <c r="K118" i="5"/>
  <c r="L118" i="5" s="1"/>
  <c r="I116" i="6" s="1"/>
  <c r="J116" i="6" s="1"/>
  <c r="K115" i="6" l="1"/>
  <c r="M115" i="6" s="1"/>
  <c r="J119" i="5"/>
  <c r="G118" i="6" s="1"/>
  <c r="H118" i="6" s="1"/>
  <c r="K119" i="5"/>
  <c r="L119" i="5" s="1"/>
  <c r="I117" i="6" s="1"/>
  <c r="J117" i="6" s="1"/>
  <c r="K116" i="6" l="1"/>
  <c r="M116" i="6" s="1"/>
  <c r="J120" i="5"/>
  <c r="G119" i="6" s="1"/>
  <c r="H119" i="6" s="1"/>
  <c r="K120" i="5"/>
  <c r="L120" i="5" s="1"/>
  <c r="I118" i="6" s="1"/>
  <c r="J118" i="6" s="1"/>
  <c r="K117" i="6" l="1"/>
  <c r="M117" i="6" s="1"/>
  <c r="K121" i="5"/>
  <c r="L121" i="5" s="1"/>
  <c r="I119" i="6" s="1"/>
  <c r="J119" i="6" s="1"/>
  <c r="J121" i="5"/>
  <c r="G120" i="6" s="1"/>
  <c r="H120" i="6" s="1"/>
  <c r="K118" i="6" l="1"/>
  <c r="M118" i="6" s="1"/>
  <c r="K122" i="5"/>
  <c r="L122" i="5" s="1"/>
  <c r="I120" i="6" s="1"/>
  <c r="J120" i="6" s="1"/>
  <c r="J122" i="5"/>
  <c r="G121" i="6" s="1"/>
  <c r="H121" i="6" s="1"/>
  <c r="K119" i="6" l="1"/>
  <c r="M119" i="6" s="1"/>
  <c r="K123" i="5"/>
  <c r="L123" i="5" s="1"/>
  <c r="I121" i="6" s="1"/>
  <c r="J121" i="6" s="1"/>
  <c r="J123" i="5"/>
  <c r="G122" i="6" s="1"/>
  <c r="H122" i="6" s="1"/>
  <c r="K120" i="6" l="1"/>
  <c r="M120" i="6" s="1"/>
  <c r="J124" i="5"/>
  <c r="G123" i="6" s="1"/>
  <c r="H123" i="6" s="1"/>
  <c r="K124" i="5"/>
  <c r="L124" i="5" s="1"/>
  <c r="I122" i="6" s="1"/>
  <c r="J122" i="6" s="1"/>
  <c r="K121" i="6" l="1"/>
  <c r="M121" i="6" s="1"/>
  <c r="J125" i="5"/>
  <c r="G124" i="6" s="1"/>
  <c r="H124" i="6" s="1"/>
  <c r="K125" i="5"/>
  <c r="L125" i="5" s="1"/>
  <c r="I123" i="6" s="1"/>
  <c r="J123" i="6" s="1"/>
  <c r="K122" i="6" l="1"/>
  <c r="M122" i="6" s="1"/>
  <c r="J126" i="5"/>
  <c r="G125" i="6" s="1"/>
  <c r="H125" i="6" s="1"/>
  <c r="K126" i="5"/>
  <c r="L126" i="5" s="1"/>
  <c r="I124" i="6" s="1"/>
  <c r="J124" i="6" s="1"/>
  <c r="K123" i="6" l="1"/>
  <c r="M123" i="6" s="1"/>
  <c r="J127" i="5"/>
  <c r="G126" i="6" s="1"/>
  <c r="H126" i="6" s="1"/>
  <c r="K127" i="5"/>
  <c r="L127" i="5" s="1"/>
  <c r="I125" i="6" s="1"/>
  <c r="J125" i="6" s="1"/>
  <c r="K124" i="6" l="1"/>
  <c r="M124" i="6" s="1"/>
  <c r="J128" i="5"/>
  <c r="G127" i="6" s="1"/>
  <c r="H127" i="6" s="1"/>
  <c r="K128" i="5"/>
  <c r="L128" i="5" s="1"/>
  <c r="I126" i="6" s="1"/>
  <c r="J126" i="6" s="1"/>
  <c r="K125" i="6" l="1"/>
  <c r="M125" i="6" s="1"/>
  <c r="J129" i="5"/>
  <c r="G128" i="6" s="1"/>
  <c r="H128" i="6" s="1"/>
  <c r="K129" i="5"/>
  <c r="L129" i="5" s="1"/>
  <c r="K126" i="6" l="1"/>
  <c r="M126" i="6" s="1"/>
  <c r="I127" i="6"/>
  <c r="J127" i="6" s="1"/>
  <c r="K130" i="5"/>
  <c r="L130" i="5" s="1"/>
  <c r="I128" i="6" s="1"/>
  <c r="J128" i="6" s="1"/>
  <c r="J130" i="5"/>
  <c r="G129" i="6" s="1"/>
  <c r="H129" i="6" s="1"/>
  <c r="K127" i="6" l="1"/>
  <c r="K131" i="5"/>
  <c r="L131" i="5" s="1"/>
  <c r="J131" i="5"/>
  <c r="G130" i="6" s="1"/>
  <c r="H130" i="6" s="1"/>
  <c r="K128" i="6" l="1"/>
  <c r="M128" i="6" s="1"/>
  <c r="M127" i="6"/>
  <c r="I129" i="6"/>
  <c r="J129" i="6" s="1"/>
  <c r="P10" i="5"/>
  <c r="T10" i="5" s="1"/>
  <c r="J132" i="5"/>
  <c r="G131" i="6" s="1"/>
  <c r="H131" i="6" s="1"/>
  <c r="K132" i="5"/>
  <c r="L132" i="5" s="1"/>
  <c r="I130" i="6" s="1"/>
  <c r="J130" i="6" s="1"/>
  <c r="K129" i="6" l="1"/>
  <c r="M129" i="6" s="1"/>
  <c r="J133" i="5"/>
  <c r="G132" i="6" s="1"/>
  <c r="H132" i="6" s="1"/>
  <c r="K133" i="5"/>
  <c r="L133" i="5" s="1"/>
  <c r="I131" i="6" s="1"/>
  <c r="J131" i="6" s="1"/>
  <c r="K130" i="6" l="1"/>
  <c r="M130" i="6" s="1"/>
  <c r="J134" i="5"/>
  <c r="G133" i="6" s="1"/>
  <c r="H133" i="6" s="1"/>
  <c r="K134" i="5"/>
  <c r="L134" i="5" s="1"/>
  <c r="I132" i="6" s="1"/>
  <c r="J132" i="6" s="1"/>
  <c r="K131" i="6" l="1"/>
  <c r="M131" i="6" s="1"/>
  <c r="J135" i="5"/>
  <c r="G134" i="6" s="1"/>
  <c r="H134" i="6" s="1"/>
  <c r="K135" i="5"/>
  <c r="L135" i="5" s="1"/>
  <c r="I133" i="6" s="1"/>
  <c r="J133" i="6" s="1"/>
  <c r="K132" i="6" l="1"/>
  <c r="M132" i="6" s="1"/>
  <c r="J136" i="5"/>
  <c r="G135" i="6" s="1"/>
  <c r="H135" i="6" s="1"/>
  <c r="K136" i="5"/>
  <c r="L136" i="5" s="1"/>
  <c r="I134" i="6" s="1"/>
  <c r="J134" i="6" s="1"/>
  <c r="K133" i="6" l="1"/>
  <c r="M133" i="6" s="1"/>
  <c r="J137" i="5"/>
  <c r="G136" i="6" s="1"/>
  <c r="H136" i="6" s="1"/>
  <c r="K137" i="5"/>
  <c r="L137" i="5" s="1"/>
  <c r="I135" i="6" s="1"/>
  <c r="J135" i="6" s="1"/>
  <c r="K134" i="6" l="1"/>
  <c r="M134" i="6" s="1"/>
  <c r="J138" i="5"/>
  <c r="G137" i="6" s="1"/>
  <c r="H137" i="6" s="1"/>
  <c r="K138" i="5"/>
  <c r="L138" i="5" s="1"/>
  <c r="I136" i="6" s="1"/>
  <c r="J136" i="6" s="1"/>
  <c r="K135" i="6" l="1"/>
  <c r="M135" i="6" s="1"/>
  <c r="J139" i="5"/>
  <c r="G138" i="6" s="1"/>
  <c r="H138" i="6" s="1"/>
  <c r="K139" i="5"/>
  <c r="L139" i="5" s="1"/>
  <c r="I137" i="6" s="1"/>
  <c r="J137" i="6" s="1"/>
  <c r="K136" i="6" l="1"/>
  <c r="M136" i="6" s="1"/>
  <c r="J140" i="5"/>
  <c r="G139" i="6" s="1"/>
  <c r="H139" i="6" s="1"/>
  <c r="K140" i="5"/>
  <c r="L140" i="5" s="1"/>
  <c r="I138" i="6" s="1"/>
  <c r="J138" i="6" s="1"/>
  <c r="K137" i="6" l="1"/>
  <c r="M137" i="6" s="1"/>
  <c r="J141" i="5"/>
  <c r="G140" i="6" s="1"/>
  <c r="H140" i="6" s="1"/>
  <c r="K141" i="5"/>
  <c r="L141" i="5" s="1"/>
  <c r="I139" i="6" s="1"/>
  <c r="J139" i="6" s="1"/>
  <c r="K138" i="6" l="1"/>
  <c r="M138" i="6" s="1"/>
  <c r="K142" i="5"/>
  <c r="L142" i="5" s="1"/>
  <c r="I140" i="6" s="1"/>
  <c r="J140" i="6" s="1"/>
  <c r="J142" i="5"/>
  <c r="G141" i="6" s="1"/>
  <c r="H141" i="6" s="1"/>
  <c r="K139" i="6" l="1"/>
  <c r="M139" i="6" s="1"/>
  <c r="K143" i="5"/>
  <c r="L143" i="5" s="1"/>
  <c r="I141" i="6" s="1"/>
  <c r="J141" i="6" s="1"/>
  <c r="J143" i="5"/>
  <c r="G142" i="6" s="1"/>
  <c r="H142" i="6" s="1"/>
  <c r="K140" i="6" l="1"/>
  <c r="K141" i="6" s="1"/>
  <c r="M141" i="6" s="1"/>
  <c r="J144" i="5"/>
  <c r="G143" i="6" s="1"/>
  <c r="H143" i="6" s="1"/>
  <c r="K144" i="5"/>
  <c r="L144" i="5" s="1"/>
  <c r="I142" i="6" s="1"/>
  <c r="J142" i="6" s="1"/>
  <c r="M140" i="6" l="1"/>
  <c r="K142" i="6"/>
  <c r="M142" i="6" s="1"/>
  <c r="J145" i="5"/>
  <c r="G144" i="6" s="1"/>
  <c r="H144" i="6" s="1"/>
  <c r="K145" i="5"/>
  <c r="L145" i="5" s="1"/>
  <c r="I143" i="6" s="1"/>
  <c r="J143" i="6" s="1"/>
  <c r="K143" i="6" l="1"/>
  <c r="M143" i="6" s="1"/>
  <c r="J146" i="5"/>
  <c r="G145" i="6" s="1"/>
  <c r="H145" i="6" s="1"/>
  <c r="K146" i="5"/>
  <c r="L146" i="5" s="1"/>
  <c r="I144" i="6" s="1"/>
  <c r="J144" i="6" s="1"/>
  <c r="K144" i="6" l="1"/>
  <c r="M144" i="6" s="1"/>
  <c r="J147" i="5"/>
  <c r="G146" i="6" s="1"/>
  <c r="H146" i="6" s="1"/>
  <c r="K147" i="5"/>
  <c r="L147" i="5" s="1"/>
  <c r="I145" i="6" s="1"/>
  <c r="J145" i="6" s="1"/>
  <c r="K145" i="6" l="1"/>
  <c r="M145" i="6" s="1"/>
  <c r="J148" i="5"/>
  <c r="G147" i="6" s="1"/>
  <c r="H147" i="6" s="1"/>
  <c r="K148" i="5"/>
  <c r="L148" i="5" s="1"/>
  <c r="I146" i="6" s="1"/>
  <c r="J146" i="6" s="1"/>
  <c r="K146" i="6" l="1"/>
  <c r="J149" i="5"/>
  <c r="G148" i="6" s="1"/>
  <c r="H148" i="6" s="1"/>
  <c r="K149" i="5"/>
  <c r="L149" i="5" s="1"/>
  <c r="I147" i="6" s="1"/>
  <c r="J147" i="6" s="1"/>
  <c r="K147" i="6" l="1"/>
  <c r="M147" i="6" s="1"/>
  <c r="M146" i="6"/>
  <c r="J150" i="5"/>
  <c r="G149" i="6" s="1"/>
  <c r="H149" i="6" s="1"/>
  <c r="K150" i="5"/>
  <c r="L150" i="5" s="1"/>
  <c r="I148" i="6" l="1"/>
  <c r="J151" i="5"/>
  <c r="G150" i="6" s="1"/>
  <c r="H150" i="6" s="1"/>
  <c r="K151" i="5"/>
  <c r="L151" i="5" s="1"/>
  <c r="I149" i="6" s="1"/>
  <c r="J149" i="6" s="1"/>
  <c r="J148" i="6" l="1"/>
  <c r="K148" i="6"/>
  <c r="J152" i="5"/>
  <c r="G151" i="6" s="1"/>
  <c r="H151" i="6" s="1"/>
  <c r="K152" i="5"/>
  <c r="L152" i="5" s="1"/>
  <c r="I150" i="6" s="1"/>
  <c r="J150" i="6" s="1"/>
  <c r="K149" i="6" l="1"/>
  <c r="M149" i="6" s="1"/>
  <c r="M148" i="6"/>
  <c r="J153" i="5"/>
  <c r="G152" i="6" s="1"/>
  <c r="H152" i="6" s="1"/>
  <c r="K153" i="5"/>
  <c r="L153" i="5" s="1"/>
  <c r="I151" i="6" s="1"/>
  <c r="J151" i="6" s="1"/>
  <c r="K150" i="6" l="1"/>
  <c r="M150" i="6" s="1"/>
  <c r="J154" i="5"/>
  <c r="G153" i="6" s="1"/>
  <c r="H153" i="6" s="1"/>
  <c r="K154" i="5"/>
  <c r="L154" i="5" s="1"/>
  <c r="K151" i="6" l="1"/>
  <c r="M151" i="6" s="1"/>
  <c r="I152" i="6"/>
  <c r="J152" i="6" s="1"/>
  <c r="P11" i="5"/>
  <c r="T11" i="5" s="1"/>
  <c r="K155" i="5"/>
  <c r="L155" i="5" s="1"/>
  <c r="I153" i="6" s="1"/>
  <c r="J153" i="6" s="1"/>
  <c r="J155" i="5"/>
  <c r="G154" i="6" s="1"/>
  <c r="H154" i="6" s="1"/>
  <c r="K152" i="6" l="1"/>
  <c r="M152" i="6" s="1"/>
  <c r="J156" i="5"/>
  <c r="G155" i="6" s="1"/>
  <c r="H155" i="6" s="1"/>
  <c r="K156" i="5"/>
  <c r="L156" i="5" s="1"/>
  <c r="I154" i="6" s="1"/>
  <c r="J154" i="6" s="1"/>
  <c r="K153" i="6" l="1"/>
  <c r="M153" i="6" s="1"/>
  <c r="K157" i="5"/>
  <c r="L157" i="5" s="1"/>
  <c r="I155" i="6" s="1"/>
  <c r="J155" i="6" s="1"/>
  <c r="J157" i="5"/>
  <c r="G156" i="6" s="1"/>
  <c r="H156" i="6" s="1"/>
  <c r="K154" i="6" l="1"/>
  <c r="M154" i="6" s="1"/>
  <c r="J158" i="5"/>
  <c r="G157" i="6" s="1"/>
  <c r="H157" i="6" s="1"/>
  <c r="K158" i="5"/>
  <c r="L158" i="5" s="1"/>
  <c r="I156" i="6" s="1"/>
  <c r="J156" i="6" s="1"/>
  <c r="K155" i="6" l="1"/>
  <c r="M155" i="6" s="1"/>
  <c r="J159" i="5"/>
  <c r="G158" i="6" s="1"/>
  <c r="H158" i="6" s="1"/>
  <c r="K159" i="5"/>
  <c r="L159" i="5" s="1"/>
  <c r="I157" i="6" s="1"/>
  <c r="J157" i="6" s="1"/>
  <c r="K156" i="6" l="1"/>
  <c r="M156" i="6" s="1"/>
  <c r="K160" i="5"/>
  <c r="L160" i="5" s="1"/>
  <c r="I158" i="6" s="1"/>
  <c r="J158" i="6" s="1"/>
  <c r="J160" i="5"/>
  <c r="G159" i="6" s="1"/>
  <c r="H159" i="6" s="1"/>
  <c r="K157" i="6" l="1"/>
  <c r="K158" i="6" s="1"/>
  <c r="M158" i="6" s="1"/>
  <c r="J161" i="5"/>
  <c r="G160" i="6" s="1"/>
  <c r="H160" i="6" s="1"/>
  <c r="K161" i="5"/>
  <c r="L161" i="5" s="1"/>
  <c r="I159" i="6" s="1"/>
  <c r="J159" i="6" s="1"/>
  <c r="M157" i="6" l="1"/>
  <c r="K159" i="6"/>
  <c r="M159" i="6" s="1"/>
  <c r="J162" i="5"/>
  <c r="G161" i="6" s="1"/>
  <c r="H161" i="6" s="1"/>
  <c r="K162" i="5"/>
  <c r="L162" i="5" s="1"/>
  <c r="I160" i="6" s="1"/>
  <c r="J160" i="6" s="1"/>
  <c r="K160" i="6" l="1"/>
  <c r="M160" i="6" s="1"/>
  <c r="J163" i="5"/>
  <c r="G162" i="6" s="1"/>
  <c r="H162" i="6" s="1"/>
  <c r="K163" i="5"/>
  <c r="L163" i="5" s="1"/>
  <c r="I161" i="6" s="1"/>
  <c r="J161" i="6" s="1"/>
  <c r="K161" i="6" l="1"/>
  <c r="M161" i="6" s="1"/>
  <c r="J164" i="5"/>
  <c r="G163" i="6" s="1"/>
  <c r="H163" i="6" s="1"/>
  <c r="K164" i="5"/>
  <c r="L164" i="5" s="1"/>
  <c r="I162" i="6" s="1"/>
  <c r="J162" i="6" s="1"/>
  <c r="K162" i="6" l="1"/>
  <c r="M162" i="6" s="1"/>
  <c r="K165" i="5"/>
  <c r="L165" i="5" s="1"/>
  <c r="I163" i="6" s="1"/>
  <c r="J163" i="6" s="1"/>
  <c r="J165" i="5"/>
  <c r="G164" i="6" s="1"/>
  <c r="H164" i="6" s="1"/>
  <c r="K163" i="6" l="1"/>
  <c r="M163" i="6" s="1"/>
  <c r="K166" i="5"/>
  <c r="L166" i="5" s="1"/>
  <c r="I164" i="6" s="1"/>
  <c r="J164" i="6" s="1"/>
  <c r="J166" i="5"/>
  <c r="G165" i="6" s="1"/>
  <c r="H165" i="6" s="1"/>
  <c r="K164" i="6" l="1"/>
  <c r="M164" i="6" s="1"/>
  <c r="J167" i="5"/>
  <c r="G166" i="6" s="1"/>
  <c r="H166" i="6" s="1"/>
  <c r="K167" i="5"/>
  <c r="L167" i="5" s="1"/>
  <c r="I165" i="6" s="1"/>
  <c r="J165" i="6" s="1"/>
  <c r="K165" i="6" l="1"/>
  <c r="M165" i="6" s="1"/>
  <c r="J168" i="5"/>
  <c r="G167" i="6" s="1"/>
  <c r="H167" i="6" s="1"/>
  <c r="K168" i="5"/>
  <c r="L168" i="5" s="1"/>
  <c r="I166" i="6" s="1"/>
  <c r="J166" i="6" s="1"/>
  <c r="K166" i="6" l="1"/>
  <c r="M166" i="6" s="1"/>
  <c r="J169" i="5"/>
  <c r="G168" i="6" s="1"/>
  <c r="H168" i="6" s="1"/>
  <c r="K169" i="5"/>
  <c r="L169" i="5" s="1"/>
  <c r="I167" i="6" s="1"/>
  <c r="J167" i="6" s="1"/>
  <c r="K167" i="6" l="1"/>
  <c r="M167" i="6" s="1"/>
  <c r="K170" i="5"/>
  <c r="L170" i="5" s="1"/>
  <c r="I168" i="6" s="1"/>
  <c r="J168" i="6" s="1"/>
  <c r="J170" i="5"/>
  <c r="G169" i="6" s="1"/>
  <c r="H169" i="6" s="1"/>
  <c r="K168" i="6" l="1"/>
  <c r="M168" i="6" s="1"/>
  <c r="J171" i="5"/>
  <c r="G170" i="6" s="1"/>
  <c r="H170" i="6" s="1"/>
  <c r="K171" i="5"/>
  <c r="L171" i="5" s="1"/>
  <c r="I169" i="6" l="1"/>
  <c r="J169" i="6" s="1"/>
  <c r="J172" i="5"/>
  <c r="G171" i="6" s="1"/>
  <c r="H171" i="6" s="1"/>
  <c r="K172" i="5"/>
  <c r="L172" i="5" s="1"/>
  <c r="I170" i="6" s="1"/>
  <c r="J170" i="6" s="1"/>
  <c r="K169" i="6" l="1"/>
  <c r="M169" i="6" s="1"/>
  <c r="K173" i="5"/>
  <c r="L173" i="5" s="1"/>
  <c r="J173" i="5"/>
  <c r="G172" i="6" s="1"/>
  <c r="H172" i="6" s="1"/>
  <c r="K170" i="6" l="1"/>
  <c r="M170" i="6" s="1"/>
  <c r="I171" i="6"/>
  <c r="J171" i="6" s="1"/>
  <c r="P12" i="5"/>
  <c r="T12" i="5" s="1"/>
  <c r="K174" i="5"/>
  <c r="L174" i="5" s="1"/>
  <c r="I172" i="6" s="1"/>
  <c r="J172" i="6" s="1"/>
  <c r="J174" i="5"/>
  <c r="G173" i="6" s="1"/>
  <c r="H173" i="6" s="1"/>
  <c r="K171" i="6" l="1"/>
  <c r="M171" i="6" s="1"/>
  <c r="K175" i="5"/>
  <c r="L175" i="5" s="1"/>
  <c r="I173" i="6" s="1"/>
  <c r="J173" i="6" s="1"/>
  <c r="J175" i="5"/>
  <c r="G174" i="6" s="1"/>
  <c r="H174" i="6" s="1"/>
  <c r="K172" i="6" l="1"/>
  <c r="M172" i="6" s="1"/>
  <c r="J176" i="5"/>
  <c r="G175" i="6" s="1"/>
  <c r="H175" i="6" s="1"/>
  <c r="K176" i="5"/>
  <c r="L176" i="5" s="1"/>
  <c r="I174" i="6" s="1"/>
  <c r="J174" i="6" s="1"/>
  <c r="K173" i="6" l="1"/>
  <c r="M173" i="6" s="1"/>
  <c r="J177" i="5"/>
  <c r="G176" i="6" s="1"/>
  <c r="H176" i="6" s="1"/>
  <c r="K177" i="5"/>
  <c r="L177" i="5" s="1"/>
  <c r="I175" i="6" s="1"/>
  <c r="J175" i="6" s="1"/>
  <c r="K174" i="6" l="1"/>
  <c r="M174" i="6" s="1"/>
  <c r="J178" i="5"/>
  <c r="G177" i="6" s="1"/>
  <c r="H177" i="6" s="1"/>
  <c r="K178" i="5"/>
  <c r="L178" i="5" s="1"/>
  <c r="I176" i="6" s="1"/>
  <c r="J176" i="6" s="1"/>
  <c r="K175" i="6" l="1"/>
  <c r="M175" i="6" s="1"/>
  <c r="J179" i="5"/>
  <c r="G178" i="6" s="1"/>
  <c r="H178" i="6" s="1"/>
  <c r="K179" i="5"/>
  <c r="L179" i="5" s="1"/>
  <c r="I177" i="6" s="1"/>
  <c r="J177" i="6" s="1"/>
  <c r="K176" i="6" l="1"/>
  <c r="M176" i="6" s="1"/>
  <c r="J180" i="5"/>
  <c r="G179" i="6" s="1"/>
  <c r="H179" i="6" s="1"/>
  <c r="K180" i="5"/>
  <c r="L180" i="5" s="1"/>
  <c r="I178" i="6" s="1"/>
  <c r="J178" i="6" s="1"/>
  <c r="K177" i="6" l="1"/>
  <c r="M177" i="6" s="1"/>
  <c r="J181" i="5"/>
  <c r="G180" i="6" s="1"/>
  <c r="H180" i="6" s="1"/>
  <c r="K181" i="5"/>
  <c r="L181" i="5" s="1"/>
  <c r="I179" i="6" s="1"/>
  <c r="J179" i="6" s="1"/>
  <c r="K178" i="6" l="1"/>
  <c r="M178" i="6" s="1"/>
  <c r="J182" i="5"/>
  <c r="G181" i="6" s="1"/>
  <c r="H181" i="6" s="1"/>
  <c r="K182" i="5"/>
  <c r="L182" i="5" s="1"/>
  <c r="I180" i="6" s="1"/>
  <c r="J180" i="6" s="1"/>
  <c r="K179" i="6" l="1"/>
  <c r="M179" i="6" s="1"/>
  <c r="K183" i="5"/>
  <c r="L183" i="5" s="1"/>
  <c r="I181" i="6" s="1"/>
  <c r="J181" i="6" s="1"/>
  <c r="J183" i="5"/>
  <c r="G182" i="6" s="1"/>
  <c r="H182" i="6" s="1"/>
  <c r="K180" i="6" l="1"/>
  <c r="M180" i="6" s="1"/>
  <c r="J184" i="5"/>
  <c r="G183" i="6" s="1"/>
  <c r="H183" i="6" s="1"/>
  <c r="K184" i="5"/>
  <c r="L184" i="5" s="1"/>
  <c r="I182" i="6" s="1"/>
  <c r="J182" i="6" s="1"/>
  <c r="K181" i="6" l="1"/>
  <c r="M181" i="6" s="1"/>
  <c r="K185" i="5"/>
  <c r="L185" i="5" s="1"/>
  <c r="I183" i="6" s="1"/>
  <c r="J183" i="6" s="1"/>
  <c r="J185" i="5"/>
  <c r="G184" i="6" s="1"/>
  <c r="H184" i="6" s="1"/>
  <c r="K182" i="6" l="1"/>
  <c r="M182" i="6" s="1"/>
  <c r="J186" i="5"/>
  <c r="G185" i="6" s="1"/>
  <c r="H185" i="6" s="1"/>
  <c r="K186" i="5"/>
  <c r="L186" i="5" s="1"/>
  <c r="I184" i="6" s="1"/>
  <c r="J184" i="6" s="1"/>
  <c r="K183" i="6" l="1"/>
  <c r="M183" i="6" s="1"/>
  <c r="K187" i="5"/>
  <c r="L187" i="5" s="1"/>
  <c r="I185" i="6" s="1"/>
  <c r="J185" i="6" s="1"/>
  <c r="J187" i="5"/>
  <c r="G186" i="6" s="1"/>
  <c r="H186" i="6" s="1"/>
  <c r="K184" i="6" l="1"/>
  <c r="M184" i="6" s="1"/>
  <c r="J188" i="5"/>
  <c r="G187" i="6" s="1"/>
  <c r="H187" i="6" s="1"/>
  <c r="K188" i="5"/>
  <c r="L188" i="5" s="1"/>
  <c r="I186" i="6" s="1"/>
  <c r="J186" i="6" s="1"/>
  <c r="K185" i="6" l="1"/>
  <c r="M185" i="6" s="1"/>
  <c r="J189" i="5"/>
  <c r="G188" i="6" s="1"/>
  <c r="H188" i="6" s="1"/>
  <c r="K189" i="5"/>
  <c r="L189" i="5" s="1"/>
  <c r="I187" i="6" s="1"/>
  <c r="J187" i="6" s="1"/>
  <c r="K186" i="6" l="1"/>
  <c r="M186" i="6" s="1"/>
  <c r="J190" i="5"/>
  <c r="G189" i="6" s="1"/>
  <c r="H189" i="6" s="1"/>
  <c r="K190" i="5"/>
  <c r="L190" i="5" s="1"/>
  <c r="I188" i="6" s="1"/>
  <c r="J188" i="6" s="1"/>
  <c r="K187" i="6" l="1"/>
  <c r="M187" i="6" s="1"/>
  <c r="J191" i="5"/>
  <c r="G190" i="6" s="1"/>
  <c r="H190" i="6" s="1"/>
  <c r="K191" i="5"/>
  <c r="L191" i="5" s="1"/>
  <c r="I189" i="6" s="1"/>
  <c r="J189" i="6" s="1"/>
  <c r="K188" i="6" l="1"/>
  <c r="M188" i="6" s="1"/>
  <c r="K192" i="5"/>
  <c r="L192" i="5" s="1"/>
  <c r="J192" i="5"/>
  <c r="G191" i="6" s="1"/>
  <c r="H191" i="6" s="1"/>
  <c r="K189" i="6" l="1"/>
  <c r="M189" i="6" s="1"/>
  <c r="I190" i="6"/>
  <c r="J190" i="6" s="1"/>
  <c r="K193" i="5"/>
  <c r="L193" i="5" s="1"/>
  <c r="J193" i="5"/>
  <c r="G192" i="6" s="1"/>
  <c r="H192" i="6" s="1"/>
  <c r="K190" i="6" l="1"/>
  <c r="M190" i="6" s="1"/>
  <c r="I191" i="6"/>
  <c r="J191" i="6" s="1"/>
  <c r="P13" i="5"/>
  <c r="T13" i="5" s="1"/>
  <c r="J194" i="5"/>
  <c r="G193" i="6" s="1"/>
  <c r="H193" i="6" s="1"/>
  <c r="K194" i="5"/>
  <c r="L194" i="5" s="1"/>
  <c r="I192" i="6" s="1"/>
  <c r="J192" i="6" s="1"/>
  <c r="K191" i="6" l="1"/>
  <c r="J195" i="5"/>
  <c r="G194" i="6" s="1"/>
  <c r="H194" i="6" s="1"/>
  <c r="K195" i="5"/>
  <c r="L195" i="5" s="1"/>
  <c r="I193" i="6" s="1"/>
  <c r="J193" i="6" s="1"/>
  <c r="K192" i="6" l="1"/>
  <c r="M192" i="6" s="1"/>
  <c r="M191" i="6"/>
  <c r="K196" i="5"/>
  <c r="L196" i="5" s="1"/>
  <c r="I194" i="6" s="1"/>
  <c r="J194" i="6" s="1"/>
  <c r="J196" i="5"/>
  <c r="G195" i="6" s="1"/>
  <c r="H195" i="6" s="1"/>
  <c r="K193" i="6" l="1"/>
  <c r="M193" i="6" s="1"/>
  <c r="K197" i="5"/>
  <c r="L197" i="5" s="1"/>
  <c r="I195" i="6" s="1"/>
  <c r="J195" i="6" s="1"/>
  <c r="J197" i="5"/>
  <c r="G196" i="6" s="1"/>
  <c r="H196" i="6" s="1"/>
  <c r="K194" i="6" l="1"/>
  <c r="M194" i="6" s="1"/>
  <c r="J198" i="5"/>
  <c r="G197" i="6" s="1"/>
  <c r="H197" i="6" s="1"/>
  <c r="K198" i="5"/>
  <c r="L198" i="5" s="1"/>
  <c r="I196" i="6" s="1"/>
  <c r="J196" i="6" s="1"/>
  <c r="K195" i="6" l="1"/>
  <c r="M195" i="6" s="1"/>
  <c r="J199" i="5"/>
  <c r="G198" i="6" s="1"/>
  <c r="H198" i="6" s="1"/>
  <c r="K199" i="5"/>
  <c r="L199" i="5" s="1"/>
  <c r="I197" i="6" s="1"/>
  <c r="J197" i="6" s="1"/>
  <c r="K196" i="6" l="1"/>
  <c r="M196" i="6" s="1"/>
  <c r="J200" i="5"/>
  <c r="G199" i="6" s="1"/>
  <c r="H199" i="6" s="1"/>
  <c r="K200" i="5"/>
  <c r="L200" i="5" s="1"/>
  <c r="I198" i="6" s="1"/>
  <c r="J198" i="6" s="1"/>
  <c r="K197" i="6" l="1"/>
  <c r="M197" i="6" s="1"/>
  <c r="J201" i="5"/>
  <c r="G200" i="6" s="1"/>
  <c r="H200" i="6" s="1"/>
  <c r="K201" i="5"/>
  <c r="L201" i="5" s="1"/>
  <c r="I199" i="6" s="1"/>
  <c r="J199" i="6" s="1"/>
  <c r="K198" i="6" l="1"/>
  <c r="M198" i="6" s="1"/>
  <c r="J202" i="5"/>
  <c r="G201" i="6" s="1"/>
  <c r="H201" i="6" s="1"/>
  <c r="K202" i="5"/>
  <c r="L202" i="5" s="1"/>
  <c r="I200" i="6" s="1"/>
  <c r="J200" i="6" s="1"/>
  <c r="K199" i="6" l="1"/>
  <c r="M199" i="6" s="1"/>
  <c r="J203" i="5"/>
  <c r="G202" i="6" s="1"/>
  <c r="H202" i="6" s="1"/>
  <c r="K203" i="5"/>
  <c r="L203" i="5" s="1"/>
  <c r="I201" i="6" s="1"/>
  <c r="J201" i="6" s="1"/>
  <c r="K200" i="6" l="1"/>
  <c r="M200" i="6" s="1"/>
  <c r="K204" i="5"/>
  <c r="L204" i="5" s="1"/>
  <c r="I202" i="6" s="1"/>
  <c r="J202" i="6" s="1"/>
  <c r="J204" i="5"/>
  <c r="G203" i="6" s="1"/>
  <c r="H203" i="6" s="1"/>
  <c r="K201" i="6" l="1"/>
  <c r="M201" i="6" s="1"/>
  <c r="K202" i="6"/>
  <c r="M202" i="6" s="1"/>
  <c r="K205" i="5"/>
  <c r="L205" i="5" s="1"/>
  <c r="I203" i="6" s="1"/>
  <c r="J203" i="6" s="1"/>
  <c r="J205" i="5"/>
  <c r="G204" i="6" s="1"/>
  <c r="H204" i="6" s="1"/>
  <c r="K203" i="6" l="1"/>
  <c r="M203" i="6" s="1"/>
  <c r="J206" i="5"/>
  <c r="G205" i="6" s="1"/>
  <c r="H205" i="6" s="1"/>
  <c r="K206" i="5"/>
  <c r="L206" i="5" s="1"/>
  <c r="I204" i="6" s="1"/>
  <c r="J204" i="6" s="1"/>
  <c r="K204" i="6" l="1"/>
  <c r="M204" i="6" s="1"/>
  <c r="K207" i="5"/>
  <c r="L207" i="5" s="1"/>
  <c r="I205" i="6" s="1"/>
  <c r="J205" i="6" s="1"/>
  <c r="J207" i="5"/>
  <c r="G206" i="6" s="1"/>
  <c r="H206" i="6" s="1"/>
  <c r="K205" i="6" l="1"/>
  <c r="M205" i="6" s="1"/>
  <c r="J208" i="5"/>
  <c r="G207" i="6" s="1"/>
  <c r="H207" i="6" s="1"/>
  <c r="K208" i="5"/>
  <c r="L208" i="5" s="1"/>
  <c r="I206" i="6" s="1"/>
  <c r="J206" i="6" s="1"/>
  <c r="K206" i="6" l="1"/>
  <c r="M206" i="6" s="1"/>
  <c r="J209" i="5"/>
  <c r="G208" i="6" s="1"/>
  <c r="H208" i="6" s="1"/>
  <c r="K209" i="5"/>
  <c r="L209" i="5" s="1"/>
  <c r="I207" i="6" s="1"/>
  <c r="J207" i="6" s="1"/>
  <c r="K207" i="6" l="1"/>
  <c r="M207" i="6" s="1"/>
  <c r="J210" i="5"/>
  <c r="G209" i="6" s="1"/>
  <c r="H209" i="6" s="1"/>
  <c r="K210" i="5"/>
  <c r="L210" i="5" s="1"/>
  <c r="I208" i="6" s="1"/>
  <c r="J208" i="6" s="1"/>
  <c r="K208" i="6" l="1"/>
  <c r="M208" i="6" s="1"/>
  <c r="K211" i="5"/>
  <c r="L211" i="5" s="1"/>
  <c r="I209" i="6" s="1"/>
  <c r="J209" i="6" s="1"/>
  <c r="J211" i="5"/>
  <c r="G210" i="6" s="1"/>
  <c r="H210" i="6" s="1"/>
  <c r="K209" i="6" l="1"/>
  <c r="M209" i="6" s="1"/>
  <c r="J212" i="5"/>
  <c r="G211" i="6" s="1"/>
  <c r="H211" i="6" s="1"/>
  <c r="K212" i="5"/>
  <c r="L212" i="5" s="1"/>
  <c r="I210" i="6" s="1"/>
  <c r="J210" i="6" s="1"/>
  <c r="K210" i="6" l="1"/>
  <c r="M210" i="6" s="1"/>
  <c r="K213" i="5"/>
  <c r="L213" i="5" s="1"/>
  <c r="J213" i="5"/>
  <c r="G212" i="6" s="1"/>
  <c r="H212" i="6" s="1"/>
  <c r="I211" i="6" l="1"/>
  <c r="J211" i="6" s="1"/>
  <c r="K214" i="5"/>
  <c r="L214" i="5" s="1"/>
  <c r="J214" i="5"/>
  <c r="G213" i="6" s="1"/>
  <c r="H213" i="6" s="1"/>
  <c r="I212" i="6" l="1"/>
  <c r="J212" i="6" s="1"/>
  <c r="K211" i="6"/>
  <c r="M211" i="6" s="1"/>
  <c r="K215" i="5"/>
  <c r="L215" i="5" s="1"/>
  <c r="J215" i="5"/>
  <c r="G214" i="6" s="1"/>
  <c r="H214" i="6" s="1"/>
  <c r="K212" i="6" l="1"/>
  <c r="M212" i="6" s="1"/>
  <c r="I213" i="6"/>
  <c r="J213" i="6" s="1"/>
  <c r="P14" i="5"/>
  <c r="T14" i="5" s="1"/>
  <c r="J216" i="5"/>
  <c r="G215" i="6" s="1"/>
  <c r="H215" i="6" s="1"/>
  <c r="K216" i="5"/>
  <c r="L216" i="5" s="1"/>
  <c r="I214" i="6" s="1"/>
  <c r="J214" i="6" s="1"/>
  <c r="K213" i="6" l="1"/>
  <c r="K217" i="5"/>
  <c r="L217" i="5" s="1"/>
  <c r="I215" i="6" s="1"/>
  <c r="J215" i="6" s="1"/>
  <c r="J217" i="5"/>
  <c r="G216" i="6" s="1"/>
  <c r="H216" i="6" s="1"/>
  <c r="K214" i="6" l="1"/>
  <c r="M214" i="6" s="1"/>
  <c r="M213" i="6"/>
  <c r="J218" i="5"/>
  <c r="G217" i="6" s="1"/>
  <c r="H217" i="6" s="1"/>
  <c r="K218" i="5"/>
  <c r="L218" i="5" s="1"/>
  <c r="I216" i="6" s="1"/>
  <c r="J216" i="6" s="1"/>
  <c r="K215" i="6" l="1"/>
  <c r="M215" i="6" s="1"/>
  <c r="J219" i="5"/>
  <c r="G218" i="6" s="1"/>
  <c r="H218" i="6" s="1"/>
  <c r="K219" i="5"/>
  <c r="L219" i="5" s="1"/>
  <c r="I217" i="6" s="1"/>
  <c r="J217" i="6" s="1"/>
  <c r="K216" i="6" l="1"/>
  <c r="M216" i="6" s="1"/>
  <c r="J220" i="5"/>
  <c r="G219" i="6" s="1"/>
  <c r="H219" i="6" s="1"/>
  <c r="K220" i="5"/>
  <c r="L220" i="5" s="1"/>
  <c r="I218" i="6" s="1"/>
  <c r="J218" i="6" s="1"/>
  <c r="K217" i="6" l="1"/>
  <c r="M217" i="6" s="1"/>
  <c r="K221" i="5"/>
  <c r="L221" i="5" s="1"/>
  <c r="I219" i="6" s="1"/>
  <c r="J219" i="6" s="1"/>
  <c r="J221" i="5"/>
  <c r="G220" i="6" s="1"/>
  <c r="H220" i="6" s="1"/>
  <c r="K218" i="6" l="1"/>
  <c r="M218" i="6" s="1"/>
  <c r="J222" i="5"/>
  <c r="G221" i="6" s="1"/>
  <c r="H221" i="6" s="1"/>
  <c r="K222" i="5"/>
  <c r="L222" i="5" s="1"/>
  <c r="I220" i="6" s="1"/>
  <c r="J220" i="6" s="1"/>
  <c r="K219" i="6" l="1"/>
  <c r="M219" i="6" s="1"/>
  <c r="K223" i="5"/>
  <c r="L223" i="5" s="1"/>
  <c r="I221" i="6" s="1"/>
  <c r="J221" i="6" s="1"/>
  <c r="J223" i="5"/>
  <c r="G222" i="6" s="1"/>
  <c r="H222" i="6" s="1"/>
  <c r="K220" i="6" l="1"/>
  <c r="M220" i="6" s="1"/>
  <c r="J224" i="5"/>
  <c r="G223" i="6" s="1"/>
  <c r="H223" i="6" s="1"/>
  <c r="K224" i="5"/>
  <c r="L224" i="5" s="1"/>
  <c r="I222" i="6" s="1"/>
  <c r="J222" i="6" s="1"/>
  <c r="K221" i="6" l="1"/>
  <c r="M221" i="6" s="1"/>
  <c r="K225" i="5"/>
  <c r="L225" i="5" s="1"/>
  <c r="I223" i="6" s="1"/>
  <c r="J223" i="6" s="1"/>
  <c r="J225" i="5"/>
  <c r="G224" i="6" s="1"/>
  <c r="H224" i="6" s="1"/>
  <c r="K222" i="6" l="1"/>
  <c r="M222" i="6" s="1"/>
  <c r="K226" i="5"/>
  <c r="L226" i="5" s="1"/>
  <c r="I224" i="6" s="1"/>
  <c r="J224" i="6" s="1"/>
  <c r="J226" i="5"/>
  <c r="G225" i="6" s="1"/>
  <c r="H225" i="6" s="1"/>
  <c r="K223" i="6" l="1"/>
  <c r="M223" i="6" s="1"/>
  <c r="K227" i="5"/>
  <c r="L227" i="5" s="1"/>
  <c r="I225" i="6" s="1"/>
  <c r="J225" i="6" s="1"/>
  <c r="J227" i="5"/>
  <c r="G226" i="6" s="1"/>
  <c r="H226" i="6" s="1"/>
  <c r="K224" i="6" l="1"/>
  <c r="M224" i="6" s="1"/>
  <c r="K228" i="5"/>
  <c r="L228" i="5" s="1"/>
  <c r="I226" i="6" s="1"/>
  <c r="J226" i="6" s="1"/>
  <c r="J228" i="5"/>
  <c r="G227" i="6" s="1"/>
  <c r="H227" i="6" s="1"/>
  <c r="K225" i="6" l="1"/>
  <c r="M225" i="6" s="1"/>
  <c r="J229" i="5"/>
  <c r="G228" i="6" s="1"/>
  <c r="H228" i="6" s="1"/>
  <c r="K229" i="5"/>
  <c r="L229" i="5" s="1"/>
  <c r="I227" i="6" s="1"/>
  <c r="J227" i="6" s="1"/>
  <c r="K226" i="6" l="1"/>
  <c r="M226" i="6" s="1"/>
  <c r="K230" i="5"/>
  <c r="L230" i="5" s="1"/>
  <c r="I228" i="6" s="1"/>
  <c r="J228" i="6" s="1"/>
  <c r="J230" i="5"/>
  <c r="G229" i="6" s="1"/>
  <c r="H229" i="6" s="1"/>
  <c r="K227" i="6" l="1"/>
  <c r="M227" i="6" s="1"/>
  <c r="K231" i="5"/>
  <c r="L231" i="5" s="1"/>
  <c r="I229" i="6" s="1"/>
  <c r="J229" i="6" s="1"/>
  <c r="J231" i="5"/>
  <c r="G230" i="6" s="1"/>
  <c r="H230" i="6" s="1"/>
  <c r="K228" i="6" l="1"/>
  <c r="M228" i="6" s="1"/>
  <c r="K232" i="5"/>
  <c r="L232" i="5" s="1"/>
  <c r="I230" i="6" s="1"/>
  <c r="J230" i="6" s="1"/>
  <c r="J232" i="5"/>
  <c r="G231" i="6" s="1"/>
  <c r="H231" i="6" s="1"/>
  <c r="K229" i="6" l="1"/>
  <c r="M229" i="6" s="1"/>
  <c r="J233" i="5"/>
  <c r="G232" i="6" s="1"/>
  <c r="H232" i="6" s="1"/>
  <c r="K233" i="5"/>
  <c r="L233" i="5" s="1"/>
  <c r="I231" i="6" s="1"/>
  <c r="J231" i="6" s="1"/>
  <c r="K230" i="6" l="1"/>
  <c r="M230" i="6" s="1"/>
  <c r="K234" i="5"/>
  <c r="L234" i="5" s="1"/>
  <c r="J234" i="5"/>
  <c r="G233" i="6" s="1"/>
  <c r="H233" i="6" s="1"/>
  <c r="K231" i="6" l="1"/>
  <c r="M231" i="6" s="1"/>
  <c r="P15" i="5"/>
  <c r="T15" i="5" s="1"/>
  <c r="I232" i="6"/>
  <c r="J232" i="6" s="1"/>
  <c r="J235" i="5"/>
  <c r="G234" i="6" s="1"/>
  <c r="H234" i="6" s="1"/>
  <c r="K235" i="5"/>
  <c r="L235" i="5" s="1"/>
  <c r="I233" i="6" s="1"/>
  <c r="J233" i="6" s="1"/>
  <c r="K232" i="6" l="1"/>
  <c r="J236" i="5"/>
  <c r="G235" i="6" s="1"/>
  <c r="H235" i="6" s="1"/>
  <c r="K236" i="5"/>
  <c r="L236" i="5" s="1"/>
  <c r="I234" i="6" s="1"/>
  <c r="J234" i="6" s="1"/>
  <c r="K233" i="6" l="1"/>
  <c r="M233" i="6" s="1"/>
  <c r="M232" i="6"/>
  <c r="J237" i="5"/>
  <c r="G236" i="6" s="1"/>
  <c r="H236" i="6" s="1"/>
  <c r="K237" i="5"/>
  <c r="L237" i="5" s="1"/>
  <c r="I235" i="6" s="1"/>
  <c r="J235" i="6" s="1"/>
  <c r="K234" i="6" l="1"/>
  <c r="M234" i="6" s="1"/>
  <c r="K238" i="5"/>
  <c r="L238" i="5" s="1"/>
  <c r="I236" i="6" s="1"/>
  <c r="J236" i="6" s="1"/>
  <c r="J238" i="5"/>
  <c r="G237" i="6" s="1"/>
  <c r="H237" i="6" s="1"/>
  <c r="K235" i="6" l="1"/>
  <c r="M235" i="6" s="1"/>
  <c r="J239" i="5"/>
  <c r="G238" i="6" s="1"/>
  <c r="H238" i="6" s="1"/>
  <c r="K239" i="5"/>
  <c r="L239" i="5" s="1"/>
  <c r="I237" i="6" s="1"/>
  <c r="J237" i="6" s="1"/>
  <c r="K236" i="6" l="1"/>
  <c r="M236" i="6" s="1"/>
  <c r="K240" i="5"/>
  <c r="L240" i="5" s="1"/>
  <c r="I238" i="6" s="1"/>
  <c r="J238" i="6" s="1"/>
  <c r="J240" i="5"/>
  <c r="G239" i="6" s="1"/>
  <c r="H239" i="6" s="1"/>
  <c r="K237" i="6" l="1"/>
  <c r="M237" i="6" s="1"/>
  <c r="K241" i="5"/>
  <c r="L241" i="5" s="1"/>
  <c r="I239" i="6" s="1"/>
  <c r="J239" i="6" s="1"/>
  <c r="J241" i="5"/>
  <c r="G240" i="6" s="1"/>
  <c r="H240" i="6" s="1"/>
  <c r="K238" i="6" l="1"/>
  <c r="M238" i="6" s="1"/>
  <c r="J242" i="5"/>
  <c r="G241" i="6" s="1"/>
  <c r="H241" i="6" s="1"/>
  <c r="K242" i="5"/>
  <c r="L242" i="5" s="1"/>
  <c r="I240" i="6" s="1"/>
  <c r="J240" i="6" s="1"/>
  <c r="K239" i="6" l="1"/>
  <c r="M239" i="6" s="1"/>
  <c r="J243" i="5"/>
  <c r="G242" i="6" s="1"/>
  <c r="H242" i="6" s="1"/>
  <c r="K243" i="5"/>
  <c r="L243" i="5" s="1"/>
  <c r="I241" i="6" s="1"/>
  <c r="J241" i="6" s="1"/>
  <c r="K240" i="6" l="1"/>
  <c r="M240" i="6" s="1"/>
  <c r="J244" i="5"/>
  <c r="G243" i="6" s="1"/>
  <c r="H243" i="6" s="1"/>
  <c r="K244" i="5"/>
  <c r="L244" i="5" s="1"/>
  <c r="I242" i="6" s="1"/>
  <c r="J242" i="6" s="1"/>
  <c r="K241" i="6" l="1"/>
  <c r="M241" i="6" s="1"/>
  <c r="J245" i="5"/>
  <c r="G244" i="6" s="1"/>
  <c r="H244" i="6" s="1"/>
  <c r="K245" i="5"/>
  <c r="L245" i="5" s="1"/>
  <c r="I243" i="6" s="1"/>
  <c r="J243" i="6" s="1"/>
  <c r="K242" i="6" l="1"/>
  <c r="M242" i="6" s="1"/>
  <c r="K246" i="5"/>
  <c r="L246" i="5" s="1"/>
  <c r="I244" i="6" s="1"/>
  <c r="J244" i="6" s="1"/>
  <c r="J246" i="5"/>
  <c r="G245" i="6" s="1"/>
  <c r="H245" i="6" s="1"/>
  <c r="K243" i="6" l="1"/>
  <c r="M243" i="6" s="1"/>
  <c r="K247" i="5"/>
  <c r="L247" i="5" s="1"/>
  <c r="I245" i="6" s="1"/>
  <c r="J245" i="6" s="1"/>
  <c r="J247" i="5"/>
  <c r="G246" i="6" s="1"/>
  <c r="H246" i="6" s="1"/>
  <c r="K244" i="6" l="1"/>
  <c r="M244" i="6" s="1"/>
  <c r="K248" i="5"/>
  <c r="L248" i="5" s="1"/>
  <c r="I246" i="6" s="1"/>
  <c r="J246" i="6" s="1"/>
  <c r="J248" i="5"/>
  <c r="G247" i="6" s="1"/>
  <c r="H247" i="6" s="1"/>
  <c r="K245" i="6" l="1"/>
  <c r="M245" i="6" s="1"/>
  <c r="K249" i="5"/>
  <c r="L249" i="5" s="1"/>
  <c r="I247" i="6" s="1"/>
  <c r="J247" i="6" s="1"/>
  <c r="J249" i="5"/>
  <c r="G248" i="6" s="1"/>
  <c r="H248" i="6" s="1"/>
  <c r="K246" i="6" l="1"/>
  <c r="M246" i="6" s="1"/>
  <c r="K247" i="6"/>
  <c r="M247" i="6" s="1"/>
  <c r="J250" i="5"/>
  <c r="G249" i="6" s="1"/>
  <c r="H249" i="6" s="1"/>
  <c r="K250" i="5"/>
  <c r="L250" i="5" s="1"/>
  <c r="I248" i="6" s="1"/>
  <c r="J248" i="6" s="1"/>
  <c r="K248" i="6" l="1"/>
  <c r="M248" i="6" s="1"/>
  <c r="J251" i="5"/>
  <c r="G250" i="6" s="1"/>
  <c r="H250" i="6" s="1"/>
  <c r="K251" i="5"/>
  <c r="L251" i="5" s="1"/>
  <c r="I249" i="6" s="1"/>
  <c r="J249" i="6" s="1"/>
  <c r="K249" i="6" l="1"/>
  <c r="M249" i="6" s="1"/>
  <c r="J252" i="5"/>
  <c r="G251" i="6" s="1"/>
  <c r="H251" i="6" s="1"/>
  <c r="K252" i="5"/>
  <c r="L252" i="5" s="1"/>
  <c r="I250" i="6" s="1"/>
  <c r="J250" i="6" s="1"/>
  <c r="K250" i="6" l="1"/>
  <c r="M250" i="6" s="1"/>
  <c r="K253" i="5"/>
  <c r="L253" i="5" s="1"/>
  <c r="I251" i="6" s="1"/>
  <c r="J251" i="6" s="1"/>
  <c r="J253" i="5"/>
  <c r="G252" i="6" s="1"/>
  <c r="H252" i="6" s="1"/>
  <c r="K251" i="6" l="1"/>
  <c r="M251" i="6" s="1"/>
  <c r="K254" i="5"/>
  <c r="L254" i="5" s="1"/>
  <c r="I252" i="6" s="1"/>
  <c r="J252" i="6" s="1"/>
  <c r="J254" i="5"/>
  <c r="G253" i="6" s="1"/>
  <c r="H253" i="6" s="1"/>
  <c r="K252" i="6" l="1"/>
  <c r="M252" i="6" s="1"/>
  <c r="J255" i="5"/>
  <c r="G254" i="6" s="1"/>
  <c r="H254" i="6" s="1"/>
  <c r="K255" i="5"/>
  <c r="L255" i="5" s="1"/>
  <c r="I253" i="6" l="1"/>
  <c r="J253" i="6" s="1"/>
  <c r="J256" i="5"/>
  <c r="G255" i="6" s="1"/>
  <c r="H255" i="6" s="1"/>
  <c r="K256" i="5"/>
  <c r="L256" i="5" s="1"/>
  <c r="I254" i="6" s="1"/>
  <c r="J254" i="6" s="1"/>
  <c r="K253" i="6" l="1"/>
  <c r="J257" i="5"/>
  <c r="G256" i="6" s="1"/>
  <c r="H256" i="6" s="1"/>
  <c r="K257" i="5"/>
  <c r="L257" i="5" s="1"/>
  <c r="K254" i="6" l="1"/>
  <c r="M254" i="6" s="1"/>
  <c r="M253" i="6"/>
  <c r="I255" i="6"/>
  <c r="J255" i="6" s="1"/>
  <c r="P16" i="5"/>
  <c r="K258" i="5"/>
  <c r="L258" i="5" s="1"/>
  <c r="I256" i="6" s="1"/>
  <c r="J256" i="6" s="1"/>
  <c r="J258" i="5"/>
  <c r="G257" i="6" s="1"/>
  <c r="H257" i="6" s="1"/>
  <c r="AA17" i="5"/>
  <c r="N17" i="5"/>
  <c r="Q16" i="5"/>
  <c r="K255" i="6" l="1"/>
  <c r="Q18" i="5"/>
  <c r="T16" i="5"/>
  <c r="P17" i="5"/>
  <c r="J259" i="5"/>
  <c r="G258" i="6" s="1"/>
  <c r="H258" i="6" s="1"/>
  <c r="K259" i="5"/>
  <c r="L259" i="5" s="1"/>
  <c r="I257" i="6" s="1"/>
  <c r="J257" i="6" s="1"/>
  <c r="K256" i="6" l="1"/>
  <c r="M256" i="6" s="1"/>
  <c r="M255" i="6"/>
  <c r="J260" i="5"/>
  <c r="G259" i="6" s="1"/>
  <c r="H259" i="6" s="1"/>
  <c r="K260" i="5"/>
  <c r="L260" i="5" s="1"/>
  <c r="I258" i="6" s="1"/>
  <c r="J258" i="6" s="1"/>
  <c r="K257" i="6" l="1"/>
  <c r="M257" i="6" s="1"/>
  <c r="K261" i="5"/>
  <c r="L261" i="5" s="1"/>
  <c r="I259" i="6" s="1"/>
  <c r="J259" i="6" s="1"/>
  <c r="J261" i="5"/>
  <c r="G260" i="6" s="1"/>
  <c r="H260" i="6" s="1"/>
  <c r="K258" i="6" l="1"/>
  <c r="M258" i="6" s="1"/>
  <c r="J262" i="5"/>
  <c r="G261" i="6" s="1"/>
  <c r="H261" i="6" s="1"/>
  <c r="K262" i="5"/>
  <c r="L262" i="5" s="1"/>
  <c r="I260" i="6" s="1"/>
  <c r="J260" i="6" s="1"/>
  <c r="K259" i="6" l="1"/>
  <c r="M259" i="6" s="1"/>
  <c r="J263" i="5"/>
  <c r="G262" i="6" s="1"/>
  <c r="H262" i="6" s="1"/>
  <c r="K263" i="5"/>
  <c r="L263" i="5" s="1"/>
  <c r="I261" i="6" s="1"/>
  <c r="J261" i="6" s="1"/>
  <c r="K260" i="6" l="1"/>
  <c r="M260" i="6" s="1"/>
  <c r="J264" i="5"/>
  <c r="G263" i="6" s="1"/>
  <c r="H263" i="6" s="1"/>
  <c r="K264" i="5"/>
  <c r="L264" i="5" s="1"/>
  <c r="I262" i="6" s="1"/>
  <c r="J262" i="6" s="1"/>
  <c r="K261" i="6" l="1"/>
  <c r="M261" i="6" s="1"/>
  <c r="J265" i="5"/>
  <c r="G264" i="6" s="1"/>
  <c r="H264" i="6" s="1"/>
  <c r="K265" i="5"/>
  <c r="L265" i="5" s="1"/>
  <c r="I263" i="6" s="1"/>
  <c r="J263" i="6" s="1"/>
  <c r="K262" i="6" l="1"/>
  <c r="M262" i="6" s="1"/>
  <c r="J266" i="5"/>
  <c r="G265" i="6" s="1"/>
  <c r="H265" i="6" s="1"/>
  <c r="K266" i="5"/>
  <c r="L266" i="5" s="1"/>
  <c r="I264" i="6" s="1"/>
  <c r="J264" i="6" s="1"/>
  <c r="K263" i="6" l="1"/>
  <c r="M263" i="6" s="1"/>
  <c r="J267" i="5"/>
  <c r="G266" i="6" s="1"/>
  <c r="H266" i="6" s="1"/>
  <c r="K267" i="5"/>
  <c r="L267" i="5" s="1"/>
  <c r="I265" i="6" s="1"/>
  <c r="J265" i="6" s="1"/>
  <c r="K264" i="6" l="1"/>
  <c r="M264" i="6" s="1"/>
  <c r="J268" i="5"/>
  <c r="G267" i="6" s="1"/>
  <c r="H267" i="6" s="1"/>
  <c r="K268" i="5"/>
  <c r="L268" i="5" s="1"/>
  <c r="I266" i="6" s="1"/>
  <c r="J266" i="6" s="1"/>
  <c r="K265" i="6" l="1"/>
  <c r="M265" i="6" s="1"/>
  <c r="K269" i="5"/>
  <c r="L269" i="5" s="1"/>
  <c r="I267" i="6" s="1"/>
  <c r="J267" i="6" s="1"/>
  <c r="J269" i="5"/>
  <c r="G268" i="6" s="1"/>
  <c r="H268" i="6" s="1"/>
  <c r="K266" i="6" l="1"/>
  <c r="M266" i="6" s="1"/>
  <c r="J270" i="5"/>
  <c r="G269" i="6" s="1"/>
  <c r="H269" i="6" s="1"/>
  <c r="K270" i="5"/>
  <c r="L270" i="5" s="1"/>
  <c r="I268" i="6" s="1"/>
  <c r="J268" i="6" s="1"/>
  <c r="K267" i="6" l="1"/>
  <c r="M267" i="6" s="1"/>
  <c r="J271" i="5"/>
  <c r="G270" i="6" s="1"/>
  <c r="H270" i="6" s="1"/>
  <c r="K271" i="5"/>
  <c r="L271" i="5" s="1"/>
  <c r="I269" i="6" s="1"/>
  <c r="J269" i="6" s="1"/>
  <c r="K268" i="6" l="1"/>
  <c r="M268" i="6" s="1"/>
  <c r="K272" i="5"/>
  <c r="L272" i="5" s="1"/>
  <c r="I270" i="6" s="1"/>
  <c r="J270" i="6" s="1"/>
  <c r="J272" i="5"/>
  <c r="G271" i="6" s="1"/>
  <c r="H271" i="6" s="1"/>
  <c r="K269" i="6" l="1"/>
  <c r="M269" i="6" s="1"/>
  <c r="K273" i="5"/>
  <c r="L273" i="5" s="1"/>
  <c r="I271" i="6" s="1"/>
  <c r="J271" i="6" s="1"/>
  <c r="J273" i="5"/>
  <c r="G272" i="6" s="1"/>
  <c r="H272" i="6" s="1"/>
  <c r="K270" i="6" l="1"/>
  <c r="M270" i="6" s="1"/>
  <c r="J274" i="5"/>
  <c r="G273" i="6" s="1"/>
  <c r="H273" i="6" s="1"/>
  <c r="K274" i="5"/>
  <c r="L274" i="5" s="1"/>
  <c r="I272" i="6" s="1"/>
  <c r="J272" i="6" s="1"/>
  <c r="K271" i="6" l="1"/>
  <c r="M271" i="6" s="1"/>
  <c r="K275" i="5"/>
  <c r="L275" i="5" s="1"/>
  <c r="I273" i="6" s="1"/>
  <c r="J273" i="6" s="1"/>
  <c r="J275" i="5"/>
  <c r="G274" i="6" s="1"/>
  <c r="H274" i="6" s="1"/>
  <c r="K272" i="6" l="1"/>
  <c r="M272" i="6" s="1"/>
  <c r="K276" i="5"/>
  <c r="L276" i="5" s="1"/>
  <c r="I274" i="6" s="1"/>
  <c r="J274" i="6" s="1"/>
  <c r="J276" i="5"/>
  <c r="G275" i="6" s="1"/>
  <c r="H275" i="6" s="1"/>
  <c r="K273" i="6" l="1"/>
  <c r="M273" i="6" s="1"/>
  <c r="J277" i="5"/>
  <c r="G276" i="6" s="1"/>
  <c r="H276" i="6" s="1"/>
  <c r="K277" i="5"/>
  <c r="L277" i="5" s="1"/>
  <c r="I275" i="6" s="1"/>
  <c r="J275" i="6" s="1"/>
  <c r="K274" i="6" l="1"/>
  <c r="M274" i="6" s="1"/>
  <c r="J278" i="5"/>
  <c r="G277" i="6" s="1"/>
  <c r="H277" i="6" s="1"/>
  <c r="K278" i="5"/>
  <c r="L278" i="5" s="1"/>
  <c r="I276" i="6" s="1"/>
  <c r="J276" i="6" s="1"/>
  <c r="K275" i="6" l="1"/>
  <c r="M275" i="6" s="1"/>
  <c r="K276" i="6"/>
  <c r="M276" i="6" s="1"/>
  <c r="J279" i="5"/>
  <c r="G278" i="6" s="1"/>
  <c r="H278" i="6" s="1"/>
  <c r="K279" i="5"/>
  <c r="L279" i="5" s="1"/>
  <c r="I277" i="6" s="1"/>
  <c r="J277" i="6" s="1"/>
  <c r="K277" i="6" l="1"/>
  <c r="M277" i="6" s="1"/>
  <c r="J280" i="5"/>
  <c r="G279" i="6" s="1"/>
  <c r="H279" i="6" s="1"/>
  <c r="K280" i="5"/>
  <c r="L280" i="5" s="1"/>
  <c r="I278" i="6" s="1"/>
  <c r="J278" i="6" s="1"/>
  <c r="K278" i="6" l="1"/>
  <c r="M278" i="6" s="1"/>
  <c r="K281" i="5"/>
  <c r="L281" i="5" s="1"/>
  <c r="I279" i="6" s="1"/>
  <c r="J279" i="6" s="1"/>
  <c r="J281" i="5"/>
  <c r="G280" i="6" s="1"/>
  <c r="H280" i="6" s="1"/>
  <c r="K279" i="6" l="1"/>
  <c r="M279" i="6" s="1"/>
  <c r="K282" i="5"/>
  <c r="L282" i="5" s="1"/>
  <c r="I280" i="6" s="1"/>
  <c r="J280" i="6" s="1"/>
  <c r="J282" i="5"/>
  <c r="G281" i="6" s="1"/>
  <c r="H281" i="6" s="1"/>
  <c r="K280" i="6" l="1"/>
  <c r="M280" i="6" s="1"/>
  <c r="J283" i="5"/>
  <c r="G282" i="6" s="1"/>
  <c r="H282" i="6" s="1"/>
  <c r="K283" i="5"/>
  <c r="L283" i="5" s="1"/>
  <c r="I281" i="6" s="1"/>
  <c r="J281" i="6" s="1"/>
  <c r="K281" i="6" l="1"/>
  <c r="M281" i="6" s="1"/>
  <c r="K284" i="5"/>
  <c r="L284" i="5" s="1"/>
  <c r="I282" i="6" s="1"/>
  <c r="J282" i="6" s="1"/>
  <c r="J284" i="5"/>
  <c r="G283" i="6" s="1"/>
  <c r="H283" i="6" s="1"/>
  <c r="K282" i="6" l="1"/>
  <c r="M282" i="6" s="1"/>
  <c r="J285" i="5"/>
  <c r="G284" i="6" s="1"/>
  <c r="H284" i="6" s="1"/>
  <c r="K285" i="5"/>
  <c r="L285" i="5" s="1"/>
  <c r="I283" i="6" s="1"/>
  <c r="J283" i="6" s="1"/>
  <c r="K283" i="6" l="1"/>
  <c r="M283" i="6" s="1"/>
  <c r="K286" i="5"/>
  <c r="L286" i="5" s="1"/>
  <c r="I284" i="6" s="1"/>
  <c r="J284" i="6" s="1"/>
  <c r="J286" i="5"/>
  <c r="G285" i="6" s="1"/>
  <c r="H285" i="6" s="1"/>
  <c r="K284" i="6" l="1"/>
  <c r="M284" i="6" s="1"/>
  <c r="J287" i="5"/>
  <c r="G286" i="6" s="1"/>
  <c r="H286" i="6" s="1"/>
  <c r="K287" i="5"/>
  <c r="L287" i="5" s="1"/>
  <c r="I285" i="6" s="1"/>
  <c r="J285" i="6" s="1"/>
  <c r="K285" i="6" l="1"/>
  <c r="M285" i="6" s="1"/>
  <c r="K288" i="5"/>
  <c r="L288" i="5" s="1"/>
  <c r="I286" i="6" s="1"/>
  <c r="J286" i="6" s="1"/>
  <c r="J288" i="5"/>
  <c r="G287" i="6" s="1"/>
  <c r="H287" i="6" s="1"/>
  <c r="K286" i="6" l="1"/>
  <c r="M286" i="6" s="1"/>
  <c r="J289" i="5"/>
  <c r="G288" i="6" s="1"/>
  <c r="H288" i="6" s="1"/>
  <c r="K289" i="5"/>
  <c r="L289" i="5" s="1"/>
  <c r="I287" i="6" s="1"/>
  <c r="J287" i="6" s="1"/>
  <c r="K287" i="6" l="1"/>
  <c r="M287" i="6" s="1"/>
  <c r="J290" i="5"/>
  <c r="G289" i="6" s="1"/>
  <c r="H289" i="6" s="1"/>
  <c r="K290" i="5"/>
  <c r="L290" i="5" s="1"/>
  <c r="I288" i="6" s="1"/>
  <c r="J288" i="6" s="1"/>
  <c r="K288" i="6" l="1"/>
  <c r="M288" i="6" s="1"/>
  <c r="J291" i="5"/>
  <c r="G290" i="6" s="1"/>
  <c r="H290" i="6" s="1"/>
  <c r="K291" i="5"/>
  <c r="L291" i="5" s="1"/>
  <c r="I289" i="6" s="1"/>
  <c r="J289" i="6" s="1"/>
  <c r="K289" i="6" l="1"/>
  <c r="M289" i="6" s="1"/>
  <c r="J292" i="5"/>
  <c r="G291" i="6" s="1"/>
  <c r="H291" i="6" s="1"/>
  <c r="K292" i="5"/>
  <c r="L292" i="5" s="1"/>
  <c r="I290" i="6" s="1"/>
  <c r="J290" i="6" s="1"/>
  <c r="K290" i="6" l="1"/>
  <c r="M290" i="6" s="1"/>
  <c r="J293" i="5"/>
  <c r="G292" i="6" s="1"/>
  <c r="H292" i="6" s="1"/>
  <c r="K293" i="5"/>
  <c r="L293" i="5" s="1"/>
  <c r="I291" i="6" s="1"/>
  <c r="J291" i="6" s="1"/>
  <c r="K291" i="6" l="1"/>
  <c r="M291" i="6" s="1"/>
  <c r="K294" i="5"/>
  <c r="L294" i="5" s="1"/>
  <c r="I292" i="6" s="1"/>
  <c r="J292" i="6" s="1"/>
  <c r="J294" i="5"/>
  <c r="G293" i="6" s="1"/>
  <c r="H293" i="6" s="1"/>
  <c r="K292" i="6" l="1"/>
  <c r="M292" i="6" s="1"/>
  <c r="K295" i="5"/>
  <c r="L295" i="5" s="1"/>
  <c r="I293" i="6" s="1"/>
  <c r="J293" i="6" s="1"/>
  <c r="J295" i="5"/>
  <c r="G294" i="6" s="1"/>
  <c r="H294" i="6" s="1"/>
  <c r="K293" i="6" l="1"/>
  <c r="M293" i="6" s="1"/>
  <c r="K296" i="5"/>
  <c r="L296" i="5" s="1"/>
  <c r="I294" i="6" s="1"/>
  <c r="J294" i="6" s="1"/>
  <c r="J296" i="5"/>
  <c r="G295" i="6" s="1"/>
  <c r="H295" i="6" s="1"/>
  <c r="K294" i="6" l="1"/>
  <c r="M294" i="6" s="1"/>
  <c r="J297" i="5"/>
  <c r="G296" i="6" s="1"/>
  <c r="H296" i="6" s="1"/>
  <c r="K297" i="5"/>
  <c r="L297" i="5" s="1"/>
  <c r="I295" i="6" s="1"/>
  <c r="J295" i="6" s="1"/>
  <c r="K295" i="6" l="1"/>
  <c r="M295" i="6" s="1"/>
  <c r="J298" i="5"/>
  <c r="G297" i="6" s="1"/>
  <c r="H297" i="6" s="1"/>
  <c r="K298" i="5"/>
  <c r="L298" i="5" s="1"/>
  <c r="I296" i="6" s="1"/>
  <c r="J296" i="6" s="1"/>
  <c r="K296" i="6" l="1"/>
  <c r="M296" i="6" s="1"/>
  <c r="J299" i="5"/>
  <c r="G298" i="6" s="1"/>
  <c r="H298" i="6" s="1"/>
  <c r="K299" i="5"/>
  <c r="L299" i="5" s="1"/>
  <c r="I297" i="6" s="1"/>
  <c r="J297" i="6" s="1"/>
  <c r="K297" i="6" l="1"/>
  <c r="M297" i="6" s="1"/>
  <c r="J300" i="5"/>
  <c r="G299" i="6" s="1"/>
  <c r="H299" i="6" s="1"/>
  <c r="K300" i="5"/>
  <c r="L300" i="5" s="1"/>
  <c r="I298" i="6" s="1"/>
  <c r="J298" i="6" s="1"/>
  <c r="K298" i="6" l="1"/>
  <c r="M298" i="6" s="1"/>
  <c r="K301" i="5"/>
  <c r="L301" i="5" s="1"/>
  <c r="I299" i="6" s="1"/>
  <c r="J299" i="6" s="1"/>
  <c r="J301" i="5"/>
  <c r="G300" i="6" s="1"/>
  <c r="H300" i="6" s="1"/>
  <c r="K299" i="6" l="1"/>
  <c r="M299" i="6" s="1"/>
  <c r="J302" i="5"/>
  <c r="G301" i="6" s="1"/>
  <c r="H301" i="6" s="1"/>
  <c r="K302" i="5"/>
  <c r="L302" i="5" s="1"/>
  <c r="I300" i="6" s="1"/>
  <c r="J300" i="6" s="1"/>
  <c r="K300" i="6" l="1"/>
  <c r="M300" i="6" s="1"/>
  <c r="J303" i="5"/>
  <c r="G302" i="6" s="1"/>
  <c r="H302" i="6" s="1"/>
  <c r="K303" i="5"/>
  <c r="L303" i="5" s="1"/>
  <c r="I301" i="6" s="1"/>
  <c r="J301" i="6" s="1"/>
  <c r="K301" i="6" l="1"/>
  <c r="M301" i="6" s="1"/>
  <c r="J304" i="5"/>
  <c r="G303" i="6" s="1"/>
  <c r="H303" i="6" s="1"/>
  <c r="K304" i="5"/>
  <c r="L304" i="5" s="1"/>
  <c r="I302" i="6" s="1"/>
  <c r="J302" i="6" s="1"/>
  <c r="K302" i="6" l="1"/>
  <c r="M302" i="6" s="1"/>
  <c r="K305" i="5"/>
  <c r="L305" i="5" s="1"/>
  <c r="I303" i="6" s="1"/>
  <c r="J303" i="6" s="1"/>
  <c r="J305" i="5"/>
  <c r="G304" i="6" s="1"/>
  <c r="H304" i="6" s="1"/>
  <c r="K303" i="6" l="1"/>
  <c r="M303" i="6" s="1"/>
  <c r="J306" i="5"/>
  <c r="G305" i="6" s="1"/>
  <c r="H305" i="6" s="1"/>
  <c r="K306" i="5"/>
  <c r="L306" i="5" s="1"/>
  <c r="I304" i="6" s="1"/>
  <c r="J304" i="6" s="1"/>
  <c r="K304" i="6" l="1"/>
  <c r="M304" i="6" s="1"/>
  <c r="J307" i="5"/>
  <c r="G306" i="6" s="1"/>
  <c r="H306" i="6" s="1"/>
  <c r="K307" i="5"/>
  <c r="L307" i="5" s="1"/>
  <c r="I305" i="6" s="1"/>
  <c r="J305" i="6" s="1"/>
  <c r="K305" i="6" l="1"/>
  <c r="M305" i="6" s="1"/>
  <c r="J308" i="5"/>
  <c r="G307" i="6" s="1"/>
  <c r="H307" i="6" s="1"/>
  <c r="K308" i="5"/>
  <c r="L308" i="5" s="1"/>
  <c r="I306" i="6" s="1"/>
  <c r="J306" i="6" s="1"/>
  <c r="K306" i="6" l="1"/>
  <c r="M306" i="6" s="1"/>
  <c r="J309" i="5"/>
  <c r="G308" i="6" s="1"/>
  <c r="H308" i="6" s="1"/>
  <c r="K309" i="5"/>
  <c r="L309" i="5" s="1"/>
  <c r="I307" i="6" s="1"/>
  <c r="J307" i="6" s="1"/>
  <c r="K307" i="6" l="1"/>
  <c r="M307" i="6" s="1"/>
  <c r="J310" i="5"/>
  <c r="G309" i="6" s="1"/>
  <c r="H309" i="6" s="1"/>
  <c r="K310" i="5"/>
  <c r="L310" i="5" s="1"/>
  <c r="I308" i="6" s="1"/>
  <c r="J308" i="6" s="1"/>
  <c r="K308" i="6" l="1"/>
  <c r="M308" i="6" s="1"/>
  <c r="J311" i="5"/>
  <c r="G310" i="6" s="1"/>
  <c r="H310" i="6" s="1"/>
  <c r="K311" i="5"/>
  <c r="L311" i="5" s="1"/>
  <c r="I309" i="6" s="1"/>
  <c r="J309" i="6" s="1"/>
  <c r="K309" i="6" l="1"/>
  <c r="M309" i="6" s="1"/>
  <c r="J312" i="5"/>
  <c r="G311" i="6" s="1"/>
  <c r="H311" i="6" s="1"/>
  <c r="K312" i="5"/>
  <c r="L312" i="5" s="1"/>
  <c r="I310" i="6" s="1"/>
  <c r="J310" i="6" s="1"/>
  <c r="K310" i="6" l="1"/>
  <c r="M310" i="6" s="1"/>
  <c r="J313" i="5"/>
  <c r="G312" i="6" s="1"/>
  <c r="H312" i="6" s="1"/>
  <c r="K313" i="5"/>
  <c r="L313" i="5" s="1"/>
  <c r="I311" i="6" s="1"/>
  <c r="J311" i="6" s="1"/>
  <c r="K311" i="6" l="1"/>
  <c r="M311" i="6" s="1"/>
  <c r="J314" i="5"/>
  <c r="G313" i="6" s="1"/>
  <c r="H313" i="6" s="1"/>
  <c r="K314" i="5"/>
  <c r="L314" i="5" s="1"/>
  <c r="I312" i="6" s="1"/>
  <c r="J312" i="6" s="1"/>
  <c r="K312" i="6" l="1"/>
  <c r="M312" i="6" s="1"/>
  <c r="J315" i="5"/>
  <c r="G314" i="6" s="1"/>
  <c r="H314" i="6" s="1"/>
  <c r="K315" i="5"/>
  <c r="L315" i="5" s="1"/>
  <c r="I313" i="6" s="1"/>
  <c r="J313" i="6" s="1"/>
  <c r="K313" i="6" l="1"/>
  <c r="M313" i="6" s="1"/>
  <c r="J316" i="5"/>
  <c r="G315" i="6" s="1"/>
  <c r="H315" i="6" s="1"/>
  <c r="K316" i="5"/>
  <c r="L316" i="5" s="1"/>
  <c r="I314" i="6" s="1"/>
  <c r="J314" i="6" s="1"/>
  <c r="K314" i="6" l="1"/>
  <c r="M314" i="6" s="1"/>
  <c r="K317" i="5"/>
  <c r="L317" i="5" s="1"/>
  <c r="I315" i="6" s="1"/>
  <c r="J315" i="6" s="1"/>
  <c r="J317" i="5"/>
  <c r="G316" i="6" s="1"/>
  <c r="H316" i="6" s="1"/>
  <c r="K315" i="6" l="1"/>
  <c r="M315" i="6" s="1"/>
  <c r="J318" i="5"/>
  <c r="K318" i="5"/>
  <c r="L318" i="5" s="1"/>
  <c r="I316" i="6" s="1"/>
  <c r="J316" i="6" s="1"/>
  <c r="K316" i="6" l="1"/>
  <c r="M316" i="6" s="1"/>
</calcChain>
</file>

<file path=xl/sharedStrings.xml><?xml version="1.0" encoding="utf-8"?>
<sst xmlns="http://schemas.openxmlformats.org/spreadsheetml/2006/main" count="46" uniqueCount="45">
  <si>
    <t>Time</t>
  </si>
  <si>
    <t>Number of Trials =</t>
  </si>
  <si>
    <t>Randomize =</t>
  </si>
  <si>
    <t>Random Seed =</t>
  </si>
  <si>
    <t>Step</t>
  </si>
  <si>
    <r>
      <t>e</t>
    </r>
    <r>
      <rPr>
        <b/>
        <vertAlign val="subscript"/>
        <sz val="10"/>
        <rFont val="Symbol"/>
        <family val="1"/>
        <charset val="2"/>
      </rPr>
      <t>s</t>
    </r>
  </si>
  <si>
    <r>
      <t>e</t>
    </r>
    <r>
      <rPr>
        <b/>
        <vertAlign val="subscript"/>
        <sz val="10"/>
        <rFont val="Arial"/>
        <family val="2"/>
      </rPr>
      <t>S</t>
    </r>
  </si>
  <si>
    <t>S =</t>
  </si>
  <si>
    <t>q =</t>
  </si>
  <si>
    <t># of Years =</t>
  </si>
  <si>
    <t>dt =</t>
  </si>
  <si>
    <t>r =</t>
  </si>
  <si>
    <t>Steps per Year =</t>
  </si>
  <si>
    <t>q</t>
  </si>
  <si>
    <t>r</t>
  </si>
  <si>
    <t>k =</t>
  </si>
  <si>
    <t>v(0) =</t>
  </si>
  <si>
    <t>s =</t>
  </si>
  <si>
    <t>l =</t>
  </si>
  <si>
    <t>a =</t>
  </si>
  <si>
    <t>d =</t>
  </si>
  <si>
    <r>
      <rPr>
        <b/>
        <sz val="10"/>
        <rFont val="Calibri"/>
        <family val="2"/>
      </rPr>
      <t>λ</t>
    </r>
    <r>
      <rPr>
        <b/>
        <vertAlign val="subscript"/>
        <sz val="10"/>
        <rFont val="Arial"/>
        <family val="2"/>
      </rPr>
      <t>S</t>
    </r>
  </si>
  <si>
    <r>
      <t xml:space="preserve">Adj </t>
    </r>
    <r>
      <rPr>
        <b/>
        <sz val="10"/>
        <rFont val="Symbol"/>
        <family val="1"/>
        <charset val="2"/>
      </rPr>
      <t>e</t>
    </r>
    <r>
      <rPr>
        <b/>
        <vertAlign val="subscript"/>
        <sz val="10"/>
        <rFont val="Arial"/>
        <family val="2"/>
      </rPr>
      <t>S</t>
    </r>
  </si>
  <si>
    <r>
      <t>s</t>
    </r>
    <r>
      <rPr>
        <b/>
        <vertAlign val="superscript"/>
        <sz val="10"/>
        <rFont val="Arial"/>
        <family val="2"/>
      </rPr>
      <t>2</t>
    </r>
    <r>
      <rPr>
        <b/>
        <vertAlign val="subscript"/>
        <sz val="10"/>
        <rFont val="Arial"/>
        <family val="2"/>
      </rPr>
      <t>t</t>
    </r>
  </si>
  <si>
    <t>S</t>
  </si>
  <si>
    <r>
      <rPr>
        <b/>
        <sz val="10"/>
        <rFont val="Calibri"/>
        <family val="2"/>
      </rPr>
      <t>∏</t>
    </r>
    <r>
      <rPr>
        <b/>
        <sz val="10"/>
        <rFont val="Arial"/>
        <family val="2"/>
      </rPr>
      <t>Jumps</t>
    </r>
  </si>
  <si>
    <r>
      <t>x</t>
    </r>
    <r>
      <rPr>
        <b/>
        <vertAlign val="subscript"/>
        <sz val="10"/>
        <rFont val="Arial"/>
        <family val="2"/>
      </rPr>
      <t>1</t>
    </r>
  </si>
  <si>
    <t>ds</t>
  </si>
  <si>
    <t>kappa</t>
  </si>
  <si>
    <t>theta</t>
  </si>
  <si>
    <t>sigma</t>
  </si>
  <si>
    <t>rho</t>
  </si>
  <si>
    <t>v0</t>
  </si>
  <si>
    <t>1% SE</t>
  </si>
  <si>
    <t>aEquityRand</t>
  </si>
  <si>
    <t>aVarianceRand</t>
  </si>
  <si>
    <t>aJumpSizeRand</t>
  </si>
  <si>
    <t>aJumpRandP</t>
  </si>
  <si>
    <t>aVolPath</t>
  </si>
  <si>
    <t>aEquityPath</t>
  </si>
  <si>
    <t>vol diff</t>
  </si>
  <si>
    <t>equity diff</t>
  </si>
  <si>
    <t>Inforcedate</t>
  </si>
  <si>
    <t>mkt date</t>
  </si>
  <si>
    <t>Matlab past oberserv spx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</si>
</sst>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#,##0.0000"/>
    <numFmt numFmtId="168" formatCode="0.000%"/>
    <numFmt numFmtId="169" formatCode="0.0"/>
    <numFmt numFmtId="170" formatCode="#,##0.000"/>
    <numFmt numFmtId="171" formatCode="#,##0.00000"/>
    <numFmt numFmtId="172" formatCode="#,##0.000000000"/>
    <numFmt numFmtId="173" formatCode="0.0000%"/>
    <numFmt numFmtId="174" formatCode="_(* #,##0.000_);_(* \(#,##0.000\);_(* &quot;-&quot;??_);_(@_)"/>
    <numFmt numFmtId="175" formatCode="_(* #,##0.00000_);_(* \(#,##0.00000\);_(* &quot;-&quot;??_);_(@_)"/>
    <numFmt numFmtId="176" formatCode="_(* #,##0.0000000000_);_(* \(#,##0.0000000000\);_(* &quot;-&quot;??_);_(@_)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Symbol"/>
      <family val="1"/>
      <charset val="2"/>
    </font>
    <font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91">
    <xf numFmtId="0" fontId="0" fillId="0" borderId="0" xfId="0"/>
    <xf numFmtId="10" fontId="0" fillId="0" borderId="0" xfId="0" applyNumberFormat="1"/>
    <xf numFmtId="2" fontId="0" fillId="2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2" borderId="0" xfId="0" applyNumberFormat="1" applyFill="1" applyBorder="1" applyAlignment="1">
      <alignment horizontal="right"/>
    </xf>
    <xf numFmtId="3" fontId="0" fillId="2" borderId="2" xfId="0" applyNumberFormat="1" applyFill="1" applyBorder="1"/>
    <xf numFmtId="0" fontId="0" fillId="2" borderId="2" xfId="0" applyFill="1" applyBorder="1"/>
    <xf numFmtId="4" fontId="0" fillId="3" borderId="2" xfId="0" applyNumberFormat="1" applyFill="1" applyBorder="1"/>
    <xf numFmtId="165" fontId="0" fillId="4" borderId="4" xfId="0" applyNumberFormat="1" applyFill="1" applyBorder="1"/>
    <xf numFmtId="165" fontId="0" fillId="4" borderId="2" xfId="0" applyNumberFormat="1" applyFill="1" applyBorder="1"/>
    <xf numFmtId="165" fontId="0" fillId="4" borderId="3" xfId="0" applyNumberFormat="1" applyFill="1" applyBorder="1"/>
    <xf numFmtId="0" fontId="0" fillId="5" borderId="0" xfId="0" applyFill="1"/>
    <xf numFmtId="0" fontId="3" fillId="5" borderId="0" xfId="0" applyFont="1" applyFill="1" applyAlignment="1">
      <alignment horizontal="right"/>
    </xf>
    <xf numFmtId="0" fontId="5" fillId="5" borderId="0" xfId="0" applyFont="1" applyFill="1" applyAlignment="1">
      <alignment horizontal="right"/>
    </xf>
    <xf numFmtId="0" fontId="3" fillId="5" borderId="0" xfId="0" applyFont="1" applyFill="1" applyBorder="1" applyAlignment="1">
      <alignment horizontal="right"/>
    </xf>
    <xf numFmtId="2" fontId="0" fillId="5" borderId="0" xfId="0" applyNumberFormat="1" applyFill="1"/>
    <xf numFmtId="166" fontId="0" fillId="5" borderId="0" xfId="0" applyNumberFormat="1" applyFill="1"/>
    <xf numFmtId="10" fontId="0" fillId="5" borderId="0" xfId="0" applyNumberFormat="1" applyFill="1"/>
    <xf numFmtId="4" fontId="0" fillId="5" borderId="0" xfId="0" applyNumberFormat="1" applyFill="1" applyBorder="1"/>
    <xf numFmtId="167" fontId="0" fillId="5" borderId="0" xfId="0" applyNumberFormat="1" applyFill="1" applyBorder="1"/>
    <xf numFmtId="2" fontId="5" fillId="4" borderId="0" xfId="0" applyNumberFormat="1" applyFont="1" applyFill="1" applyBorder="1" applyAlignment="1">
      <alignment horizontal="right"/>
    </xf>
    <xf numFmtId="168" fontId="3" fillId="4" borderId="0" xfId="0" applyNumberFormat="1" applyFont="1" applyFill="1" applyBorder="1" applyAlignment="1">
      <alignment horizontal="right"/>
    </xf>
    <xf numFmtId="2" fontId="5" fillId="4" borderId="1" xfId="0" applyNumberFormat="1" applyFont="1" applyFill="1" applyBorder="1" applyAlignment="1">
      <alignment horizontal="right"/>
    </xf>
    <xf numFmtId="2" fontId="5" fillId="4" borderId="5" xfId="0" applyNumberFormat="1" applyFont="1" applyFill="1" applyBorder="1" applyAlignment="1">
      <alignment horizontal="right"/>
    </xf>
    <xf numFmtId="2" fontId="7" fillId="5" borderId="5" xfId="0" applyNumberFormat="1" applyFont="1" applyFill="1" applyBorder="1" applyAlignment="1">
      <alignment horizontal="right"/>
    </xf>
    <xf numFmtId="0" fontId="7" fillId="5" borderId="0" xfId="0" applyFont="1" applyFill="1" applyBorder="1" applyAlignment="1">
      <alignment horizontal="right"/>
    </xf>
    <xf numFmtId="0" fontId="7" fillId="5" borderId="1" xfId="0" applyFont="1" applyFill="1" applyBorder="1" applyAlignment="1">
      <alignment horizontal="right"/>
    </xf>
    <xf numFmtId="165" fontId="0" fillId="5" borderId="4" xfId="0" applyNumberFormat="1" applyFill="1" applyBorder="1"/>
    <xf numFmtId="165" fontId="0" fillId="5" borderId="2" xfId="0" applyNumberFormat="1" applyFill="1" applyBorder="1"/>
    <xf numFmtId="169" fontId="0" fillId="5" borderId="0" xfId="0" applyNumberFormat="1" applyFill="1"/>
    <xf numFmtId="165" fontId="1" fillId="5" borderId="3" xfId="0" applyNumberFormat="1" applyFont="1" applyFill="1" applyBorder="1"/>
    <xf numFmtId="0" fontId="0" fillId="6" borderId="0" xfId="0" applyFill="1"/>
    <xf numFmtId="0" fontId="3" fillId="6" borderId="0" xfId="0" applyFont="1" applyFill="1" applyBorder="1" applyAlignment="1">
      <alignment horizontal="right"/>
    </xf>
    <xf numFmtId="0" fontId="0" fillId="6" borderId="0" xfId="0" applyFill="1" applyBorder="1"/>
    <xf numFmtId="1" fontId="0" fillId="6" borderId="0" xfId="0" applyNumberFormat="1" applyFill="1"/>
    <xf numFmtId="164" fontId="0" fillId="6" borderId="0" xfId="0" applyNumberFormat="1" applyFill="1"/>
    <xf numFmtId="3" fontId="0" fillId="6" borderId="0" xfId="0" applyNumberFormat="1" applyFill="1"/>
    <xf numFmtId="167" fontId="0" fillId="6" borderId="0" xfId="0" applyNumberFormat="1" applyFill="1" applyBorder="1"/>
    <xf numFmtId="1" fontId="1" fillId="6" borderId="0" xfId="0" applyNumberFormat="1" applyFont="1" applyFill="1"/>
    <xf numFmtId="2" fontId="0" fillId="7" borderId="0" xfId="0" applyNumberFormat="1" applyFill="1"/>
    <xf numFmtId="2" fontId="3" fillId="7" borderId="0" xfId="0" applyNumberFormat="1" applyFont="1" applyFill="1"/>
    <xf numFmtId="1" fontId="0" fillId="7" borderId="0" xfId="0" applyNumberFormat="1" applyFill="1"/>
    <xf numFmtId="168" fontId="0" fillId="8" borderId="0" xfId="0" applyNumberFormat="1" applyFill="1"/>
    <xf numFmtId="2" fontId="0" fillId="8" borderId="0" xfId="0" applyNumberFormat="1" applyFill="1"/>
    <xf numFmtId="1" fontId="0" fillId="8" borderId="0" xfId="0" applyNumberFormat="1" applyFill="1"/>
    <xf numFmtId="9" fontId="1" fillId="6" borderId="0" xfId="1" applyFont="1" applyFill="1"/>
    <xf numFmtId="170" fontId="0" fillId="6" borderId="0" xfId="0" applyNumberFormat="1" applyFill="1"/>
    <xf numFmtId="171" fontId="0" fillId="6" borderId="0" xfId="0" applyNumberFormat="1" applyFill="1"/>
    <xf numFmtId="172" fontId="0" fillId="6" borderId="0" xfId="0" applyNumberFormat="1" applyFill="1"/>
    <xf numFmtId="9" fontId="0" fillId="6" borderId="0" xfId="0" applyNumberFormat="1" applyFill="1"/>
    <xf numFmtId="10" fontId="0" fillId="6" borderId="0" xfId="1" applyNumberFormat="1" applyFont="1" applyFill="1"/>
    <xf numFmtId="165" fontId="0" fillId="4" borderId="0" xfId="0" applyNumberFormat="1" applyFill="1" applyBorder="1"/>
    <xf numFmtId="0" fontId="1" fillId="0" borderId="0" xfId="0" applyFont="1"/>
    <xf numFmtId="14" fontId="0" fillId="0" borderId="0" xfId="0" applyNumberFormat="1"/>
    <xf numFmtId="14" fontId="0" fillId="7" borderId="0" xfId="0" applyNumberFormat="1" applyFill="1"/>
    <xf numFmtId="14" fontId="3" fillId="7" borderId="0" xfId="0" applyNumberFormat="1" applyFont="1" applyFill="1"/>
    <xf numFmtId="14" fontId="3" fillId="0" borderId="0" xfId="0" applyNumberFormat="1" applyFont="1"/>
    <xf numFmtId="0" fontId="3" fillId="0" borderId="0" xfId="0" applyFont="1"/>
    <xf numFmtId="10" fontId="0" fillId="7" borderId="0" xfId="1" applyNumberFormat="1" applyFont="1" applyFill="1"/>
    <xf numFmtId="14" fontId="1" fillId="7" borderId="0" xfId="0" applyNumberFormat="1" applyFont="1" applyFill="1"/>
    <xf numFmtId="2" fontId="1" fillId="7" borderId="0" xfId="0" applyNumberFormat="1" applyFont="1" applyFill="1"/>
    <xf numFmtId="4" fontId="0" fillId="6" borderId="0" xfId="0" applyNumberFormat="1" applyFill="1"/>
    <xf numFmtId="168" fontId="1" fillId="8" borderId="0" xfId="0" applyNumberFormat="1" applyFont="1" applyFill="1"/>
    <xf numFmtId="173" fontId="0" fillId="6" borderId="0" xfId="1" applyNumberFormat="1" applyFont="1" applyFill="1"/>
    <xf numFmtId="173" fontId="0" fillId="8" borderId="0" xfId="1" applyNumberFormat="1" applyFont="1" applyFill="1"/>
    <xf numFmtId="9" fontId="1" fillId="6" borderId="0" xfId="0" applyNumberFormat="1" applyFont="1" applyFill="1"/>
    <xf numFmtId="10" fontId="0" fillId="0" borderId="0" xfId="1" applyNumberFormat="1" applyFont="1"/>
    <xf numFmtId="11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174" fontId="0" fillId="0" borderId="0" xfId="2" applyNumberFormat="1" applyFont="1"/>
    <xf numFmtId="166" fontId="0" fillId="0" borderId="0" xfId="1" applyNumberFormat="1" applyFont="1"/>
    <xf numFmtId="174" fontId="0" fillId="0" borderId="0" xfId="0" applyNumberFormat="1"/>
    <xf numFmtId="2" fontId="0" fillId="6" borderId="0" xfId="0" applyNumberFormat="1" applyFill="1"/>
    <xf numFmtId="167" fontId="0" fillId="6" borderId="0" xfId="0" applyNumberFormat="1" applyFill="1"/>
    <xf numFmtId="175" fontId="0" fillId="0" borderId="0" xfId="0" applyNumberFormat="1"/>
    <xf numFmtId="176" fontId="0" fillId="0" borderId="0" xfId="0" applyNumberFormat="1"/>
    <xf numFmtId="14" fontId="0" fillId="6" borderId="0" xfId="0" applyNumberFormat="1" applyFill="1"/>
    <xf numFmtId="168" fontId="3" fillId="6" borderId="0" xfId="0" applyNumberFormat="1" applyFont="1" applyFill="1"/>
    <xf numFmtId="14" fontId="3" fillId="6" borderId="0" xfId="0" applyNumberFormat="1" applyFont="1" applyFill="1"/>
    <xf numFmtId="2" fontId="3" fillId="6" borderId="0" xfId="0" applyNumberFormat="1" applyFont="1" applyFill="1"/>
    <xf numFmtId="4" fontId="3" fillId="5" borderId="0" xfId="0" applyNumberFormat="1" applyFont="1" applyFill="1" applyBorder="1"/>
    <xf numFmtId="2" fontId="13" fillId="6" borderId="0" xfId="0" applyNumberFormat="1" applyFont="1" applyFill="1"/>
    <xf numFmtId="14" fontId="0" fillId="8" borderId="0" xfId="0" applyNumberFormat="1" applyFill="1"/>
    <xf numFmtId="0" fontId="3" fillId="6" borderId="0" xfId="0" applyFont="1" applyFill="1"/>
    <xf numFmtId="164" fontId="3" fillId="6" borderId="0" xfId="0" applyNumberFormat="1" applyFont="1" applyFill="1"/>
    <xf numFmtId="9" fontId="3" fillId="6" borderId="0" xfId="0" applyNumberFormat="1" applyFont="1" applyFill="1"/>
    <xf numFmtId="168" fontId="0" fillId="6" borderId="0" xfId="1" applyNumberFormat="1" applyFont="1" applyFill="1"/>
    <xf numFmtId="166" fontId="0" fillId="4" borderId="4" xfId="0" applyNumberFormat="1" applyFill="1" applyBorder="1"/>
    <xf numFmtId="166" fontId="0" fillId="4" borderId="2" xfId="0" applyNumberFormat="1" applyFill="1" applyBorder="1"/>
    <xf numFmtId="166" fontId="0" fillId="4" borderId="3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FF"/>
      <color rgb="FFFF99FF"/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0</xdr:row>
          <xdr:rowOff>76200</xdr:rowOff>
        </xdr:from>
        <xdr:to>
          <xdr:col>14</xdr:col>
          <xdr:colOff>190500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79"/>
  <sheetViews>
    <sheetView workbookViewId="0">
      <selection activeCell="B3" sqref="B3"/>
    </sheetView>
  </sheetViews>
  <sheetFormatPr defaultRowHeight="12.75" x14ac:dyDescent="0.2"/>
  <cols>
    <col min="1" max="1" width="18.5703125" customWidth="1"/>
    <col min="2" max="2" width="10" customWidth="1"/>
    <col min="3" max="3" width="10.85546875" bestFit="1" customWidth="1"/>
    <col min="4" max="4" width="12.42578125" bestFit="1" customWidth="1"/>
    <col min="19" max="19" width="10.140625" bestFit="1" customWidth="1"/>
  </cols>
  <sheetData>
    <row r="1" spans="1:19" x14ac:dyDescent="0.2">
      <c r="A1" s="2" t="s">
        <v>1</v>
      </c>
      <c r="B1" s="5">
        <v>20000</v>
      </c>
      <c r="C1" s="1"/>
    </row>
    <row r="2" spans="1:19" x14ac:dyDescent="0.2">
      <c r="A2" s="2" t="s">
        <v>2</v>
      </c>
      <c r="B2" s="5">
        <v>500</v>
      </c>
      <c r="C2" s="1"/>
    </row>
    <row r="3" spans="1:19" x14ac:dyDescent="0.2">
      <c r="A3" s="4" t="s">
        <v>3</v>
      </c>
      <c r="B3" s="5">
        <v>55</v>
      </c>
      <c r="C3" s="1"/>
    </row>
    <row r="4" spans="1:19" x14ac:dyDescent="0.2">
      <c r="A4" s="4" t="s">
        <v>9</v>
      </c>
      <c r="B4" s="6">
        <v>1.25</v>
      </c>
      <c r="C4" s="1"/>
      <c r="S4" s="53"/>
    </row>
    <row r="5" spans="1:19" x14ac:dyDescent="0.2">
      <c r="A5" s="4" t="s">
        <v>12</v>
      </c>
      <c r="B5" s="6">
        <v>252</v>
      </c>
      <c r="C5" s="1"/>
      <c r="S5" s="53"/>
    </row>
    <row r="6" spans="1:19" x14ac:dyDescent="0.2">
      <c r="A6" s="4" t="s">
        <v>10</v>
      </c>
      <c r="B6" s="6">
        <f>1/B5</f>
        <v>3.968253968253968E-3</v>
      </c>
      <c r="C6" s="1"/>
      <c r="S6" s="53"/>
    </row>
    <row r="7" spans="1:19" x14ac:dyDescent="0.2">
      <c r="A7" s="23" t="s">
        <v>15</v>
      </c>
      <c r="B7" s="88">
        <v>0.91938271215786438</v>
      </c>
      <c r="C7" s="8">
        <v>1.0059567170406882</v>
      </c>
      <c r="D7" s="8">
        <v>0.99837343432941239</v>
      </c>
      <c r="E7" s="51">
        <v>1</v>
      </c>
      <c r="F7">
        <v>0.97473389221540396</v>
      </c>
      <c r="G7" s="52" t="s">
        <v>28</v>
      </c>
      <c r="S7" s="53"/>
    </row>
    <row r="8" spans="1:19" x14ac:dyDescent="0.2">
      <c r="A8" s="21" t="s">
        <v>16</v>
      </c>
      <c r="B8" s="89">
        <v>0.10471781610741841</v>
      </c>
      <c r="C8" s="9">
        <v>0.13598905983407084</v>
      </c>
      <c r="D8" s="9">
        <v>0.12845604139027564</v>
      </c>
      <c r="E8">
        <v>2</v>
      </c>
      <c r="F8">
        <v>5.4045914915868701E-2</v>
      </c>
      <c r="G8" s="52" t="s">
        <v>29</v>
      </c>
      <c r="S8" s="53"/>
    </row>
    <row r="9" spans="1:19" x14ac:dyDescent="0.2">
      <c r="A9" s="20" t="s">
        <v>11</v>
      </c>
      <c r="B9" s="89">
        <v>-0.6608705975633129</v>
      </c>
      <c r="C9" s="9">
        <v>-0.64015645735570592</v>
      </c>
      <c r="D9" s="9">
        <v>-0.67642568849557494</v>
      </c>
      <c r="E9" s="51">
        <v>3</v>
      </c>
      <c r="F9">
        <v>0.83407792692410099</v>
      </c>
      <c r="G9" s="52" t="s">
        <v>30</v>
      </c>
      <c r="S9" s="53"/>
    </row>
    <row r="10" spans="1:19" x14ac:dyDescent="0.2">
      <c r="A10" s="20" t="s">
        <v>17</v>
      </c>
      <c r="B10" s="89">
        <v>0.84234475742738379</v>
      </c>
      <c r="C10" s="9">
        <v>0.6107733452189561</v>
      </c>
      <c r="D10" s="9">
        <v>0.75661010592088929</v>
      </c>
      <c r="E10" s="51">
        <v>4</v>
      </c>
      <c r="F10">
        <v>-0.68626966480417995</v>
      </c>
      <c r="G10" s="52" t="s">
        <v>31</v>
      </c>
      <c r="S10" s="53"/>
    </row>
    <row r="11" spans="1:19" x14ac:dyDescent="0.2">
      <c r="A11" s="22" t="s">
        <v>8</v>
      </c>
      <c r="B11" s="90">
        <v>4.6259358845342581E-2</v>
      </c>
      <c r="C11" s="10">
        <v>7.6083680905406431E-2</v>
      </c>
      <c r="D11" s="10">
        <v>6.0188468988908839E-2</v>
      </c>
      <c r="E11" s="51">
        <v>5</v>
      </c>
      <c r="F11">
        <v>1.20459074120226E-2</v>
      </c>
      <c r="G11" s="52" t="s">
        <v>32</v>
      </c>
      <c r="S11" s="53"/>
    </row>
    <row r="12" spans="1:19" x14ac:dyDescent="0.2">
      <c r="A12" s="3" t="s">
        <v>7</v>
      </c>
      <c r="B12" s="7">
        <v>1562.5</v>
      </c>
      <c r="C12" s="1"/>
      <c r="E12" s="51">
        <v>6</v>
      </c>
      <c r="F12">
        <v>0.76466918729182998</v>
      </c>
      <c r="S12" s="53"/>
    </row>
    <row r="13" spans="1:19" x14ac:dyDescent="0.2">
      <c r="A13" s="24" t="s">
        <v>18</v>
      </c>
      <c r="B13" s="27">
        <v>0.8359237407646104</v>
      </c>
      <c r="C13" s="27">
        <v>0</v>
      </c>
      <c r="D13" s="27">
        <v>0.48857038394393326</v>
      </c>
      <c r="E13" s="51">
        <v>7</v>
      </c>
      <c r="F13">
        <v>-4.1556178738584103E-2</v>
      </c>
      <c r="S13" s="53"/>
    </row>
    <row r="14" spans="1:19" x14ac:dyDescent="0.2">
      <c r="A14" s="25" t="s">
        <v>19</v>
      </c>
      <c r="B14" s="28">
        <v>-3.5002965178129418E-2</v>
      </c>
      <c r="C14" s="28">
        <v>0</v>
      </c>
      <c r="D14" s="28">
        <v>-3.7024791705835496E-2</v>
      </c>
      <c r="E14" s="51">
        <v>8</v>
      </c>
      <c r="F14">
        <v>9.7017822560700406E-2</v>
      </c>
      <c r="S14" s="53"/>
    </row>
    <row r="15" spans="1:19" x14ac:dyDescent="0.2">
      <c r="A15" s="26" t="s">
        <v>20</v>
      </c>
      <c r="B15" s="30">
        <v>9.6914389548414429E-2</v>
      </c>
      <c r="C15" s="30">
        <v>0</v>
      </c>
      <c r="D15" s="30">
        <v>0.1105992007414925</v>
      </c>
      <c r="S15" s="53"/>
    </row>
    <row r="16" spans="1:19" x14ac:dyDescent="0.2">
      <c r="S16" s="53"/>
    </row>
    <row r="17" spans="19:19" x14ac:dyDescent="0.2">
      <c r="S17" s="53"/>
    </row>
    <row r="18" spans="19:19" x14ac:dyDescent="0.2">
      <c r="S18" s="53"/>
    </row>
    <row r="19" spans="19:19" x14ac:dyDescent="0.2">
      <c r="S19" s="53"/>
    </row>
    <row r="20" spans="19:19" x14ac:dyDescent="0.2">
      <c r="S20" s="53"/>
    </row>
    <row r="21" spans="19:19" x14ac:dyDescent="0.2">
      <c r="S21" s="53"/>
    </row>
    <row r="22" spans="19:19" x14ac:dyDescent="0.2">
      <c r="S22" s="53"/>
    </row>
    <row r="23" spans="19:19" x14ac:dyDescent="0.2">
      <c r="S23" s="53"/>
    </row>
    <row r="24" spans="19:19" x14ac:dyDescent="0.2">
      <c r="S24" s="53"/>
    </row>
    <row r="25" spans="19:19" x14ac:dyDescent="0.2">
      <c r="S25" s="53"/>
    </row>
    <row r="26" spans="19:19" x14ac:dyDescent="0.2">
      <c r="S26" s="53"/>
    </row>
    <row r="27" spans="19:19" x14ac:dyDescent="0.2">
      <c r="S27" s="53"/>
    </row>
    <row r="28" spans="19:19" x14ac:dyDescent="0.2">
      <c r="S28" s="53"/>
    </row>
    <row r="29" spans="19:19" x14ac:dyDescent="0.2">
      <c r="S29" s="53"/>
    </row>
    <row r="30" spans="19:19" x14ac:dyDescent="0.2">
      <c r="S30" s="53"/>
    </row>
    <row r="31" spans="19:19" x14ac:dyDescent="0.2">
      <c r="S31" s="53"/>
    </row>
    <row r="32" spans="19:19" x14ac:dyDescent="0.2">
      <c r="S32" s="53"/>
    </row>
    <row r="33" spans="19:19" x14ac:dyDescent="0.2">
      <c r="S33" s="53"/>
    </row>
    <row r="34" spans="19:19" x14ac:dyDescent="0.2">
      <c r="S34" s="53"/>
    </row>
    <row r="35" spans="19:19" x14ac:dyDescent="0.2">
      <c r="S35" s="53"/>
    </row>
    <row r="36" spans="19:19" x14ac:dyDescent="0.2">
      <c r="S36" s="53"/>
    </row>
    <row r="37" spans="19:19" x14ac:dyDescent="0.2">
      <c r="S37" s="53"/>
    </row>
    <row r="38" spans="19:19" x14ac:dyDescent="0.2">
      <c r="S38" s="53"/>
    </row>
    <row r="39" spans="19:19" x14ac:dyDescent="0.2">
      <c r="S39" s="53"/>
    </row>
    <row r="40" spans="19:19" x14ac:dyDescent="0.2">
      <c r="S40" s="53"/>
    </row>
    <row r="41" spans="19:19" x14ac:dyDescent="0.2">
      <c r="S41" s="53"/>
    </row>
    <row r="42" spans="19:19" x14ac:dyDescent="0.2">
      <c r="S42" s="53"/>
    </row>
    <row r="43" spans="19:19" x14ac:dyDescent="0.2">
      <c r="S43" s="53"/>
    </row>
    <row r="44" spans="19:19" x14ac:dyDescent="0.2">
      <c r="S44" s="53"/>
    </row>
    <row r="45" spans="19:19" x14ac:dyDescent="0.2">
      <c r="S45" s="53"/>
    </row>
    <row r="46" spans="19:19" x14ac:dyDescent="0.2">
      <c r="S46" s="53"/>
    </row>
    <row r="47" spans="19:19" x14ac:dyDescent="0.2">
      <c r="S47" s="53"/>
    </row>
    <row r="48" spans="19:19" x14ac:dyDescent="0.2">
      <c r="S48" s="53"/>
    </row>
    <row r="49" spans="19:19" x14ac:dyDescent="0.2">
      <c r="S49" s="53"/>
    </row>
    <row r="50" spans="19:19" x14ac:dyDescent="0.2">
      <c r="S50" s="53"/>
    </row>
    <row r="51" spans="19:19" x14ac:dyDescent="0.2">
      <c r="S51" s="53"/>
    </row>
    <row r="52" spans="19:19" x14ac:dyDescent="0.2">
      <c r="S52" s="53"/>
    </row>
    <row r="53" spans="19:19" x14ac:dyDescent="0.2">
      <c r="S53" s="53"/>
    </row>
    <row r="54" spans="19:19" x14ac:dyDescent="0.2">
      <c r="S54" s="53"/>
    </row>
    <row r="55" spans="19:19" x14ac:dyDescent="0.2">
      <c r="S55" s="53"/>
    </row>
    <row r="56" spans="19:19" x14ac:dyDescent="0.2">
      <c r="S56" s="53"/>
    </row>
    <row r="57" spans="19:19" x14ac:dyDescent="0.2">
      <c r="S57" s="53"/>
    </row>
    <row r="58" spans="19:19" x14ac:dyDescent="0.2">
      <c r="S58" s="53"/>
    </row>
    <row r="59" spans="19:19" x14ac:dyDescent="0.2">
      <c r="S59" s="53"/>
    </row>
    <row r="60" spans="19:19" x14ac:dyDescent="0.2">
      <c r="S60" s="53"/>
    </row>
    <row r="61" spans="19:19" x14ac:dyDescent="0.2">
      <c r="S61" s="53"/>
    </row>
    <row r="62" spans="19:19" x14ac:dyDescent="0.2">
      <c r="S62" s="53"/>
    </row>
    <row r="63" spans="19:19" x14ac:dyDescent="0.2">
      <c r="S63" s="53"/>
    </row>
    <row r="64" spans="19:19" x14ac:dyDescent="0.2">
      <c r="S64" s="53"/>
    </row>
    <row r="65" spans="19:19" x14ac:dyDescent="0.2">
      <c r="S65" s="53"/>
    </row>
    <row r="66" spans="19:19" x14ac:dyDescent="0.2">
      <c r="S66" s="53"/>
    </row>
    <row r="67" spans="19:19" x14ac:dyDescent="0.2">
      <c r="S67" s="53"/>
    </row>
    <row r="68" spans="19:19" x14ac:dyDescent="0.2">
      <c r="S68" s="53"/>
    </row>
    <row r="69" spans="19:19" x14ac:dyDescent="0.2">
      <c r="S69" s="53"/>
    </row>
    <row r="70" spans="19:19" x14ac:dyDescent="0.2">
      <c r="S70" s="53"/>
    </row>
    <row r="71" spans="19:19" x14ac:dyDescent="0.2">
      <c r="S71" s="53"/>
    </row>
    <row r="72" spans="19:19" x14ac:dyDescent="0.2">
      <c r="S72" s="53"/>
    </row>
    <row r="73" spans="19:19" x14ac:dyDescent="0.2">
      <c r="S73" s="53"/>
    </row>
    <row r="74" spans="19:19" x14ac:dyDescent="0.2">
      <c r="S74" s="53"/>
    </row>
    <row r="75" spans="19:19" x14ac:dyDescent="0.2">
      <c r="S75" s="53"/>
    </row>
    <row r="76" spans="19:19" x14ac:dyDescent="0.2">
      <c r="S76" s="53"/>
    </row>
    <row r="77" spans="19:19" x14ac:dyDescent="0.2">
      <c r="S77" s="53"/>
    </row>
    <row r="78" spans="19:19" x14ac:dyDescent="0.2">
      <c r="S78" s="53"/>
    </row>
    <row r="79" spans="19:19" x14ac:dyDescent="0.2">
      <c r="S79" s="53"/>
    </row>
    <row r="80" spans="19:19" x14ac:dyDescent="0.2">
      <c r="S80" s="53"/>
    </row>
    <row r="81" spans="19:19" x14ac:dyDescent="0.2">
      <c r="S81" s="53"/>
    </row>
    <row r="82" spans="19:19" x14ac:dyDescent="0.2">
      <c r="S82" s="53"/>
    </row>
    <row r="83" spans="19:19" x14ac:dyDescent="0.2">
      <c r="S83" s="53"/>
    </row>
    <row r="84" spans="19:19" x14ac:dyDescent="0.2">
      <c r="S84" s="53"/>
    </row>
    <row r="85" spans="19:19" x14ac:dyDescent="0.2">
      <c r="S85" s="53"/>
    </row>
    <row r="86" spans="19:19" x14ac:dyDescent="0.2">
      <c r="S86" s="53"/>
    </row>
    <row r="87" spans="19:19" x14ac:dyDescent="0.2">
      <c r="S87" s="53"/>
    </row>
    <row r="88" spans="19:19" x14ac:dyDescent="0.2">
      <c r="S88" s="53"/>
    </row>
    <row r="89" spans="19:19" x14ac:dyDescent="0.2">
      <c r="S89" s="53"/>
    </row>
    <row r="90" spans="19:19" x14ac:dyDescent="0.2">
      <c r="S90" s="53"/>
    </row>
    <row r="91" spans="19:19" x14ac:dyDescent="0.2">
      <c r="S91" s="53"/>
    </row>
    <row r="92" spans="19:19" x14ac:dyDescent="0.2">
      <c r="S92" s="53"/>
    </row>
    <row r="93" spans="19:19" x14ac:dyDescent="0.2">
      <c r="S93" s="53"/>
    </row>
    <row r="94" spans="19:19" x14ac:dyDescent="0.2">
      <c r="S94" s="53"/>
    </row>
    <row r="95" spans="19:19" x14ac:dyDescent="0.2">
      <c r="S95" s="53"/>
    </row>
    <row r="96" spans="19:19" x14ac:dyDescent="0.2">
      <c r="S96" s="53"/>
    </row>
    <row r="97" spans="19:19" x14ac:dyDescent="0.2">
      <c r="S97" s="53"/>
    </row>
    <row r="98" spans="19:19" x14ac:dyDescent="0.2">
      <c r="S98" s="53"/>
    </row>
    <row r="99" spans="19:19" x14ac:dyDescent="0.2">
      <c r="S99" s="53"/>
    </row>
    <row r="100" spans="19:19" x14ac:dyDescent="0.2">
      <c r="S100" s="53"/>
    </row>
    <row r="101" spans="19:19" x14ac:dyDescent="0.2">
      <c r="S101" s="53"/>
    </row>
    <row r="102" spans="19:19" x14ac:dyDescent="0.2">
      <c r="S102" s="53"/>
    </row>
    <row r="103" spans="19:19" x14ac:dyDescent="0.2">
      <c r="S103" s="53"/>
    </row>
    <row r="104" spans="19:19" x14ac:dyDescent="0.2">
      <c r="S104" s="53"/>
    </row>
    <row r="105" spans="19:19" x14ac:dyDescent="0.2">
      <c r="S105" s="53"/>
    </row>
    <row r="106" spans="19:19" x14ac:dyDescent="0.2">
      <c r="S106" s="53"/>
    </row>
    <row r="107" spans="19:19" x14ac:dyDescent="0.2">
      <c r="S107" s="53"/>
    </row>
    <row r="108" spans="19:19" x14ac:dyDescent="0.2">
      <c r="S108" s="53"/>
    </row>
    <row r="109" spans="19:19" x14ac:dyDescent="0.2">
      <c r="S109" s="53"/>
    </row>
    <row r="110" spans="19:19" x14ac:dyDescent="0.2">
      <c r="S110" s="53"/>
    </row>
    <row r="111" spans="19:19" x14ac:dyDescent="0.2">
      <c r="S111" s="53"/>
    </row>
    <row r="112" spans="19:19" x14ac:dyDescent="0.2">
      <c r="S112" s="53"/>
    </row>
    <row r="113" spans="19:19" x14ac:dyDescent="0.2">
      <c r="S113" s="53"/>
    </row>
    <row r="114" spans="19:19" x14ac:dyDescent="0.2">
      <c r="S114" s="53"/>
    </row>
    <row r="115" spans="19:19" x14ac:dyDescent="0.2">
      <c r="S115" s="53"/>
    </row>
    <row r="116" spans="19:19" x14ac:dyDescent="0.2">
      <c r="S116" s="53"/>
    </row>
    <row r="117" spans="19:19" x14ac:dyDescent="0.2">
      <c r="S117" s="53"/>
    </row>
    <row r="118" spans="19:19" x14ac:dyDescent="0.2">
      <c r="S118" s="53"/>
    </row>
    <row r="119" spans="19:19" x14ac:dyDescent="0.2">
      <c r="S119" s="53"/>
    </row>
    <row r="120" spans="19:19" x14ac:dyDescent="0.2">
      <c r="S120" s="53"/>
    </row>
    <row r="121" spans="19:19" x14ac:dyDescent="0.2">
      <c r="S121" s="53"/>
    </row>
    <row r="122" spans="19:19" x14ac:dyDescent="0.2">
      <c r="S122" s="53"/>
    </row>
    <row r="123" spans="19:19" x14ac:dyDescent="0.2">
      <c r="S123" s="53"/>
    </row>
    <row r="124" spans="19:19" x14ac:dyDescent="0.2">
      <c r="S124" s="53"/>
    </row>
    <row r="125" spans="19:19" x14ac:dyDescent="0.2">
      <c r="S125" s="53"/>
    </row>
    <row r="126" spans="19:19" x14ac:dyDescent="0.2">
      <c r="S126" s="53"/>
    </row>
    <row r="127" spans="19:19" x14ac:dyDescent="0.2">
      <c r="S127" s="53"/>
    </row>
    <row r="128" spans="19:19" x14ac:dyDescent="0.2">
      <c r="S128" s="53"/>
    </row>
    <row r="129" spans="19:19" x14ac:dyDescent="0.2">
      <c r="S129" s="53"/>
    </row>
    <row r="130" spans="19:19" x14ac:dyDescent="0.2">
      <c r="S130" s="53"/>
    </row>
    <row r="131" spans="19:19" x14ac:dyDescent="0.2">
      <c r="S131" s="53"/>
    </row>
    <row r="132" spans="19:19" x14ac:dyDescent="0.2">
      <c r="S132" s="53"/>
    </row>
    <row r="133" spans="19:19" x14ac:dyDescent="0.2">
      <c r="S133" s="53"/>
    </row>
    <row r="134" spans="19:19" x14ac:dyDescent="0.2">
      <c r="S134" s="53"/>
    </row>
    <row r="135" spans="19:19" x14ac:dyDescent="0.2">
      <c r="S135" s="53"/>
    </row>
    <row r="136" spans="19:19" x14ac:dyDescent="0.2">
      <c r="S136" s="53"/>
    </row>
    <row r="137" spans="19:19" x14ac:dyDescent="0.2">
      <c r="S137" s="53"/>
    </row>
    <row r="138" spans="19:19" x14ac:dyDescent="0.2">
      <c r="S138" s="53"/>
    </row>
    <row r="139" spans="19:19" x14ac:dyDescent="0.2">
      <c r="S139" s="53"/>
    </row>
    <row r="140" spans="19:19" x14ac:dyDescent="0.2">
      <c r="S140" s="53"/>
    </row>
    <row r="141" spans="19:19" x14ac:dyDescent="0.2">
      <c r="S141" s="53"/>
    </row>
    <row r="142" spans="19:19" x14ac:dyDescent="0.2">
      <c r="S142" s="53"/>
    </row>
    <row r="143" spans="19:19" x14ac:dyDescent="0.2">
      <c r="S143" s="53"/>
    </row>
    <row r="144" spans="19:19" x14ac:dyDescent="0.2">
      <c r="S144" s="53"/>
    </row>
    <row r="145" spans="19:19" x14ac:dyDescent="0.2">
      <c r="S145" s="53"/>
    </row>
    <row r="146" spans="19:19" x14ac:dyDescent="0.2">
      <c r="S146" s="53"/>
    </row>
    <row r="147" spans="19:19" x14ac:dyDescent="0.2">
      <c r="S147" s="53"/>
    </row>
    <row r="148" spans="19:19" x14ac:dyDescent="0.2">
      <c r="S148" s="53"/>
    </row>
    <row r="149" spans="19:19" x14ac:dyDescent="0.2">
      <c r="S149" s="53"/>
    </row>
    <row r="150" spans="19:19" x14ac:dyDescent="0.2">
      <c r="S150" s="53"/>
    </row>
    <row r="151" spans="19:19" x14ac:dyDescent="0.2">
      <c r="S151" s="53"/>
    </row>
    <row r="152" spans="19:19" x14ac:dyDescent="0.2">
      <c r="S152" s="53"/>
    </row>
    <row r="153" spans="19:19" x14ac:dyDescent="0.2">
      <c r="S153" s="53"/>
    </row>
    <row r="154" spans="19:19" x14ac:dyDescent="0.2">
      <c r="S154" s="53"/>
    </row>
    <row r="155" spans="19:19" x14ac:dyDescent="0.2">
      <c r="S155" s="53"/>
    </row>
    <row r="156" spans="19:19" x14ac:dyDescent="0.2">
      <c r="S156" s="53"/>
    </row>
    <row r="157" spans="19:19" x14ac:dyDescent="0.2">
      <c r="S157" s="53"/>
    </row>
    <row r="158" spans="19:19" x14ac:dyDescent="0.2">
      <c r="S158" s="53"/>
    </row>
    <row r="159" spans="19:19" x14ac:dyDescent="0.2">
      <c r="S159" s="53"/>
    </row>
    <row r="160" spans="19:19" x14ac:dyDescent="0.2">
      <c r="S160" s="53"/>
    </row>
    <row r="161" spans="19:19" x14ac:dyDescent="0.2">
      <c r="S161" s="53"/>
    </row>
    <row r="162" spans="19:19" x14ac:dyDescent="0.2">
      <c r="S162" s="53"/>
    </row>
    <row r="163" spans="19:19" x14ac:dyDescent="0.2">
      <c r="S163" s="53"/>
    </row>
    <row r="164" spans="19:19" x14ac:dyDescent="0.2">
      <c r="S164" s="53"/>
    </row>
    <row r="165" spans="19:19" x14ac:dyDescent="0.2">
      <c r="S165" s="53"/>
    </row>
    <row r="166" spans="19:19" x14ac:dyDescent="0.2">
      <c r="S166" s="53"/>
    </row>
    <row r="167" spans="19:19" x14ac:dyDescent="0.2">
      <c r="S167" s="53"/>
    </row>
    <row r="168" spans="19:19" x14ac:dyDescent="0.2">
      <c r="S168" s="53"/>
    </row>
    <row r="169" spans="19:19" x14ac:dyDescent="0.2">
      <c r="S169" s="53"/>
    </row>
    <row r="170" spans="19:19" x14ac:dyDescent="0.2">
      <c r="S170" s="53"/>
    </row>
    <row r="171" spans="19:19" x14ac:dyDescent="0.2">
      <c r="S171" s="53"/>
    </row>
    <row r="172" spans="19:19" x14ac:dyDescent="0.2">
      <c r="S172" s="53"/>
    </row>
    <row r="173" spans="19:19" x14ac:dyDescent="0.2">
      <c r="S173" s="53"/>
    </row>
    <row r="174" spans="19:19" x14ac:dyDescent="0.2">
      <c r="S174" s="53"/>
    </row>
    <row r="175" spans="19:19" x14ac:dyDescent="0.2">
      <c r="S175" s="53"/>
    </row>
    <row r="176" spans="19:19" x14ac:dyDescent="0.2">
      <c r="S176" s="53"/>
    </row>
    <row r="177" spans="19:19" x14ac:dyDescent="0.2">
      <c r="S177" s="53"/>
    </row>
    <row r="178" spans="19:19" x14ac:dyDescent="0.2">
      <c r="S178" s="53"/>
    </row>
    <row r="179" spans="19:19" x14ac:dyDescent="0.2">
      <c r="S179" s="53"/>
    </row>
    <row r="180" spans="19:19" x14ac:dyDescent="0.2">
      <c r="S180" s="53"/>
    </row>
    <row r="181" spans="19:19" x14ac:dyDescent="0.2">
      <c r="S181" s="53"/>
    </row>
    <row r="182" spans="19:19" x14ac:dyDescent="0.2">
      <c r="S182" s="53"/>
    </row>
    <row r="183" spans="19:19" x14ac:dyDescent="0.2">
      <c r="S183" s="53"/>
    </row>
    <row r="184" spans="19:19" x14ac:dyDescent="0.2">
      <c r="S184" s="53"/>
    </row>
    <row r="185" spans="19:19" x14ac:dyDescent="0.2">
      <c r="S185" s="53"/>
    </row>
    <row r="186" spans="19:19" x14ac:dyDescent="0.2">
      <c r="S186" s="53"/>
    </row>
    <row r="187" spans="19:19" x14ac:dyDescent="0.2">
      <c r="S187" s="53"/>
    </row>
    <row r="188" spans="19:19" x14ac:dyDescent="0.2">
      <c r="S188" s="53"/>
    </row>
    <row r="189" spans="19:19" x14ac:dyDescent="0.2">
      <c r="S189" s="53"/>
    </row>
    <row r="190" spans="19:19" x14ac:dyDescent="0.2">
      <c r="S190" s="53"/>
    </row>
    <row r="191" spans="19:19" x14ac:dyDescent="0.2">
      <c r="S191" s="53"/>
    </row>
    <row r="192" spans="19:19" x14ac:dyDescent="0.2">
      <c r="S192" s="53"/>
    </row>
    <row r="193" spans="19:19" x14ac:dyDescent="0.2">
      <c r="S193" s="53"/>
    </row>
    <row r="194" spans="19:19" x14ac:dyDescent="0.2">
      <c r="S194" s="53"/>
    </row>
    <row r="195" spans="19:19" x14ac:dyDescent="0.2">
      <c r="S195" s="53"/>
    </row>
    <row r="196" spans="19:19" x14ac:dyDescent="0.2">
      <c r="S196" s="53"/>
    </row>
    <row r="197" spans="19:19" x14ac:dyDescent="0.2">
      <c r="S197" s="53"/>
    </row>
    <row r="198" spans="19:19" x14ac:dyDescent="0.2">
      <c r="S198" s="53"/>
    </row>
    <row r="199" spans="19:19" x14ac:dyDescent="0.2">
      <c r="S199" s="53"/>
    </row>
    <row r="200" spans="19:19" x14ac:dyDescent="0.2">
      <c r="S200" s="53"/>
    </row>
    <row r="201" spans="19:19" x14ac:dyDescent="0.2">
      <c r="S201" s="53"/>
    </row>
    <row r="202" spans="19:19" x14ac:dyDescent="0.2">
      <c r="S202" s="53"/>
    </row>
    <row r="203" spans="19:19" x14ac:dyDescent="0.2">
      <c r="S203" s="53"/>
    </row>
    <row r="204" spans="19:19" x14ac:dyDescent="0.2">
      <c r="S204" s="53"/>
    </row>
    <row r="205" spans="19:19" x14ac:dyDescent="0.2">
      <c r="S205" s="53"/>
    </row>
    <row r="206" spans="19:19" x14ac:dyDescent="0.2">
      <c r="S206" s="53"/>
    </row>
    <row r="207" spans="19:19" x14ac:dyDescent="0.2">
      <c r="S207" s="53"/>
    </row>
    <row r="208" spans="19:19" x14ac:dyDescent="0.2">
      <c r="S208" s="53"/>
    </row>
    <row r="209" spans="19:19" x14ac:dyDescent="0.2">
      <c r="S209" s="53"/>
    </row>
    <row r="210" spans="19:19" x14ac:dyDescent="0.2">
      <c r="S210" s="53"/>
    </row>
    <row r="211" spans="19:19" x14ac:dyDescent="0.2">
      <c r="S211" s="53"/>
    </row>
    <row r="212" spans="19:19" x14ac:dyDescent="0.2">
      <c r="S212" s="53"/>
    </row>
    <row r="213" spans="19:19" x14ac:dyDescent="0.2">
      <c r="S213" s="53"/>
    </row>
    <row r="214" spans="19:19" x14ac:dyDescent="0.2">
      <c r="S214" s="53"/>
    </row>
    <row r="215" spans="19:19" x14ac:dyDescent="0.2">
      <c r="S215" s="53"/>
    </row>
    <row r="216" spans="19:19" x14ac:dyDescent="0.2">
      <c r="S216" s="53"/>
    </row>
    <row r="217" spans="19:19" x14ac:dyDescent="0.2">
      <c r="S217" s="53"/>
    </row>
    <row r="218" spans="19:19" x14ac:dyDescent="0.2">
      <c r="S218" s="53"/>
    </row>
    <row r="219" spans="19:19" x14ac:dyDescent="0.2">
      <c r="S219" s="53"/>
    </row>
    <row r="220" spans="19:19" x14ac:dyDescent="0.2">
      <c r="S220" s="53"/>
    </row>
    <row r="221" spans="19:19" x14ac:dyDescent="0.2">
      <c r="S221" s="53"/>
    </row>
    <row r="222" spans="19:19" x14ac:dyDescent="0.2">
      <c r="S222" s="53"/>
    </row>
    <row r="223" spans="19:19" x14ac:dyDescent="0.2">
      <c r="S223" s="53"/>
    </row>
    <row r="224" spans="19:19" x14ac:dyDescent="0.2">
      <c r="S224" s="53"/>
    </row>
    <row r="225" spans="19:19" x14ac:dyDescent="0.2">
      <c r="S225" s="53"/>
    </row>
    <row r="226" spans="19:19" x14ac:dyDescent="0.2">
      <c r="S226" s="53"/>
    </row>
    <row r="227" spans="19:19" x14ac:dyDescent="0.2">
      <c r="S227" s="53"/>
    </row>
    <row r="228" spans="19:19" x14ac:dyDescent="0.2">
      <c r="S228" s="53"/>
    </row>
    <row r="229" spans="19:19" x14ac:dyDescent="0.2">
      <c r="S229" s="53"/>
    </row>
    <row r="230" spans="19:19" x14ac:dyDescent="0.2">
      <c r="S230" s="53"/>
    </row>
    <row r="231" spans="19:19" x14ac:dyDescent="0.2">
      <c r="S231" s="53"/>
    </row>
    <row r="232" spans="19:19" x14ac:dyDescent="0.2">
      <c r="S232" s="53"/>
    </row>
    <row r="233" spans="19:19" x14ac:dyDescent="0.2">
      <c r="S233" s="53"/>
    </row>
    <row r="234" spans="19:19" x14ac:dyDescent="0.2">
      <c r="S234" s="53"/>
    </row>
    <row r="235" spans="19:19" x14ac:dyDescent="0.2">
      <c r="S235" s="53"/>
    </row>
    <row r="236" spans="19:19" x14ac:dyDescent="0.2">
      <c r="S236" s="53"/>
    </row>
    <row r="237" spans="19:19" x14ac:dyDescent="0.2">
      <c r="S237" s="53"/>
    </row>
    <row r="238" spans="19:19" x14ac:dyDescent="0.2">
      <c r="S238" s="53"/>
    </row>
    <row r="239" spans="19:19" x14ac:dyDescent="0.2">
      <c r="S239" s="53"/>
    </row>
    <row r="240" spans="19:19" x14ac:dyDescent="0.2">
      <c r="S240" s="53"/>
    </row>
    <row r="241" spans="19:19" x14ac:dyDescent="0.2">
      <c r="S241" s="53"/>
    </row>
    <row r="242" spans="19:19" x14ac:dyDescent="0.2">
      <c r="S242" s="53"/>
    </row>
    <row r="243" spans="19:19" x14ac:dyDescent="0.2">
      <c r="S243" s="53"/>
    </row>
    <row r="244" spans="19:19" x14ac:dyDescent="0.2">
      <c r="S244" s="53"/>
    </row>
    <row r="245" spans="19:19" x14ac:dyDescent="0.2">
      <c r="S245" s="53"/>
    </row>
    <row r="246" spans="19:19" x14ac:dyDescent="0.2">
      <c r="S246" s="53"/>
    </row>
    <row r="247" spans="19:19" x14ac:dyDescent="0.2">
      <c r="S247" s="53"/>
    </row>
    <row r="248" spans="19:19" x14ac:dyDescent="0.2">
      <c r="S248" s="53"/>
    </row>
    <row r="249" spans="19:19" x14ac:dyDescent="0.2">
      <c r="S249" s="53"/>
    </row>
    <row r="250" spans="19:19" x14ac:dyDescent="0.2">
      <c r="S250" s="53"/>
    </row>
    <row r="251" spans="19:19" x14ac:dyDescent="0.2">
      <c r="S251" s="53"/>
    </row>
    <row r="252" spans="19:19" x14ac:dyDescent="0.2">
      <c r="S252" s="53"/>
    </row>
    <row r="253" spans="19:19" x14ac:dyDescent="0.2">
      <c r="S253" s="53"/>
    </row>
    <row r="254" spans="19:19" x14ac:dyDescent="0.2">
      <c r="S254" s="53"/>
    </row>
    <row r="255" spans="19:19" x14ac:dyDescent="0.2">
      <c r="S255" s="53"/>
    </row>
    <row r="256" spans="19:19" x14ac:dyDescent="0.2">
      <c r="S256" s="53"/>
    </row>
    <row r="257" spans="19:19" x14ac:dyDescent="0.2">
      <c r="S257" s="53"/>
    </row>
    <row r="258" spans="19:19" x14ac:dyDescent="0.2">
      <c r="S258" s="53"/>
    </row>
    <row r="259" spans="19:19" x14ac:dyDescent="0.2">
      <c r="S259" s="53"/>
    </row>
    <row r="260" spans="19:19" x14ac:dyDescent="0.2">
      <c r="S260" s="53"/>
    </row>
    <row r="261" spans="19:19" x14ac:dyDescent="0.2">
      <c r="S261" s="53"/>
    </row>
    <row r="262" spans="19:19" x14ac:dyDescent="0.2">
      <c r="S262" s="53"/>
    </row>
    <row r="263" spans="19:19" x14ac:dyDescent="0.2">
      <c r="S263" s="53"/>
    </row>
    <row r="264" spans="19:19" x14ac:dyDescent="0.2">
      <c r="S264" s="53"/>
    </row>
    <row r="265" spans="19:19" x14ac:dyDescent="0.2">
      <c r="S265" s="53"/>
    </row>
    <row r="266" spans="19:19" x14ac:dyDescent="0.2">
      <c r="S266" s="53"/>
    </row>
    <row r="267" spans="19:19" x14ac:dyDescent="0.2">
      <c r="S267" s="53"/>
    </row>
    <row r="268" spans="19:19" x14ac:dyDescent="0.2">
      <c r="S268" s="53"/>
    </row>
    <row r="269" spans="19:19" x14ac:dyDescent="0.2">
      <c r="S269" s="53"/>
    </row>
    <row r="270" spans="19:19" x14ac:dyDescent="0.2">
      <c r="S270" s="53"/>
    </row>
    <row r="271" spans="19:19" x14ac:dyDescent="0.2">
      <c r="S271" s="53"/>
    </row>
    <row r="272" spans="19:19" x14ac:dyDescent="0.2">
      <c r="S272" s="53"/>
    </row>
    <row r="273" spans="19:19" x14ac:dyDescent="0.2">
      <c r="S273" s="53"/>
    </row>
    <row r="274" spans="19:19" x14ac:dyDescent="0.2">
      <c r="S274" s="53"/>
    </row>
    <row r="275" spans="19:19" x14ac:dyDescent="0.2">
      <c r="S275" s="53"/>
    </row>
    <row r="276" spans="19:19" x14ac:dyDescent="0.2">
      <c r="S276" s="53"/>
    </row>
    <row r="277" spans="19:19" x14ac:dyDescent="0.2">
      <c r="S277" s="53"/>
    </row>
    <row r="278" spans="19:19" x14ac:dyDescent="0.2">
      <c r="S278" s="53"/>
    </row>
    <row r="279" spans="19:19" x14ac:dyDescent="0.2">
      <c r="S279" s="53"/>
    </row>
    <row r="280" spans="19:19" x14ac:dyDescent="0.2">
      <c r="S280" s="53"/>
    </row>
    <row r="281" spans="19:19" x14ac:dyDescent="0.2">
      <c r="S281" s="53"/>
    </row>
    <row r="282" spans="19:19" x14ac:dyDescent="0.2">
      <c r="S282" s="53"/>
    </row>
    <row r="283" spans="19:19" x14ac:dyDescent="0.2">
      <c r="S283" s="53"/>
    </row>
    <row r="284" spans="19:19" x14ac:dyDescent="0.2">
      <c r="S284" s="53"/>
    </row>
    <row r="285" spans="19:19" x14ac:dyDescent="0.2">
      <c r="S285" s="53"/>
    </row>
    <row r="286" spans="19:19" x14ac:dyDescent="0.2">
      <c r="S286" s="53"/>
    </row>
    <row r="287" spans="19:19" x14ac:dyDescent="0.2">
      <c r="S287" s="53"/>
    </row>
    <row r="288" spans="19:19" x14ac:dyDescent="0.2">
      <c r="S288" s="53"/>
    </row>
    <row r="289" spans="19:19" x14ac:dyDescent="0.2">
      <c r="S289" s="53"/>
    </row>
    <row r="290" spans="19:19" x14ac:dyDescent="0.2">
      <c r="S290" s="53"/>
    </row>
    <row r="291" spans="19:19" x14ac:dyDescent="0.2">
      <c r="S291" s="53"/>
    </row>
    <row r="292" spans="19:19" x14ac:dyDescent="0.2">
      <c r="S292" s="53"/>
    </row>
    <row r="293" spans="19:19" x14ac:dyDescent="0.2">
      <c r="S293" s="53"/>
    </row>
    <row r="294" spans="19:19" x14ac:dyDescent="0.2">
      <c r="S294" s="53"/>
    </row>
    <row r="295" spans="19:19" x14ac:dyDescent="0.2">
      <c r="S295" s="53"/>
    </row>
    <row r="296" spans="19:19" x14ac:dyDescent="0.2">
      <c r="S296" s="53"/>
    </row>
    <row r="297" spans="19:19" x14ac:dyDescent="0.2">
      <c r="S297" s="53"/>
    </row>
    <row r="298" spans="19:19" x14ac:dyDescent="0.2">
      <c r="S298" s="53"/>
    </row>
    <row r="299" spans="19:19" x14ac:dyDescent="0.2">
      <c r="S299" s="53"/>
    </row>
    <row r="300" spans="19:19" x14ac:dyDescent="0.2">
      <c r="S300" s="53"/>
    </row>
    <row r="301" spans="19:19" x14ac:dyDescent="0.2">
      <c r="S301" s="53"/>
    </row>
    <row r="302" spans="19:19" x14ac:dyDescent="0.2">
      <c r="S302" s="53"/>
    </row>
    <row r="303" spans="19:19" x14ac:dyDescent="0.2">
      <c r="S303" s="53"/>
    </row>
    <row r="304" spans="19:19" x14ac:dyDescent="0.2">
      <c r="S304" s="53"/>
    </row>
    <row r="305" spans="19:19" x14ac:dyDescent="0.2">
      <c r="S305" s="53"/>
    </row>
    <row r="306" spans="19:19" x14ac:dyDescent="0.2">
      <c r="S306" s="53"/>
    </row>
    <row r="307" spans="19:19" x14ac:dyDescent="0.2">
      <c r="S307" s="53"/>
    </row>
    <row r="308" spans="19:19" x14ac:dyDescent="0.2">
      <c r="S308" s="53"/>
    </row>
    <row r="309" spans="19:19" x14ac:dyDescent="0.2">
      <c r="S309" s="53"/>
    </row>
    <row r="310" spans="19:19" x14ac:dyDescent="0.2">
      <c r="S310" s="53"/>
    </row>
    <row r="311" spans="19:19" x14ac:dyDescent="0.2">
      <c r="S311" s="53"/>
    </row>
    <row r="312" spans="19:19" x14ac:dyDescent="0.2">
      <c r="S312" s="53"/>
    </row>
    <row r="313" spans="19:19" x14ac:dyDescent="0.2">
      <c r="S313" s="53"/>
    </row>
    <row r="314" spans="19:19" x14ac:dyDescent="0.2">
      <c r="S314" s="53"/>
    </row>
    <row r="315" spans="19:19" x14ac:dyDescent="0.2">
      <c r="S315" s="53"/>
    </row>
    <row r="316" spans="19:19" x14ac:dyDescent="0.2">
      <c r="S316" s="53"/>
    </row>
    <row r="317" spans="19:19" x14ac:dyDescent="0.2">
      <c r="S317" s="53"/>
    </row>
    <row r="318" spans="19:19" x14ac:dyDescent="0.2">
      <c r="S318" s="53"/>
    </row>
    <row r="319" spans="19:19" x14ac:dyDescent="0.2">
      <c r="S319" s="53"/>
    </row>
    <row r="320" spans="19:19" x14ac:dyDescent="0.2">
      <c r="S320" s="53"/>
    </row>
    <row r="321" spans="19:19" x14ac:dyDescent="0.2">
      <c r="S321" s="53"/>
    </row>
    <row r="322" spans="19:19" x14ac:dyDescent="0.2">
      <c r="S322" s="53"/>
    </row>
    <row r="323" spans="19:19" x14ac:dyDescent="0.2">
      <c r="S323" s="53"/>
    </row>
    <row r="324" spans="19:19" x14ac:dyDescent="0.2">
      <c r="S324" s="53"/>
    </row>
    <row r="325" spans="19:19" x14ac:dyDescent="0.2">
      <c r="S325" s="53"/>
    </row>
    <row r="326" spans="19:19" x14ac:dyDescent="0.2">
      <c r="S326" s="53"/>
    </row>
    <row r="327" spans="19:19" x14ac:dyDescent="0.2">
      <c r="S327" s="53"/>
    </row>
    <row r="328" spans="19:19" x14ac:dyDescent="0.2">
      <c r="S328" s="53"/>
    </row>
    <row r="329" spans="19:19" x14ac:dyDescent="0.2">
      <c r="S329" s="53"/>
    </row>
    <row r="330" spans="19:19" x14ac:dyDescent="0.2">
      <c r="S330" s="53"/>
    </row>
    <row r="331" spans="19:19" x14ac:dyDescent="0.2">
      <c r="S331" s="53"/>
    </row>
    <row r="332" spans="19:19" x14ac:dyDescent="0.2">
      <c r="S332" s="53"/>
    </row>
    <row r="333" spans="19:19" x14ac:dyDescent="0.2">
      <c r="S333" s="53"/>
    </row>
    <row r="334" spans="19:19" x14ac:dyDescent="0.2">
      <c r="S334" s="53"/>
    </row>
    <row r="335" spans="19:19" x14ac:dyDescent="0.2">
      <c r="S335" s="53"/>
    </row>
    <row r="336" spans="19:19" x14ac:dyDescent="0.2">
      <c r="S336" s="53"/>
    </row>
    <row r="337" spans="19:19" x14ac:dyDescent="0.2">
      <c r="S337" s="53"/>
    </row>
    <row r="338" spans="19:19" x14ac:dyDescent="0.2">
      <c r="S338" s="53"/>
    </row>
    <row r="339" spans="19:19" x14ac:dyDescent="0.2">
      <c r="S339" s="53"/>
    </row>
    <row r="340" spans="19:19" x14ac:dyDescent="0.2">
      <c r="S340" s="53"/>
    </row>
    <row r="341" spans="19:19" x14ac:dyDescent="0.2">
      <c r="S341" s="53"/>
    </row>
    <row r="342" spans="19:19" x14ac:dyDescent="0.2">
      <c r="S342" s="53"/>
    </row>
    <row r="343" spans="19:19" x14ac:dyDescent="0.2">
      <c r="S343" s="53"/>
    </row>
    <row r="344" spans="19:19" x14ac:dyDescent="0.2">
      <c r="S344" s="53"/>
    </row>
    <row r="345" spans="19:19" x14ac:dyDescent="0.2">
      <c r="S345" s="53"/>
    </row>
    <row r="346" spans="19:19" x14ac:dyDescent="0.2">
      <c r="S346" s="53"/>
    </row>
    <row r="347" spans="19:19" x14ac:dyDescent="0.2">
      <c r="S347" s="53"/>
    </row>
    <row r="348" spans="19:19" x14ac:dyDescent="0.2">
      <c r="S348" s="53"/>
    </row>
    <row r="349" spans="19:19" x14ac:dyDescent="0.2">
      <c r="S349" s="53"/>
    </row>
    <row r="350" spans="19:19" x14ac:dyDescent="0.2">
      <c r="S350" s="53"/>
    </row>
    <row r="351" spans="19:19" x14ac:dyDescent="0.2">
      <c r="S351" s="53"/>
    </row>
    <row r="352" spans="19:19" x14ac:dyDescent="0.2">
      <c r="S352" s="53"/>
    </row>
    <row r="353" spans="19:19" x14ac:dyDescent="0.2">
      <c r="S353" s="53"/>
    </row>
    <row r="354" spans="19:19" x14ac:dyDescent="0.2">
      <c r="S354" s="53"/>
    </row>
    <row r="355" spans="19:19" x14ac:dyDescent="0.2">
      <c r="S355" s="53"/>
    </row>
    <row r="356" spans="19:19" x14ac:dyDescent="0.2">
      <c r="S356" s="53"/>
    </row>
    <row r="357" spans="19:19" x14ac:dyDescent="0.2">
      <c r="S357" s="53"/>
    </row>
    <row r="358" spans="19:19" x14ac:dyDescent="0.2">
      <c r="S358" s="53"/>
    </row>
    <row r="359" spans="19:19" x14ac:dyDescent="0.2">
      <c r="S359" s="53"/>
    </row>
    <row r="360" spans="19:19" x14ac:dyDescent="0.2">
      <c r="S360" s="53"/>
    </row>
    <row r="361" spans="19:19" x14ac:dyDescent="0.2">
      <c r="S361" s="53"/>
    </row>
    <row r="362" spans="19:19" x14ac:dyDescent="0.2">
      <c r="S362" s="53"/>
    </row>
    <row r="363" spans="19:19" x14ac:dyDescent="0.2">
      <c r="S363" s="53"/>
    </row>
    <row r="364" spans="19:19" x14ac:dyDescent="0.2">
      <c r="S364" s="53"/>
    </row>
    <row r="365" spans="19:19" x14ac:dyDescent="0.2">
      <c r="S365" s="53"/>
    </row>
    <row r="366" spans="19:19" x14ac:dyDescent="0.2">
      <c r="S366" s="53"/>
    </row>
    <row r="367" spans="19:19" x14ac:dyDescent="0.2">
      <c r="S367" s="53"/>
    </row>
    <row r="368" spans="19:19" x14ac:dyDescent="0.2">
      <c r="S368" s="53"/>
    </row>
    <row r="369" spans="19:19" x14ac:dyDescent="0.2">
      <c r="S369" s="53"/>
    </row>
    <row r="370" spans="19:19" x14ac:dyDescent="0.2">
      <c r="S370" s="53"/>
    </row>
    <row r="371" spans="19:19" x14ac:dyDescent="0.2">
      <c r="S371" s="53"/>
    </row>
    <row r="372" spans="19:19" x14ac:dyDescent="0.2">
      <c r="S372" s="53"/>
    </row>
    <row r="373" spans="19:19" x14ac:dyDescent="0.2">
      <c r="S373" s="53"/>
    </row>
    <row r="374" spans="19:19" x14ac:dyDescent="0.2">
      <c r="S374" s="53"/>
    </row>
    <row r="375" spans="19:19" x14ac:dyDescent="0.2">
      <c r="S375" s="53"/>
    </row>
    <row r="376" spans="19:19" x14ac:dyDescent="0.2">
      <c r="S376" s="53"/>
    </row>
    <row r="377" spans="19:19" x14ac:dyDescent="0.2">
      <c r="S377" s="53"/>
    </row>
    <row r="378" spans="19:19" x14ac:dyDescent="0.2">
      <c r="S378" s="53"/>
    </row>
    <row r="379" spans="19:19" x14ac:dyDescent="0.2">
      <c r="S379" s="5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465"/>
  <sheetViews>
    <sheetView tabSelected="1" workbookViewId="0">
      <selection activeCell="R20" sqref="R20"/>
    </sheetView>
  </sheetViews>
  <sheetFormatPr defaultRowHeight="12.75" x14ac:dyDescent="0.2"/>
  <cols>
    <col min="13" max="13" width="11.42578125" bestFit="1" customWidth="1"/>
    <col min="14" max="14" width="11.5703125" bestFit="1" customWidth="1"/>
    <col min="16" max="16" width="10.28515625" bestFit="1" customWidth="1"/>
    <col min="17" max="17" width="14.42578125" bestFit="1" customWidth="1"/>
    <col min="21" max="21" width="10.140625" bestFit="1" customWidth="1"/>
    <col min="24" max="25" width="10.140625" bestFit="1" customWidth="1"/>
    <col min="26" max="26" width="11.7109375" bestFit="1" customWidth="1"/>
    <col min="27" max="30" width="9.28515625" bestFit="1" customWidth="1"/>
  </cols>
  <sheetData>
    <row r="1" spans="1:30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31"/>
      <c r="N1" s="32"/>
      <c r="O1" s="31"/>
      <c r="P1" s="78" t="s">
        <v>42</v>
      </c>
      <c r="Q1" s="79">
        <f>DATE(2012,7,22)</f>
        <v>41112</v>
      </c>
      <c r="R1" s="78"/>
      <c r="S1" s="78" t="s">
        <v>43</v>
      </c>
      <c r="T1" s="79">
        <f>DATE(2013,4,22)</f>
        <v>41386</v>
      </c>
      <c r="U1" s="39"/>
      <c r="V1" s="39"/>
      <c r="W1" s="39"/>
      <c r="X1" s="39"/>
      <c r="Y1" s="39"/>
      <c r="Z1" s="42"/>
      <c r="AA1" s="42"/>
      <c r="AB1" s="42"/>
      <c r="AC1" s="42"/>
      <c r="AD1" s="42"/>
    </row>
    <row r="2" spans="1:30" ht="15" x14ac:dyDescent="0.25">
      <c r="A2" s="12" t="s">
        <v>4</v>
      </c>
      <c r="B2" s="12" t="s">
        <v>0</v>
      </c>
      <c r="C2" s="12" t="s">
        <v>14</v>
      </c>
      <c r="D2" s="12" t="s">
        <v>13</v>
      </c>
      <c r="E2" s="13" t="s">
        <v>5</v>
      </c>
      <c r="F2" s="13" t="s">
        <v>6</v>
      </c>
      <c r="G2" s="13" t="s">
        <v>21</v>
      </c>
      <c r="H2" s="13" t="s">
        <v>25</v>
      </c>
      <c r="I2" s="12" t="s">
        <v>22</v>
      </c>
      <c r="J2" s="13" t="s">
        <v>23</v>
      </c>
      <c r="K2" s="12" t="s">
        <v>26</v>
      </c>
      <c r="L2" s="14" t="s">
        <v>24</v>
      </c>
      <c r="M2" s="31"/>
      <c r="N2" s="33"/>
      <c r="O2" s="37"/>
      <c r="P2" s="38">
        <f>COLUMN()</f>
        <v>16</v>
      </c>
      <c r="Q2" s="38">
        <f>COLUMN()</f>
        <v>17</v>
      </c>
      <c r="R2" s="34"/>
      <c r="S2" s="34"/>
      <c r="T2" s="34"/>
      <c r="U2" s="41"/>
      <c r="V2" s="41"/>
      <c r="W2" s="41"/>
      <c r="X2" s="41"/>
      <c r="Y2" s="41"/>
      <c r="Z2" s="44"/>
      <c r="AA2" s="44"/>
      <c r="AB2" s="44"/>
      <c r="AC2" s="44"/>
      <c r="AD2" s="44"/>
    </row>
    <row r="3" spans="1:30" x14ac:dyDescent="0.2">
      <c r="A3" s="11">
        <v>0</v>
      </c>
      <c r="B3" s="15">
        <v>0</v>
      </c>
      <c r="C3" s="15"/>
      <c r="D3" s="15"/>
      <c r="E3" s="15"/>
      <c r="F3" s="16"/>
      <c r="G3" s="11"/>
      <c r="H3" s="11"/>
      <c r="I3" s="11"/>
      <c r="J3" s="17">
        <f>Sigma.SPX^2</f>
        <v>1.09658210103071E-2</v>
      </c>
      <c r="K3" s="16">
        <v>0</v>
      </c>
      <c r="L3" s="18">
        <f>S</f>
        <v>1562.5</v>
      </c>
      <c r="M3" s="31">
        <f>A3</f>
        <v>0</v>
      </c>
      <c r="N3" s="33"/>
      <c r="O3" s="37"/>
      <c r="P3" s="45" t="s">
        <v>27</v>
      </c>
      <c r="Q3" s="38"/>
      <c r="R3" s="73"/>
      <c r="S3" s="34"/>
      <c r="T3" s="34"/>
      <c r="U3" s="54">
        <v>41017</v>
      </c>
      <c r="V3" s="39">
        <v>1385.14</v>
      </c>
      <c r="W3" s="39"/>
      <c r="X3" s="39"/>
      <c r="Y3" s="39"/>
      <c r="Z3" s="62" t="s">
        <v>27</v>
      </c>
      <c r="AA3" s="42"/>
      <c r="AB3" s="42"/>
      <c r="AC3" s="42"/>
      <c r="AD3" s="42"/>
    </row>
    <row r="4" spans="1:30" x14ac:dyDescent="0.2">
      <c r="A4" s="11">
        <f t="shared" ref="A4:A67" si="0">A3+1</f>
        <v>1</v>
      </c>
      <c r="B4" s="15">
        <f t="shared" ref="B4:B67" si="1">B3+dt</f>
        <v>3.968253968253968E-3</v>
      </c>
      <c r="C4" s="50">
        <v>3.8530845108368199E-9</v>
      </c>
      <c r="D4" s="50">
        <v>2.4109806654339001E-2</v>
      </c>
      <c r="E4" s="16">
        <v>0.71949753390006965</v>
      </c>
      <c r="F4" s="16">
        <v>0.97826610558846616</v>
      </c>
      <c r="G4" s="29">
        <v>0</v>
      </c>
      <c r="H4" s="16">
        <v>0</v>
      </c>
      <c r="I4" s="16">
        <f t="shared" ref="I4:I67" si="2">Rho*E4+F4*(1-Rho^2)^0.5</f>
        <v>0.2586938188569935</v>
      </c>
      <c r="J4" s="17">
        <f t="shared" ref="J4:J67" si="3">MAX((SQRT(J3)+Eta*SQRT(dt)*E4/2)^2+Kappa*(Theta-J3)*dt-Eta*Eta*dt/4,0)</f>
        <v>1.4753039806410921E-2</v>
      </c>
      <c r="K4" s="19">
        <f t="shared" ref="K4:K67" si="4">(C4-D4-Lambda*(EXP(Alpha+Delta^2/2)-1)-MAX((SQRT($J3)-0),0)^2/2)*dt+SQRT(MAX((SQRT($J3)-0),0)^2*dt)*I4</f>
        <v>1.6880930453360276E-3</v>
      </c>
      <c r="L4" s="18">
        <f t="shared" ref="L4:L67" si="5">EXP(K4)*EXP(H4)*L3</f>
        <v>1565.1398729320115</v>
      </c>
      <c r="M4" s="77">
        <v>41110</v>
      </c>
      <c r="N4" s="82">
        <f>V68</f>
        <v>1362.66</v>
      </c>
      <c r="O4" s="37">
        <f>EXP(-SUM($C$4:C4)*dt)</f>
        <v>0.99999999998471001</v>
      </c>
      <c r="P4" s="36"/>
      <c r="Q4" s="36"/>
      <c r="R4" s="73">
        <v>1562.5</v>
      </c>
      <c r="S4" s="36"/>
      <c r="T4" s="36"/>
      <c r="U4" s="55">
        <v>41018</v>
      </c>
      <c r="V4" s="40">
        <v>1376.92</v>
      </c>
      <c r="W4" s="39"/>
      <c r="X4" s="61">
        <v>1</v>
      </c>
      <c r="Y4" s="35">
        <f>V4</f>
        <v>1376.92</v>
      </c>
      <c r="Z4" s="43"/>
      <c r="AA4" s="43"/>
      <c r="AB4" s="43"/>
      <c r="AC4" s="43"/>
      <c r="AD4" s="43"/>
    </row>
    <row r="5" spans="1:30" x14ac:dyDescent="0.2">
      <c r="A5" s="11">
        <f t="shared" si="0"/>
        <v>2</v>
      </c>
      <c r="B5" s="15">
        <f t="shared" si="1"/>
        <v>7.9365079365079361E-3</v>
      </c>
      <c r="C5" s="50">
        <v>3.8530845108368199E-9</v>
      </c>
      <c r="D5" s="50">
        <v>2.4109806654339001E-2</v>
      </c>
      <c r="E5" s="16">
        <v>5.4111915747803198E-2</v>
      </c>
      <c r="F5" s="16">
        <v>0.25567608240492995</v>
      </c>
      <c r="G5" s="29">
        <v>0</v>
      </c>
      <c r="H5" s="16">
        <v>0</v>
      </c>
      <c r="I5" s="16">
        <f t="shared" si="2"/>
        <v>0.15612389223999526</v>
      </c>
      <c r="J5" s="17">
        <f t="shared" si="3"/>
        <v>1.4514890717952485E-2</v>
      </c>
      <c r="K5" s="19">
        <f t="shared" si="4"/>
        <v>1.1686436596265691E-3</v>
      </c>
      <c r="L5" s="18">
        <f t="shared" si="5"/>
        <v>1566.9700329150808</v>
      </c>
      <c r="M5" s="77">
        <v>41143</v>
      </c>
      <c r="N5" s="80">
        <f>V91</f>
        <v>1413.49</v>
      </c>
      <c r="O5" s="37">
        <f>EXP(-SUM($C$4:C25)*dt)</f>
        <v>0.99999999966361963</v>
      </c>
      <c r="P5" s="74">
        <f>N5/N4-1</f>
        <v>3.7302041595115298E-2</v>
      </c>
      <c r="Q5" s="36"/>
      <c r="R5" s="73">
        <v>1560.11535721939</v>
      </c>
      <c r="S5" s="74">
        <f>R5/R4-1</f>
        <v>-1.5261713795903242E-3</v>
      </c>
      <c r="T5" s="46">
        <f>P5-S5</f>
        <v>3.8828212974705623E-2</v>
      </c>
      <c r="U5" s="54">
        <v>41019</v>
      </c>
      <c r="V5" s="39">
        <v>1378.53</v>
      </c>
      <c r="W5" s="39"/>
      <c r="X5" s="31">
        <v>21</v>
      </c>
      <c r="Y5" s="35">
        <f>V45</f>
        <v>1344.78</v>
      </c>
      <c r="Z5" s="43">
        <f>Y5/Y4-1</f>
        <v>-2.3341951602126598E-2</v>
      </c>
      <c r="AA5" s="43"/>
      <c r="AB5" s="43"/>
      <c r="AC5" s="43"/>
      <c r="AD5" s="43"/>
    </row>
    <row r="6" spans="1:30" x14ac:dyDescent="0.2">
      <c r="A6" s="11">
        <f t="shared" si="0"/>
        <v>3</v>
      </c>
      <c r="B6" s="15">
        <f t="shared" si="1"/>
        <v>1.1904761904761904E-2</v>
      </c>
      <c r="C6" s="50">
        <v>3.8530845108368199E-9</v>
      </c>
      <c r="D6" s="50">
        <v>2.4109806654339001E-2</v>
      </c>
      <c r="E6" s="16">
        <v>-0.40040690380474886</v>
      </c>
      <c r="F6" s="16">
        <v>-1.0027944449987745</v>
      </c>
      <c r="G6" s="29">
        <v>0</v>
      </c>
      <c r="H6" s="16">
        <v>0</v>
      </c>
      <c r="I6" s="16">
        <f t="shared" si="2"/>
        <v>-0.48797994975765113</v>
      </c>
      <c r="J6" s="17">
        <f t="shared" si="3"/>
        <v>1.147989454400028E-2</v>
      </c>
      <c r="K6" s="19">
        <f t="shared" si="4"/>
        <v>-3.7289169850490862E-3</v>
      </c>
      <c r="L6" s="18">
        <f t="shared" si="5"/>
        <v>1561.1378124352818</v>
      </c>
      <c r="M6" s="77">
        <v>41173</v>
      </c>
      <c r="N6" s="82">
        <f>V112</f>
        <v>1460.15</v>
      </c>
      <c r="O6" s="37">
        <f>EXP(-SUM($C$4:C46)*dt)</f>
        <v>0.99999999934252926</v>
      </c>
      <c r="P6" s="74">
        <f>N6/N5-1</f>
        <v>3.3010491761526595E-2</v>
      </c>
      <c r="Q6" s="36"/>
      <c r="R6" s="73">
        <v>1512.7057796721001</v>
      </c>
      <c r="S6" s="74">
        <f t="shared" ref="S6:S16" si="6">R6/R5-1</f>
        <v>-3.0388507700987222E-2</v>
      </c>
      <c r="T6" s="46">
        <f t="shared" ref="T6:T16" si="7">P6-S6</f>
        <v>6.3398999462513816E-2</v>
      </c>
      <c r="U6" s="54">
        <v>41022</v>
      </c>
      <c r="V6" s="39">
        <v>1366.94</v>
      </c>
      <c r="W6" s="39"/>
      <c r="X6" s="31">
        <f>21*2</f>
        <v>42</v>
      </c>
      <c r="Y6" s="35">
        <f>V66</f>
        <v>1372.78</v>
      </c>
      <c r="Z6" s="43">
        <f t="shared" ref="Z6:Z16" si="8">Y6/Y5-1</f>
        <v>2.0821249572420708E-2</v>
      </c>
      <c r="AA6" s="43"/>
      <c r="AB6" s="43"/>
      <c r="AC6" s="43"/>
      <c r="AD6" s="43"/>
    </row>
    <row r="7" spans="1:30" x14ac:dyDescent="0.2">
      <c r="A7" s="11">
        <f t="shared" si="0"/>
        <v>4</v>
      </c>
      <c r="B7" s="15">
        <f t="shared" si="1"/>
        <v>1.5873015873015872E-2</v>
      </c>
      <c r="C7" s="50">
        <v>3.8530845108368199E-9</v>
      </c>
      <c r="D7" s="50">
        <v>2.4109806654339001E-2</v>
      </c>
      <c r="E7" s="16">
        <v>0.60327977663874055</v>
      </c>
      <c r="F7" s="16">
        <v>-1.358420308583689</v>
      </c>
      <c r="G7" s="29">
        <v>0</v>
      </c>
      <c r="H7" s="16">
        <v>0</v>
      </c>
      <c r="I7" s="16">
        <f t="shared" si="2"/>
        <v>-1.4181841300402034</v>
      </c>
      <c r="J7" s="17">
        <f t="shared" si="3"/>
        <v>1.458892276115034E-2</v>
      </c>
      <c r="K7" s="19">
        <f t="shared" si="4"/>
        <v>-9.5913965654016477E-3</v>
      </c>
      <c r="L7" s="18">
        <f t="shared" si="5"/>
        <v>1546.2358999007947</v>
      </c>
      <c r="M7" s="77">
        <v>41204</v>
      </c>
      <c r="N7" s="80">
        <f>V133</f>
        <v>1433.82</v>
      </c>
      <c r="O7" s="37">
        <f>EXP(-SUM($C$4:C66)*dt)</f>
        <v>0.99908408036821494</v>
      </c>
      <c r="P7" s="74">
        <f t="shared" ref="P7:P16" si="9">N7/N6-1</f>
        <v>-1.8032393932130408E-2</v>
      </c>
      <c r="Q7" s="36"/>
      <c r="R7" s="73">
        <v>1525.2225687544101</v>
      </c>
      <c r="S7" s="74">
        <f t="shared" si="6"/>
        <v>8.2744372702954205E-3</v>
      </c>
      <c r="T7" s="46">
        <f t="shared" si="7"/>
        <v>-2.6306831202425829E-2</v>
      </c>
      <c r="U7" s="54">
        <v>41023</v>
      </c>
      <c r="V7" s="39">
        <v>1371.97</v>
      </c>
      <c r="W7" s="39"/>
      <c r="X7" s="31">
        <f>21*3</f>
        <v>63</v>
      </c>
      <c r="Y7" s="35">
        <f>V87</f>
        <v>1415.51</v>
      </c>
      <c r="Z7" s="43">
        <f t="shared" si="8"/>
        <v>3.1126618977549203E-2</v>
      </c>
      <c r="AA7" s="43"/>
      <c r="AB7" s="43"/>
      <c r="AC7" s="43"/>
      <c r="AD7" s="43"/>
    </row>
    <row r="8" spans="1:30" x14ac:dyDescent="0.2">
      <c r="A8" s="11">
        <f t="shared" si="0"/>
        <v>5</v>
      </c>
      <c r="B8" s="15">
        <f t="shared" si="1"/>
        <v>1.984126984126984E-2</v>
      </c>
      <c r="C8" s="50">
        <v>3.8530845108368199E-9</v>
      </c>
      <c r="D8" s="50">
        <v>2.4109806654339001E-2</v>
      </c>
      <c r="E8" s="16">
        <v>1.636594018325916</v>
      </c>
      <c r="F8" s="16">
        <v>0.27919277428603323</v>
      </c>
      <c r="G8" s="29">
        <v>0</v>
      </c>
      <c r="H8" s="16">
        <v>0</v>
      </c>
      <c r="I8" s="16">
        <f t="shared" si="2"/>
        <v>-0.87204272634942104</v>
      </c>
      <c r="J8" s="17">
        <f t="shared" si="3"/>
        <v>2.6375139248809513E-2</v>
      </c>
      <c r="K8" s="19">
        <f t="shared" si="4"/>
        <v>-6.6607208613436129E-3</v>
      </c>
      <c r="L8" s="18">
        <f t="shared" si="5"/>
        <v>1535.9710776935221</v>
      </c>
      <c r="M8" s="77">
        <v>41234</v>
      </c>
      <c r="N8" s="82">
        <f>V153</f>
        <v>1391.03</v>
      </c>
      <c r="O8" s="37">
        <f>EXP(-SUM($C$4:C89)*dt)</f>
        <v>0.99873443132671924</v>
      </c>
      <c r="P8" s="74">
        <f t="shared" si="9"/>
        <v>-2.9843355511849468E-2</v>
      </c>
      <c r="Q8" s="36"/>
      <c r="R8" s="73">
        <v>1564.8006317257</v>
      </c>
      <c r="S8" s="74">
        <f t="shared" si="6"/>
        <v>2.5949041000364881E-2</v>
      </c>
      <c r="T8" s="46">
        <f t="shared" si="7"/>
        <v>-5.5792396512214348E-2</v>
      </c>
      <c r="U8" s="54">
        <v>41024</v>
      </c>
      <c r="V8" s="39">
        <v>1390.69</v>
      </c>
      <c r="W8" s="39"/>
      <c r="X8" s="31">
        <f>21*4</f>
        <v>84</v>
      </c>
      <c r="Y8" s="35">
        <f>V108</f>
        <v>1461.19</v>
      </c>
      <c r="Z8" s="43">
        <f t="shared" si="8"/>
        <v>3.2271054248998565E-2</v>
      </c>
      <c r="AA8" s="43"/>
      <c r="AB8" s="43"/>
      <c r="AC8" s="43"/>
      <c r="AD8" s="43"/>
    </row>
    <row r="9" spans="1:30" x14ac:dyDescent="0.2">
      <c r="A9" s="11">
        <f t="shared" si="0"/>
        <v>6</v>
      </c>
      <c r="B9" s="15">
        <f t="shared" si="1"/>
        <v>2.3809523809523808E-2</v>
      </c>
      <c r="C9" s="50">
        <v>3.8530845108368199E-9</v>
      </c>
      <c r="D9" s="50">
        <v>2.4109806654339001E-2</v>
      </c>
      <c r="E9" s="16">
        <v>1.8582267838063067</v>
      </c>
      <c r="F9" s="16">
        <v>1.3888597954204946</v>
      </c>
      <c r="G9" s="29">
        <v>0</v>
      </c>
      <c r="H9" s="16">
        <v>0</v>
      </c>
      <c r="I9" s="16">
        <f t="shared" si="2"/>
        <v>-0.18570835058556012</v>
      </c>
      <c r="J9" s="17">
        <f t="shared" si="3"/>
        <v>4.4187867336061865E-2</v>
      </c>
      <c r="K9" s="19">
        <f t="shared" si="4"/>
        <v>-1.9488716321303847E-3</v>
      </c>
      <c r="L9" s="18">
        <f t="shared" si="5"/>
        <v>1532.9805822248418</v>
      </c>
      <c r="M9" s="77">
        <v>41264</v>
      </c>
      <c r="N9" s="82">
        <f>V174</f>
        <v>1430.15</v>
      </c>
      <c r="O9" s="37">
        <f>EXP(-SUM($C$4:C109)*dt)</f>
        <v>0.99834081139231123</v>
      </c>
      <c r="P9" s="74">
        <f t="shared" si="9"/>
        <v>2.8123045513037237E-2</v>
      </c>
      <c r="Q9" s="36"/>
      <c r="R9" s="73">
        <v>1572.77520742513</v>
      </c>
      <c r="S9" s="74">
        <f t="shared" si="6"/>
        <v>5.0962247443850917E-3</v>
      </c>
      <c r="T9" s="46">
        <f t="shared" si="7"/>
        <v>2.3026820768652145E-2</v>
      </c>
      <c r="U9" s="54">
        <v>41025</v>
      </c>
      <c r="V9" s="39">
        <v>1399.98</v>
      </c>
      <c r="W9" s="39"/>
      <c r="X9" s="31">
        <f>21*5</f>
        <v>105</v>
      </c>
      <c r="Y9" s="35">
        <f>V129</f>
        <v>1454.92</v>
      </c>
      <c r="Z9" s="43">
        <f t="shared" si="8"/>
        <v>-4.2910230702372099E-3</v>
      </c>
      <c r="AA9" s="43"/>
      <c r="AB9" s="43"/>
      <c r="AC9" s="43"/>
      <c r="AD9" s="43"/>
    </row>
    <row r="10" spans="1:30" x14ac:dyDescent="0.2">
      <c r="A10" s="11">
        <f t="shared" si="0"/>
        <v>7</v>
      </c>
      <c r="B10" s="15">
        <f t="shared" si="1"/>
        <v>2.7777777777777776E-2</v>
      </c>
      <c r="C10" s="50">
        <v>3.8530845108368199E-9</v>
      </c>
      <c r="D10" s="50">
        <v>2.4109806654339001E-2</v>
      </c>
      <c r="E10" s="16">
        <v>0.14889452942100284</v>
      </c>
      <c r="F10" s="16">
        <v>0.67157274995796556</v>
      </c>
      <c r="G10" s="29">
        <v>0</v>
      </c>
      <c r="H10" s="16">
        <v>0</v>
      </c>
      <c r="I10" s="16">
        <f t="shared" si="2"/>
        <v>0.40561524419357764</v>
      </c>
      <c r="J10" s="17">
        <f t="shared" si="3"/>
        <v>4.5167926617554706E-2</v>
      </c>
      <c r="K10" s="19">
        <f t="shared" si="4"/>
        <v>5.2868042376231416E-3</v>
      </c>
      <c r="L10" s="18">
        <f t="shared" si="5"/>
        <v>1541.1066119001323</v>
      </c>
      <c r="M10" s="77">
        <v>41296</v>
      </c>
      <c r="N10" s="80">
        <f>V193</f>
        <v>1492.56</v>
      </c>
      <c r="O10" s="37">
        <f>EXP(-SUM($C$4:C131)*dt)</f>
        <v>0.99796314422651711</v>
      </c>
      <c r="P10" s="74">
        <f t="shared" si="9"/>
        <v>4.3638779149040241E-2</v>
      </c>
      <c r="Q10" s="36"/>
      <c r="R10" s="73">
        <v>1583.0946818325599</v>
      </c>
      <c r="S10" s="74">
        <f t="shared" si="6"/>
        <v>6.5613155387440614E-3</v>
      </c>
      <c r="T10" s="46">
        <f t="shared" si="7"/>
        <v>3.707746361029618E-2</v>
      </c>
      <c r="U10" s="54">
        <v>41026</v>
      </c>
      <c r="V10" s="39">
        <v>1403.36</v>
      </c>
      <c r="W10" s="39"/>
      <c r="X10" s="31">
        <f>21*6</f>
        <v>126</v>
      </c>
      <c r="Y10" s="35">
        <f>V150</f>
        <v>1359.88</v>
      </c>
      <c r="Z10" s="43">
        <f t="shared" si="8"/>
        <v>-6.532317928133502E-2</v>
      </c>
      <c r="AA10" s="43"/>
      <c r="AB10" s="43"/>
      <c r="AC10" s="43"/>
      <c r="AD10" s="43"/>
    </row>
    <row r="11" spans="1:30" x14ac:dyDescent="0.2">
      <c r="A11" s="11">
        <f t="shared" si="0"/>
        <v>8</v>
      </c>
      <c r="B11" s="15">
        <f t="shared" si="1"/>
        <v>3.1746031746031744E-2</v>
      </c>
      <c r="C11" s="50">
        <v>3.8530845108368199E-9</v>
      </c>
      <c r="D11" s="50">
        <v>2.4109806654339001E-2</v>
      </c>
      <c r="E11" s="16">
        <v>0.5355788750489745</v>
      </c>
      <c r="F11" s="16">
        <v>-0.77377371005521911</v>
      </c>
      <c r="G11" s="29">
        <v>0</v>
      </c>
      <c r="H11" s="16">
        <v>0</v>
      </c>
      <c r="I11" s="16">
        <f t="shared" si="2"/>
        <v>-0.93466539918019742</v>
      </c>
      <c r="J11" s="17">
        <f t="shared" si="3"/>
        <v>5.0709786399459507E-2</v>
      </c>
      <c r="K11" s="19">
        <f t="shared" si="4"/>
        <v>-1.2599543066616706E-2</v>
      </c>
      <c r="L11" s="18">
        <f t="shared" si="5"/>
        <v>1521.811184814834</v>
      </c>
      <c r="M11" s="77">
        <v>41327</v>
      </c>
      <c r="N11" s="80">
        <f>V215</f>
        <v>1515.6</v>
      </c>
      <c r="O11" s="37">
        <f>EXP(-SUM($C$4:C154)*dt)</f>
        <v>0.99757120696792756</v>
      </c>
      <c r="P11" s="74">
        <f t="shared" si="9"/>
        <v>1.5436565364206345E-2</v>
      </c>
      <c r="Q11" s="36"/>
      <c r="R11" s="73">
        <v>1586.3907657386001</v>
      </c>
      <c r="S11" s="74">
        <f t="shared" si="6"/>
        <v>2.0820510256687186E-3</v>
      </c>
      <c r="T11" s="46">
        <f t="shared" si="7"/>
        <v>1.3354514338537626E-2</v>
      </c>
      <c r="U11" s="54">
        <v>41029</v>
      </c>
      <c r="V11" s="39">
        <v>1397.91</v>
      </c>
      <c r="W11" s="39"/>
      <c r="X11" s="31">
        <f>21*7</f>
        <v>147</v>
      </c>
      <c r="Y11" s="35">
        <f>V171</f>
        <v>1446.79</v>
      </c>
      <c r="Z11" s="43">
        <f t="shared" si="8"/>
        <v>6.3910050886842873E-2</v>
      </c>
      <c r="AA11" s="43"/>
      <c r="AB11" s="43"/>
      <c r="AC11" s="43"/>
      <c r="AD11" s="43"/>
    </row>
    <row r="12" spans="1:30" x14ac:dyDescent="0.2">
      <c r="A12" s="11">
        <f t="shared" si="0"/>
        <v>9</v>
      </c>
      <c r="B12" s="15">
        <f t="shared" si="1"/>
        <v>3.5714285714285712E-2</v>
      </c>
      <c r="C12" s="50">
        <v>3.8530845108368199E-9</v>
      </c>
      <c r="D12" s="50">
        <v>2.4109806654339001E-2</v>
      </c>
      <c r="E12" s="16">
        <v>-0.72695045429754546</v>
      </c>
      <c r="F12" s="16">
        <v>1.2707751117388073</v>
      </c>
      <c r="G12" s="29">
        <v>0</v>
      </c>
      <c r="H12" s="16">
        <v>0</v>
      </c>
      <c r="I12" s="16">
        <f t="shared" si="2"/>
        <v>1.434136735940488</v>
      </c>
      <c r="J12" s="17">
        <f t="shared" si="3"/>
        <v>4.1675214544312986E-2</v>
      </c>
      <c r="K12" s="19">
        <f t="shared" si="4"/>
        <v>2.0246727919815414E-2</v>
      </c>
      <c r="L12" s="18">
        <f t="shared" si="5"/>
        <v>1552.9369156472294</v>
      </c>
      <c r="M12" s="77">
        <v>41355</v>
      </c>
      <c r="N12" s="80">
        <f>V235</f>
        <v>1556.89</v>
      </c>
      <c r="O12" s="37">
        <f>EXP(-SUM($C$4:C173)*dt)</f>
        <v>0.99724754881443844</v>
      </c>
      <c r="P12" s="74">
        <f t="shared" si="9"/>
        <v>2.7243335972552352E-2</v>
      </c>
      <c r="Q12" s="36"/>
      <c r="R12" s="73">
        <v>1596.8444888653601</v>
      </c>
      <c r="S12" s="74">
        <f t="shared" si="6"/>
        <v>6.5896268136009795E-3</v>
      </c>
      <c r="T12" s="46">
        <f t="shared" si="7"/>
        <v>2.0653709158951372E-2</v>
      </c>
      <c r="U12" s="54">
        <v>41030</v>
      </c>
      <c r="V12" s="39">
        <v>1405.82</v>
      </c>
      <c r="W12" s="39"/>
      <c r="X12" s="31">
        <f>21*8</f>
        <v>168</v>
      </c>
      <c r="Y12" s="35">
        <f>V192</f>
        <v>1485.98</v>
      </c>
      <c r="Z12" s="43">
        <f t="shared" si="8"/>
        <v>2.708755244368577E-2</v>
      </c>
      <c r="AA12" s="43"/>
      <c r="AB12" s="43"/>
      <c r="AC12" s="43"/>
      <c r="AD12" s="43"/>
    </row>
    <row r="13" spans="1:30" x14ac:dyDescent="0.2">
      <c r="A13" s="11">
        <f t="shared" si="0"/>
        <v>10</v>
      </c>
      <c r="B13" s="15">
        <f t="shared" si="1"/>
        <v>3.968253968253968E-2</v>
      </c>
      <c r="C13" s="50">
        <v>3.8530845108368199E-9</v>
      </c>
      <c r="D13" s="50">
        <v>2.4109806654339001E-2</v>
      </c>
      <c r="E13" s="16">
        <v>0.57932193248469055</v>
      </c>
      <c r="F13" s="16">
        <v>-1.0978197709104911</v>
      </c>
      <c r="G13" s="29">
        <v>0</v>
      </c>
      <c r="H13" s="16">
        <v>0</v>
      </c>
      <c r="I13" s="16">
        <f t="shared" si="2"/>
        <v>-1.2067704258888186</v>
      </c>
      <c r="J13" s="17">
        <f t="shared" si="3"/>
        <v>4.7499771209378545E-2</v>
      </c>
      <c r="K13" s="19">
        <f t="shared" si="4"/>
        <v>-1.5598323434757306E-2</v>
      </c>
      <c r="L13" s="18">
        <f t="shared" si="5"/>
        <v>1528.9016456493573</v>
      </c>
      <c r="M13" s="77">
        <v>41386</v>
      </c>
      <c r="N13" s="80">
        <f>V255</f>
        <v>1562.5</v>
      </c>
      <c r="O13" s="37">
        <f>EXP(-SUM($C$4:C192)*dt)</f>
        <v>0.99693943910892613</v>
      </c>
      <c r="P13" s="74">
        <f t="shared" si="9"/>
        <v>3.6033374226822623E-3</v>
      </c>
      <c r="Q13" s="36"/>
      <c r="R13" s="73">
        <v>1548.23979314947</v>
      </c>
      <c r="S13" s="74">
        <f t="shared" si="6"/>
        <v>-3.0437964407182938E-2</v>
      </c>
      <c r="T13" s="46">
        <f t="shared" si="7"/>
        <v>3.40413018298652E-2</v>
      </c>
      <c r="U13" s="54">
        <v>41031</v>
      </c>
      <c r="V13" s="39">
        <v>1402.31</v>
      </c>
      <c r="W13" s="39"/>
      <c r="X13" s="31">
        <f>21*9</f>
        <v>189</v>
      </c>
      <c r="Y13" s="35">
        <f>V213</f>
        <v>1511.95</v>
      </c>
      <c r="Z13" s="43">
        <f t="shared" si="8"/>
        <v>1.7476682054940129E-2</v>
      </c>
      <c r="AA13" s="43"/>
      <c r="AB13" s="43"/>
      <c r="AC13" s="43"/>
      <c r="AD13" s="43"/>
    </row>
    <row r="14" spans="1:30" x14ac:dyDescent="0.2">
      <c r="A14" s="11">
        <f t="shared" si="0"/>
        <v>11</v>
      </c>
      <c r="B14" s="15">
        <f t="shared" si="1"/>
        <v>4.3650793650793648E-2</v>
      </c>
      <c r="C14" s="50">
        <v>3.8530845108368199E-9</v>
      </c>
      <c r="D14" s="50">
        <v>2.4109806654339001E-2</v>
      </c>
      <c r="E14" s="16">
        <v>0.27850885694071414</v>
      </c>
      <c r="F14" s="16">
        <v>0.37293357990371268</v>
      </c>
      <c r="G14" s="29">
        <v>0</v>
      </c>
      <c r="H14" s="16">
        <v>0</v>
      </c>
      <c r="I14" s="16">
        <f t="shared" si="2"/>
        <v>9.5828288127318584E-2</v>
      </c>
      <c r="J14" s="17">
        <f t="shared" si="3"/>
        <v>5.0066811707124508E-2</v>
      </c>
      <c r="K14" s="19">
        <f t="shared" si="4"/>
        <v>1.224751303519828E-3</v>
      </c>
      <c r="L14" s="18">
        <f t="shared" si="5"/>
        <v>1530.7753170893777</v>
      </c>
      <c r="M14" s="31">
        <f>21*10</f>
        <v>210</v>
      </c>
      <c r="N14" s="73">
        <f>L24</f>
        <v>1499.4481430771491</v>
      </c>
      <c r="O14" s="37">
        <f>EXP(-SUM($C$4:C213)*dt)</f>
        <v>0.99659995473595253</v>
      </c>
      <c r="P14" s="74">
        <f t="shared" si="9"/>
        <v>-4.0353188430624631E-2</v>
      </c>
      <c r="Q14" s="36"/>
      <c r="R14" s="73">
        <v>1564.4954241738701</v>
      </c>
      <c r="S14" s="74">
        <f t="shared" si="6"/>
        <v>1.0499427218139346E-2</v>
      </c>
      <c r="T14" s="46">
        <f t="shared" si="7"/>
        <v>-5.0852615648763977E-2</v>
      </c>
      <c r="U14" s="54">
        <v>41032</v>
      </c>
      <c r="V14" s="39">
        <v>1391.57</v>
      </c>
      <c r="W14" s="39"/>
      <c r="X14" s="31">
        <f>21*10</f>
        <v>210</v>
      </c>
      <c r="Y14" s="35">
        <f>V235</f>
        <v>1556.89</v>
      </c>
      <c r="Z14" s="43">
        <f t="shared" si="8"/>
        <v>2.9723205132444974E-2</v>
      </c>
      <c r="AA14" s="43"/>
      <c r="AB14" s="43"/>
      <c r="AC14" s="43"/>
      <c r="AD14" s="43"/>
    </row>
    <row r="15" spans="1:30" x14ac:dyDescent="0.2">
      <c r="A15" s="11">
        <f t="shared" si="0"/>
        <v>12</v>
      </c>
      <c r="B15" s="15">
        <f t="shared" si="1"/>
        <v>4.7619047619047616E-2</v>
      </c>
      <c r="C15" s="50">
        <v>3.8530845108368199E-9</v>
      </c>
      <c r="D15" s="50">
        <v>2.4109806654339001E-2</v>
      </c>
      <c r="E15" s="16">
        <v>0.32396469200369299</v>
      </c>
      <c r="F15" s="16">
        <v>-0.45075914736822476</v>
      </c>
      <c r="G15" s="29">
        <v>0</v>
      </c>
      <c r="H15" s="16">
        <v>0</v>
      </c>
      <c r="I15" s="16">
        <f t="shared" si="2"/>
        <v>-0.55239342061645891</v>
      </c>
      <c r="J15" s="17">
        <f t="shared" si="3"/>
        <v>5.3269354496425565E-2</v>
      </c>
      <c r="K15" s="19">
        <f t="shared" si="4"/>
        <v>-7.8821462281705272E-3</v>
      </c>
      <c r="L15" s="18">
        <f t="shared" si="5"/>
        <v>1518.7569496855149</v>
      </c>
      <c r="M15" s="31">
        <f>21*11</f>
        <v>231</v>
      </c>
      <c r="N15" s="73">
        <f>L45</f>
        <v>1520.3068583831664</v>
      </c>
      <c r="O15" s="37">
        <f>EXP(-SUM($C$4:C234)*dt)</f>
        <v>0.99626058596642963</v>
      </c>
      <c r="P15" s="74">
        <f t="shared" si="9"/>
        <v>1.3910928098661124E-2</v>
      </c>
      <c r="Q15" s="36"/>
      <c r="R15" s="73">
        <v>1594.9911856564599</v>
      </c>
      <c r="S15" s="74">
        <f t="shared" si="6"/>
        <v>1.949239416835824E-2</v>
      </c>
      <c r="T15" s="46">
        <f t="shared" si="7"/>
        <v>-5.5814660696971163E-3</v>
      </c>
      <c r="U15" s="54">
        <v>41033</v>
      </c>
      <c r="V15" s="39">
        <v>1369.1</v>
      </c>
      <c r="W15" s="39"/>
      <c r="X15" s="31">
        <f>21*11</f>
        <v>231</v>
      </c>
      <c r="Y15" s="35">
        <f>V255</f>
        <v>1562.5</v>
      </c>
      <c r="Z15" s="43">
        <f>Y15/Y14-1</f>
        <v>3.6033374226822623E-3</v>
      </c>
      <c r="AA15" s="43"/>
      <c r="AB15" s="43"/>
      <c r="AC15" s="43"/>
      <c r="AD15" s="43"/>
    </row>
    <row r="16" spans="1:30" x14ac:dyDescent="0.2">
      <c r="A16" s="11">
        <f t="shared" si="0"/>
        <v>13</v>
      </c>
      <c r="B16" s="15">
        <f t="shared" si="1"/>
        <v>5.1587301587301584E-2</v>
      </c>
      <c r="C16" s="50">
        <v>3.8530845108368199E-9</v>
      </c>
      <c r="D16" s="50">
        <v>2.4109806654339001E-2</v>
      </c>
      <c r="E16" s="16">
        <v>-0.24637367758851481</v>
      </c>
      <c r="F16" s="16">
        <v>-0.39887618077818637</v>
      </c>
      <c r="G16" s="29">
        <v>0</v>
      </c>
      <c r="H16" s="16">
        <v>0</v>
      </c>
      <c r="I16" s="16">
        <f t="shared" si="2"/>
        <v>-0.1365354018648203</v>
      </c>
      <c r="J16" s="17">
        <f t="shared" si="3"/>
        <v>4.9565265026464217E-2</v>
      </c>
      <c r="K16" s="19">
        <f t="shared" si="4"/>
        <v>-2.0874488741991744E-3</v>
      </c>
      <c r="L16" s="18">
        <f t="shared" si="5"/>
        <v>1515.5899288477622</v>
      </c>
      <c r="M16" s="31">
        <f>21*12</f>
        <v>252</v>
      </c>
      <c r="N16" s="73">
        <f>L65</f>
        <v>1584.051415115795</v>
      </c>
      <c r="O16" s="37">
        <f>EXP(-SUM($C$4:C65)*dt)</f>
        <v>0.99913226570789926</v>
      </c>
      <c r="P16" s="74">
        <f t="shared" si="9"/>
        <v>4.1928743780331512E-2</v>
      </c>
      <c r="Q16" s="48">
        <f>cliquet(M17,$P$5:$P$16,1)</f>
        <v>0.12008827449653481</v>
      </c>
      <c r="R16" s="73">
        <v>1608.9027679523399</v>
      </c>
      <c r="S16" s="74">
        <f t="shared" si="6"/>
        <v>8.7220433698849131E-3</v>
      </c>
      <c r="T16" s="46">
        <f t="shared" si="7"/>
        <v>3.3206700410446599E-2</v>
      </c>
      <c r="U16" s="54">
        <v>41036</v>
      </c>
      <c r="V16" s="39">
        <v>1369.58</v>
      </c>
      <c r="W16" s="39"/>
      <c r="X16" s="31">
        <f>21*12</f>
        <v>252</v>
      </c>
      <c r="Y16" s="35">
        <f>N5</f>
        <v>1413.49</v>
      </c>
      <c r="Z16" s="43">
        <f t="shared" si="8"/>
        <v>-9.5366399999999962E-2</v>
      </c>
      <c r="AA16" s="43"/>
      <c r="AB16" s="43"/>
      <c r="AC16" s="43"/>
      <c r="AD16" s="43"/>
    </row>
    <row r="17" spans="1:33" x14ac:dyDescent="0.2">
      <c r="A17" s="11">
        <f t="shared" si="0"/>
        <v>14</v>
      </c>
      <c r="B17" s="15">
        <f t="shared" si="1"/>
        <v>5.5555555555555552E-2</v>
      </c>
      <c r="C17" s="50">
        <v>3.8530845108368199E-9</v>
      </c>
      <c r="D17" s="50">
        <v>2.4109806654339001E-2</v>
      </c>
      <c r="E17" s="16">
        <v>-0.33084569688782978</v>
      </c>
      <c r="F17" s="16">
        <v>-9.1195451771310027E-2</v>
      </c>
      <c r="G17" s="29">
        <v>0</v>
      </c>
      <c r="H17" s="16">
        <v>0</v>
      </c>
      <c r="I17" s="16">
        <f t="shared" si="2"/>
        <v>0.15020401880137935</v>
      </c>
      <c r="J17" s="17">
        <f t="shared" si="3"/>
        <v>4.5017896848467916E-2</v>
      </c>
      <c r="K17" s="19">
        <f t="shared" si="4"/>
        <v>2.0115479892545145E-3</v>
      </c>
      <c r="L17" s="18">
        <f t="shared" si="5"/>
        <v>1518.6416790636442</v>
      </c>
      <c r="M17" s="49">
        <v>0.03</v>
      </c>
      <c r="N17" s="48">
        <f>cliquet(M17,$P$5:$P$16,O16)</f>
        <v>0.11998406978267495</v>
      </c>
      <c r="O17" s="37"/>
      <c r="P17" s="47">
        <f>SUM(P5:P16)</f>
        <v>0.15596833078254846</v>
      </c>
      <c r="Q17" s="48">
        <v>4.9730552748174801E-3</v>
      </c>
      <c r="R17" s="47"/>
      <c r="S17" s="47">
        <f>SUM(S5:S16)</f>
        <v>3.0913917661681167E-2</v>
      </c>
      <c r="T17" s="36"/>
      <c r="U17" s="54">
        <v>41037</v>
      </c>
      <c r="V17" s="39">
        <v>1363.72</v>
      </c>
      <c r="W17" s="39"/>
      <c r="X17" s="39"/>
      <c r="Y17" s="58">
        <v>1.0999999999999999E-2</v>
      </c>
      <c r="Z17" s="63"/>
      <c r="AA17" s="64">
        <f>cliquet(Y17,P5:P5,O5)</f>
        <v>3.3743995469426684E-3</v>
      </c>
      <c r="AB17" s="43"/>
      <c r="AC17" s="43"/>
      <c r="AD17" s="43"/>
    </row>
    <row r="18" spans="1:33" x14ac:dyDescent="0.2">
      <c r="A18" s="11">
        <f t="shared" si="0"/>
        <v>15</v>
      </c>
      <c r="B18" s="15">
        <f t="shared" si="1"/>
        <v>5.9523809523809521E-2</v>
      </c>
      <c r="C18" s="50">
        <v>3.8530845108368199E-9</v>
      </c>
      <c r="D18" s="50">
        <v>2.4109806654339001E-2</v>
      </c>
      <c r="E18" s="16">
        <v>1.3171588410368873</v>
      </c>
      <c r="F18" s="16">
        <v>0.29629619194264367</v>
      </c>
      <c r="G18" s="29">
        <v>0</v>
      </c>
      <c r="H18" s="16">
        <v>0</v>
      </c>
      <c r="I18" s="16">
        <f t="shared" si="2"/>
        <v>-0.64810129714199594</v>
      </c>
      <c r="J18" s="17">
        <f t="shared" si="3"/>
        <v>6.0369027317160665E-2</v>
      </c>
      <c r="K18" s="19">
        <f t="shared" si="4"/>
        <v>-8.7483107581997621E-3</v>
      </c>
      <c r="L18" s="18">
        <f t="shared" si="5"/>
        <v>1505.4140736882343</v>
      </c>
      <c r="M18" s="49">
        <v>0.01</v>
      </c>
      <c r="N18" s="87">
        <v>0.10738816227507589</v>
      </c>
      <c r="O18" s="37"/>
      <c r="P18" s="36"/>
      <c r="Q18" s="50">
        <f>Q16-Q17</f>
        <v>0.11511521922171733</v>
      </c>
      <c r="R18" s="36"/>
      <c r="S18" s="36"/>
      <c r="T18" s="36"/>
      <c r="U18" s="54">
        <v>41038</v>
      </c>
      <c r="V18" s="39">
        <v>1354.58</v>
      </c>
      <c r="W18" s="39"/>
      <c r="X18" s="39"/>
      <c r="Y18" s="39"/>
      <c r="Z18" s="43"/>
      <c r="AA18" s="43"/>
      <c r="AB18" s="43"/>
      <c r="AC18" s="43"/>
      <c r="AD18" s="43"/>
    </row>
    <row r="19" spans="1:33" x14ac:dyDescent="0.2">
      <c r="A19" s="11">
        <f t="shared" si="0"/>
        <v>16</v>
      </c>
      <c r="B19" s="15">
        <f t="shared" si="1"/>
        <v>6.3492063492063489E-2</v>
      </c>
      <c r="C19" s="50">
        <v>3.8530845108368199E-9</v>
      </c>
      <c r="D19" s="50">
        <v>2.4109806654339001E-2</v>
      </c>
      <c r="E19" s="16">
        <v>0.57964285773882895</v>
      </c>
      <c r="F19" s="16">
        <v>0.63978625730213623</v>
      </c>
      <c r="G19" s="29">
        <v>0</v>
      </c>
      <c r="H19" s="16">
        <v>0</v>
      </c>
      <c r="I19" s="16">
        <f t="shared" si="2"/>
        <v>9.7090580486571598E-2</v>
      </c>
      <c r="J19" s="17">
        <f t="shared" si="3"/>
        <v>6.7407277018068312E-2</v>
      </c>
      <c r="K19" s="19">
        <f t="shared" si="4"/>
        <v>1.386310795472087E-3</v>
      </c>
      <c r="L19" s="18">
        <f t="shared" si="5"/>
        <v>1507.5024927347085</v>
      </c>
      <c r="M19" s="65" t="s">
        <v>33</v>
      </c>
      <c r="N19" s="63">
        <v>3.649705341363828E-4</v>
      </c>
      <c r="O19" s="37"/>
      <c r="P19" s="36"/>
      <c r="Q19" s="36"/>
      <c r="R19" s="36"/>
      <c r="S19" s="36"/>
      <c r="T19" s="36"/>
      <c r="U19" s="54">
        <v>41039</v>
      </c>
      <c r="V19" s="39">
        <v>1357.99</v>
      </c>
      <c r="W19" s="39"/>
      <c r="X19" s="39"/>
      <c r="Y19" s="39"/>
      <c r="Z19" s="43"/>
      <c r="AA19" s="43"/>
      <c r="AB19" s="43"/>
      <c r="AC19" s="43"/>
      <c r="AD19" s="43"/>
    </row>
    <row r="20" spans="1:33" x14ac:dyDescent="0.2">
      <c r="A20" s="11">
        <f t="shared" si="0"/>
        <v>17</v>
      </c>
      <c r="B20" s="15">
        <f t="shared" si="1"/>
        <v>6.7460317460317457E-2</v>
      </c>
      <c r="C20" s="50">
        <v>3.8530845108368199E-9</v>
      </c>
      <c r="D20" s="50">
        <v>2.4109806654339001E-2</v>
      </c>
      <c r="E20" s="16">
        <v>-2.1298935981013803E-2</v>
      </c>
      <c r="F20" s="16">
        <v>1.0159460665614706</v>
      </c>
      <c r="G20" s="29">
        <v>0</v>
      </c>
      <c r="H20" s="16">
        <v>0</v>
      </c>
      <c r="I20" s="16">
        <f t="shared" si="2"/>
        <v>0.77654323035193562</v>
      </c>
      <c r="J20" s="17">
        <f t="shared" si="3"/>
        <v>6.6333100515779037E-2</v>
      </c>
      <c r="K20" s="19">
        <f t="shared" si="4"/>
        <v>1.257004554986303E-2</v>
      </c>
      <c r="L20" s="18">
        <f t="shared" si="5"/>
        <v>1526.5714655797876</v>
      </c>
      <c r="M20" s="31"/>
      <c r="N20" s="35"/>
      <c r="O20" s="37"/>
      <c r="P20" s="36"/>
      <c r="Q20" s="50"/>
      <c r="R20" s="36"/>
      <c r="S20" s="36"/>
      <c r="T20" s="36"/>
      <c r="U20" s="54">
        <v>41040</v>
      </c>
      <c r="V20" s="39">
        <v>1353.39</v>
      </c>
      <c r="W20" s="39"/>
      <c r="X20" s="39"/>
      <c r="Y20" s="39"/>
      <c r="Z20" s="43"/>
      <c r="AA20" s="43"/>
      <c r="AB20" s="43"/>
      <c r="AC20" s="43"/>
      <c r="AD20" s="43"/>
    </row>
    <row r="21" spans="1:33" x14ac:dyDescent="0.2">
      <c r="A21" s="11">
        <f t="shared" si="0"/>
        <v>18</v>
      </c>
      <c r="B21" s="15">
        <f t="shared" si="1"/>
        <v>7.1428571428571425E-2</v>
      </c>
      <c r="C21" s="50">
        <v>3.8530845108368199E-9</v>
      </c>
      <c r="D21" s="50">
        <v>2.4109806654339001E-2</v>
      </c>
      <c r="E21" s="16">
        <v>0.74144233519865377</v>
      </c>
      <c r="F21" s="16">
        <v>-0.36602102208137194</v>
      </c>
      <c r="G21" s="29">
        <v>0</v>
      </c>
      <c r="H21" s="16">
        <v>0</v>
      </c>
      <c r="I21" s="16">
        <f t="shared" si="2"/>
        <v>-0.76469616822218134</v>
      </c>
      <c r="J21" s="17">
        <f t="shared" si="3"/>
        <v>7.6075780436288487E-2</v>
      </c>
      <c r="K21" s="19">
        <f t="shared" si="4"/>
        <v>-1.25348918323242E-2</v>
      </c>
      <c r="L21" s="18">
        <f t="shared" si="5"/>
        <v>1507.5554879830117</v>
      </c>
      <c r="M21" s="31"/>
      <c r="N21" s="35"/>
      <c r="O21" s="37"/>
      <c r="P21" s="36"/>
      <c r="Q21" s="50"/>
      <c r="R21" s="36"/>
      <c r="S21" s="36"/>
      <c r="T21" s="36"/>
      <c r="U21" s="54">
        <v>41043</v>
      </c>
      <c r="V21" s="39">
        <v>1338.35</v>
      </c>
      <c r="W21" s="39"/>
      <c r="X21" s="39"/>
      <c r="Y21" s="39"/>
      <c r="Z21" s="43"/>
      <c r="AA21" s="43"/>
      <c r="AB21" s="43"/>
      <c r="AC21" s="43"/>
      <c r="AD21" s="43"/>
    </row>
    <row r="22" spans="1:33" x14ac:dyDescent="0.2">
      <c r="A22" s="11">
        <f t="shared" si="0"/>
        <v>19</v>
      </c>
      <c r="B22" s="15">
        <f t="shared" si="1"/>
        <v>7.5396825396825393E-2</v>
      </c>
      <c r="C22" s="50">
        <v>3.8530845108368199E-9</v>
      </c>
      <c r="D22" s="50">
        <v>2.4109806654339001E-2</v>
      </c>
      <c r="E22" s="16">
        <v>-1.2340486347300619</v>
      </c>
      <c r="F22" s="16">
        <v>0.47300266753099252</v>
      </c>
      <c r="G22" s="29">
        <v>0</v>
      </c>
      <c r="H22" s="16">
        <v>0</v>
      </c>
      <c r="I22" s="16">
        <f t="shared" si="2"/>
        <v>1.1705348986456925</v>
      </c>
      <c r="J22" s="17">
        <f t="shared" si="3"/>
        <v>5.8273922141403707E-2</v>
      </c>
      <c r="K22" s="19">
        <f t="shared" si="4"/>
        <v>2.019036239613417E-2</v>
      </c>
      <c r="L22" s="18">
        <f t="shared" si="5"/>
        <v>1538.3029361672466</v>
      </c>
      <c r="M22" s="31"/>
      <c r="N22" s="35"/>
      <c r="O22" s="37"/>
      <c r="P22" s="36"/>
      <c r="Q22" s="50"/>
      <c r="R22" s="36"/>
      <c r="S22" s="36"/>
      <c r="T22" s="36"/>
      <c r="U22" s="54">
        <v>41044</v>
      </c>
      <c r="V22" s="39">
        <v>1330.66</v>
      </c>
      <c r="W22" s="39"/>
      <c r="X22" s="39"/>
      <c r="Y22" s="39"/>
      <c r="Z22" s="43"/>
      <c r="AA22" s="43"/>
      <c r="AB22" s="43"/>
      <c r="AC22" s="43"/>
      <c r="AD22" s="43"/>
    </row>
    <row r="23" spans="1:33" x14ac:dyDescent="0.2">
      <c r="A23" s="11">
        <f t="shared" si="0"/>
        <v>20</v>
      </c>
      <c r="B23" s="15">
        <f t="shared" si="1"/>
        <v>7.9365079365079361E-2</v>
      </c>
      <c r="C23" s="50">
        <v>3.8530845108368199E-9</v>
      </c>
      <c r="D23" s="50">
        <v>2.4109806654339001E-2</v>
      </c>
      <c r="E23" s="16">
        <v>-0.11999045478488732</v>
      </c>
      <c r="F23" s="16">
        <v>-1.7524120939163139</v>
      </c>
      <c r="G23" s="29">
        <v>0</v>
      </c>
      <c r="H23" s="16">
        <v>0</v>
      </c>
      <c r="I23" s="16">
        <f t="shared" si="2"/>
        <v>-1.2358868832543914</v>
      </c>
      <c r="J23" s="17">
        <f t="shared" si="3"/>
        <v>5.5999311782284525E-2</v>
      </c>
      <c r="K23" s="19">
        <f t="shared" si="4"/>
        <v>-1.8906114745851826E-2</v>
      </c>
      <c r="L23" s="18">
        <f t="shared" si="5"/>
        <v>1509.4928063081106</v>
      </c>
      <c r="M23" s="84" t="s">
        <v>44</v>
      </c>
      <c r="N23" s="85"/>
      <c r="O23" s="37"/>
      <c r="P23" s="36"/>
      <c r="Q23" s="36"/>
      <c r="R23" s="36"/>
      <c r="S23" s="36"/>
      <c r="T23" s="36"/>
      <c r="U23" s="54">
        <v>41045</v>
      </c>
      <c r="V23" s="39">
        <v>1324.8</v>
      </c>
      <c r="W23" s="39"/>
      <c r="X23" s="39"/>
      <c r="Y23" s="39"/>
      <c r="Z23" s="43"/>
      <c r="AA23" s="43"/>
      <c r="AB23" s="43"/>
      <c r="AC23" s="43"/>
      <c r="AD23" s="43"/>
    </row>
    <row r="24" spans="1:33" x14ac:dyDescent="0.2">
      <c r="A24" s="11">
        <f t="shared" si="0"/>
        <v>21</v>
      </c>
      <c r="B24" s="15">
        <f t="shared" si="1"/>
        <v>8.3333333333333329E-2</v>
      </c>
      <c r="C24" s="50">
        <v>3.8530845108368199E-9</v>
      </c>
      <c r="D24" s="50">
        <v>2.4109806654339001E-2</v>
      </c>
      <c r="E24" s="16">
        <v>0.78989591664965764</v>
      </c>
      <c r="F24" s="16">
        <v>0.10841727479428241</v>
      </c>
      <c r="G24" s="29">
        <v>0</v>
      </c>
      <c r="H24" s="16">
        <v>0</v>
      </c>
      <c r="I24" s="16">
        <f t="shared" si="2"/>
        <v>-0.44065183592533042</v>
      </c>
      <c r="J24" s="17">
        <f t="shared" si="3"/>
        <v>6.5617670434004419E-2</v>
      </c>
      <c r="K24" s="19">
        <f t="shared" si="4"/>
        <v>-6.6765687415958844E-3</v>
      </c>
      <c r="L24" s="18">
        <f t="shared" si="5"/>
        <v>1499.4481430771491</v>
      </c>
      <c r="M24" s="84"/>
      <c r="N24" s="80">
        <v>1362.66</v>
      </c>
      <c r="O24" s="37"/>
      <c r="P24" s="36"/>
      <c r="Q24" s="36"/>
      <c r="R24" s="36"/>
      <c r="S24" s="36"/>
      <c r="T24" s="36">
        <v>0</v>
      </c>
      <c r="U24" s="55">
        <v>41046</v>
      </c>
      <c r="V24" s="40">
        <v>1304.8599999999999</v>
      </c>
      <c r="W24" s="58"/>
      <c r="X24" s="53">
        <v>735072</v>
      </c>
      <c r="Y24" s="53">
        <v>735103</v>
      </c>
      <c r="Z24" s="53">
        <v>735134</v>
      </c>
      <c r="AA24" s="53">
        <v>735164</v>
      </c>
      <c r="AB24" s="83">
        <v>735195</v>
      </c>
      <c r="AC24" s="83">
        <v>735225</v>
      </c>
      <c r="AD24" s="83">
        <v>735256</v>
      </c>
      <c r="AE24" s="53">
        <v>735287</v>
      </c>
      <c r="AF24" s="53">
        <v>735315</v>
      </c>
      <c r="AG24" s="53">
        <v>735346</v>
      </c>
    </row>
    <row r="25" spans="1:33" x14ac:dyDescent="0.2">
      <c r="A25" s="11">
        <f t="shared" si="0"/>
        <v>22</v>
      </c>
      <c r="B25" s="15">
        <f t="shared" si="1"/>
        <v>8.7301587301587297E-2</v>
      </c>
      <c r="C25" s="50">
        <v>3.8530845108368199E-9</v>
      </c>
      <c r="D25" s="50">
        <v>2.4109806654339001E-2</v>
      </c>
      <c r="E25" s="16">
        <v>-2.1039643653868452</v>
      </c>
      <c r="F25" s="16">
        <v>5.9419473450420347E-2</v>
      </c>
      <c r="G25" s="29">
        <v>0</v>
      </c>
      <c r="H25" s="16">
        <v>0</v>
      </c>
      <c r="I25" s="16">
        <f t="shared" si="2"/>
        <v>1.4350424944420404</v>
      </c>
      <c r="J25" s="17">
        <f t="shared" si="3"/>
        <v>3.936094104472878E-2</v>
      </c>
      <c r="K25" s="19">
        <f t="shared" si="4"/>
        <v>2.3029761981591741E-2</v>
      </c>
      <c r="L25" s="81">
        <f t="shared" si="5"/>
        <v>1534.380778129977</v>
      </c>
      <c r="M25" s="84"/>
      <c r="N25" s="80">
        <v>1413.49</v>
      </c>
      <c r="O25" s="37"/>
      <c r="P25" s="36"/>
      <c r="Q25" s="36"/>
      <c r="R25" s="36"/>
      <c r="S25" s="36"/>
      <c r="T25" s="36">
        <v>1</v>
      </c>
      <c r="U25" s="59">
        <v>41047</v>
      </c>
      <c r="V25" s="60">
        <v>1295.22</v>
      </c>
      <c r="W25" s="58"/>
      <c r="AB25" s="43"/>
      <c r="AC25" s="43"/>
      <c r="AD25" s="43"/>
    </row>
    <row r="26" spans="1:33" x14ac:dyDescent="0.2">
      <c r="A26" s="11">
        <f t="shared" si="0"/>
        <v>23</v>
      </c>
      <c r="B26" s="15">
        <f t="shared" si="1"/>
        <v>9.1269841269841265E-2</v>
      </c>
      <c r="C26" s="50">
        <v>3.8530845108368199E-9</v>
      </c>
      <c r="D26" s="50">
        <v>2.4109806654339001E-2</v>
      </c>
      <c r="E26" s="16">
        <v>-1.1392443791075246</v>
      </c>
      <c r="F26" s="16">
        <v>-1.22058688475877</v>
      </c>
      <c r="G26" s="29">
        <v>0</v>
      </c>
      <c r="H26" s="16">
        <v>0</v>
      </c>
      <c r="I26" s="16">
        <f t="shared" si="2"/>
        <v>-0.16315718344775165</v>
      </c>
      <c r="J26" s="17">
        <f t="shared" si="3"/>
        <v>2.7602474055095437E-2</v>
      </c>
      <c r="K26" s="19">
        <f t="shared" si="4"/>
        <v>-2.11384739763153E-3</v>
      </c>
      <c r="L26" s="18">
        <f t="shared" si="5"/>
        <v>1531.140756976755</v>
      </c>
      <c r="M26" s="84"/>
      <c r="N26" s="80">
        <v>1460.15</v>
      </c>
      <c r="O26" s="37"/>
      <c r="P26" s="36"/>
      <c r="Q26" s="36"/>
      <c r="R26" s="36"/>
      <c r="S26" s="36"/>
      <c r="T26" s="36">
        <f>T25+1</f>
        <v>2</v>
      </c>
      <c r="U26" s="54">
        <v>41050</v>
      </c>
      <c r="V26" s="39">
        <v>1315.99</v>
      </c>
      <c r="W26" s="58"/>
      <c r="AB26" s="43"/>
      <c r="AC26" s="43"/>
      <c r="AD26" s="43"/>
    </row>
    <row r="27" spans="1:33" x14ac:dyDescent="0.2">
      <c r="A27" s="11">
        <f t="shared" si="0"/>
        <v>24</v>
      </c>
      <c r="B27" s="15">
        <f t="shared" si="1"/>
        <v>9.5238095238095233E-2</v>
      </c>
      <c r="C27" s="50">
        <v>3.8530845108368199E-9</v>
      </c>
      <c r="D27" s="50">
        <v>2.4109806654339001E-2</v>
      </c>
      <c r="E27" s="16">
        <v>0.12475983971569807</v>
      </c>
      <c r="F27" s="16">
        <v>-1.5453183758675415</v>
      </c>
      <c r="G27" s="29">
        <v>0</v>
      </c>
      <c r="H27" s="16">
        <v>0</v>
      </c>
      <c r="I27" s="16">
        <f t="shared" si="2"/>
        <v>-1.2422113483812545</v>
      </c>
      <c r="J27" s="17">
        <f t="shared" si="3"/>
        <v>2.8077446395303567E-2</v>
      </c>
      <c r="K27" s="19">
        <f t="shared" si="4"/>
        <v>-1.305219099742976E-2</v>
      </c>
      <c r="L27" s="18">
        <f t="shared" si="5"/>
        <v>1511.2858721193095</v>
      </c>
      <c r="M27" s="84"/>
      <c r="N27" s="80">
        <v>1433.82</v>
      </c>
      <c r="O27" s="37"/>
      <c r="P27" s="36"/>
      <c r="Q27" s="36"/>
      <c r="R27" s="36"/>
      <c r="S27" s="36"/>
      <c r="T27" s="36">
        <f t="shared" ref="T27:T90" si="10">T26+1</f>
        <v>3</v>
      </c>
      <c r="U27" s="54">
        <v>41051</v>
      </c>
      <c r="V27" s="39">
        <v>1316.63</v>
      </c>
      <c r="W27" s="58"/>
      <c r="X27">
        <v>23</v>
      </c>
      <c r="AB27" s="43"/>
      <c r="AC27" s="43"/>
      <c r="AD27" s="43"/>
    </row>
    <row r="28" spans="1:33" x14ac:dyDescent="0.2">
      <c r="A28" s="11">
        <f t="shared" si="0"/>
        <v>25</v>
      </c>
      <c r="B28" s="15">
        <f t="shared" si="1"/>
        <v>9.9206349206349201E-2</v>
      </c>
      <c r="C28" s="50">
        <v>3.8530845108368199E-9</v>
      </c>
      <c r="D28" s="50">
        <v>2.4109806654339001E-2</v>
      </c>
      <c r="E28" s="16">
        <v>0.91140548220439443</v>
      </c>
      <c r="F28" s="16">
        <v>0.96812500322824679</v>
      </c>
      <c r="G28" s="29">
        <v>0</v>
      </c>
      <c r="H28" s="16">
        <v>0</v>
      </c>
      <c r="I28" s="16">
        <f t="shared" si="2"/>
        <v>0.1242566023917312</v>
      </c>
      <c r="J28" s="17">
        <f t="shared" si="3"/>
        <v>3.6128217814201655E-2</v>
      </c>
      <c r="K28" s="19">
        <f t="shared" si="4"/>
        <v>1.2592308805592974E-3</v>
      </c>
      <c r="L28" s="18">
        <f t="shared" si="5"/>
        <v>1513.1901286565276</v>
      </c>
      <c r="M28" s="84"/>
      <c r="N28" s="80">
        <v>1391.03</v>
      </c>
      <c r="O28" s="37"/>
      <c r="P28" s="36"/>
      <c r="Q28" s="36"/>
      <c r="R28" s="36"/>
      <c r="S28" s="36"/>
      <c r="T28" s="36">
        <f t="shared" si="10"/>
        <v>4</v>
      </c>
      <c r="U28" s="54">
        <v>41052</v>
      </c>
      <c r="V28" s="39">
        <v>1318.86</v>
      </c>
      <c r="W28" s="58"/>
      <c r="X28">
        <v>44</v>
      </c>
      <c r="AB28" s="43"/>
      <c r="AC28" s="43"/>
      <c r="AD28" s="43"/>
    </row>
    <row r="29" spans="1:33" x14ac:dyDescent="0.2">
      <c r="A29" s="11">
        <f t="shared" si="0"/>
        <v>26</v>
      </c>
      <c r="B29" s="15">
        <f t="shared" si="1"/>
        <v>0.10317460317460317</v>
      </c>
      <c r="C29" s="50">
        <v>3.8530845108368199E-9</v>
      </c>
      <c r="D29" s="50">
        <v>2.4109806654339001E-2</v>
      </c>
      <c r="E29" s="16">
        <v>-0.10359083819194609</v>
      </c>
      <c r="F29" s="16">
        <v>1.4067471230451196</v>
      </c>
      <c r="G29" s="29">
        <v>0</v>
      </c>
      <c r="H29" s="16">
        <v>0</v>
      </c>
      <c r="I29" s="16">
        <f t="shared" si="2"/>
        <v>1.124223670612599</v>
      </c>
      <c r="J29" s="17">
        <f t="shared" si="3"/>
        <v>3.4424017508950078E-2</v>
      </c>
      <c r="K29" s="19">
        <f t="shared" si="4"/>
        <v>1.339261779981845E-2</v>
      </c>
      <c r="L29" s="18">
        <f t="shared" si="5"/>
        <v>1533.5920181189754</v>
      </c>
      <c r="M29" s="84"/>
      <c r="N29" s="80">
        <v>1430.15</v>
      </c>
      <c r="O29" s="37"/>
      <c r="P29" s="36"/>
      <c r="Q29" s="36"/>
      <c r="R29" s="36"/>
      <c r="S29" s="36"/>
      <c r="T29" s="36">
        <f t="shared" si="10"/>
        <v>5</v>
      </c>
      <c r="U29" s="54">
        <v>41053</v>
      </c>
      <c r="V29" s="39">
        <v>1320.68</v>
      </c>
      <c r="W29" s="58"/>
      <c r="X29">
        <v>64</v>
      </c>
      <c r="AB29" s="43"/>
      <c r="AC29" s="43"/>
      <c r="AD29" s="43"/>
    </row>
    <row r="30" spans="1:33" x14ac:dyDescent="0.2">
      <c r="A30" s="11">
        <f t="shared" si="0"/>
        <v>27</v>
      </c>
      <c r="B30" s="15">
        <f t="shared" si="1"/>
        <v>0.10714285714285714</v>
      </c>
      <c r="C30" s="50">
        <v>3.8530845108368199E-9</v>
      </c>
      <c r="D30" s="50">
        <v>2.4109806654339001E-2</v>
      </c>
      <c r="E30" s="16">
        <v>-1.1631306769298346</v>
      </c>
      <c r="F30" s="16">
        <v>-0.19241153450863982</v>
      </c>
      <c r="G30" s="29">
        <v>0</v>
      </c>
      <c r="H30" s="16">
        <v>0</v>
      </c>
      <c r="I30" s="16">
        <f t="shared" si="2"/>
        <v>0.62427403407590143</v>
      </c>
      <c r="J30" s="17">
        <f t="shared" si="3"/>
        <v>2.3264444440034227E-2</v>
      </c>
      <c r="K30" s="19">
        <f t="shared" si="4"/>
        <v>7.2314007533201725E-3</v>
      </c>
      <c r="L30" s="18">
        <f t="shared" si="5"/>
        <v>1544.7222316084017</v>
      </c>
      <c r="M30" s="86"/>
      <c r="N30" s="80">
        <v>1492.56</v>
      </c>
      <c r="O30" s="37"/>
      <c r="P30" s="36"/>
      <c r="Q30" s="36"/>
      <c r="R30" s="36"/>
      <c r="S30" s="36"/>
      <c r="T30" s="36">
        <f t="shared" si="10"/>
        <v>6</v>
      </c>
      <c r="U30" s="54">
        <v>41054</v>
      </c>
      <c r="V30" s="39">
        <v>1317.82</v>
      </c>
      <c r="W30" s="58"/>
      <c r="AB30" s="43"/>
      <c r="AC30" s="43"/>
      <c r="AD30" s="43"/>
    </row>
    <row r="31" spans="1:33" x14ac:dyDescent="0.2">
      <c r="A31" s="11">
        <f t="shared" si="0"/>
        <v>28</v>
      </c>
      <c r="B31" s="15">
        <f t="shared" si="1"/>
        <v>0.1111111111111111</v>
      </c>
      <c r="C31" s="50">
        <v>3.8530845108368199E-9</v>
      </c>
      <c r="D31" s="50">
        <v>2.4109806654339001E-2</v>
      </c>
      <c r="E31" s="16">
        <v>2.1387470535558863</v>
      </c>
      <c r="F31" s="16">
        <v>1.1989428462126241</v>
      </c>
      <c r="G31" s="29">
        <v>0</v>
      </c>
      <c r="H31" s="16">
        <v>0</v>
      </c>
      <c r="I31" s="16">
        <f t="shared" si="2"/>
        <v>-0.51362859437324315</v>
      </c>
      <c r="J31" s="17">
        <f t="shared" si="3"/>
        <v>4.3174224927882698E-2</v>
      </c>
      <c r="K31" s="19">
        <f t="shared" si="4"/>
        <v>-4.9779013882087489E-3</v>
      </c>
      <c r="L31" s="18">
        <f t="shared" si="5"/>
        <v>1537.0518636738611</v>
      </c>
      <c r="M31" s="31"/>
      <c r="N31" s="80">
        <v>1515.6</v>
      </c>
      <c r="O31" s="37"/>
      <c r="P31" s="36"/>
      <c r="Q31" s="36"/>
      <c r="R31" s="36"/>
      <c r="S31" s="36"/>
      <c r="T31" s="36">
        <f t="shared" si="10"/>
        <v>7</v>
      </c>
      <c r="U31" s="54">
        <v>41058</v>
      </c>
      <c r="V31" s="39">
        <v>1332.42</v>
      </c>
      <c r="W31" s="58"/>
      <c r="AB31" s="43"/>
      <c r="AC31" s="43"/>
      <c r="AD31" s="43"/>
    </row>
    <row r="32" spans="1:33" x14ac:dyDescent="0.2">
      <c r="A32" s="11">
        <f t="shared" si="0"/>
        <v>29</v>
      </c>
      <c r="B32" s="15">
        <f t="shared" si="1"/>
        <v>0.11507936507936507</v>
      </c>
      <c r="C32" s="50">
        <v>3.8530845108368199E-9</v>
      </c>
      <c r="D32" s="50">
        <v>2.4109806654339001E-2</v>
      </c>
      <c r="E32" s="16">
        <v>-0.31094811854355114</v>
      </c>
      <c r="F32" s="16">
        <v>-0.35651396826725823</v>
      </c>
      <c r="G32" s="29">
        <v>0</v>
      </c>
      <c r="H32" s="16">
        <v>0</v>
      </c>
      <c r="I32" s="16">
        <f t="shared" si="2"/>
        <v>-6.2067217546163289E-2</v>
      </c>
      <c r="J32" s="17">
        <f t="shared" si="3"/>
        <v>3.9121240861108991E-2</v>
      </c>
      <c r="K32" s="19">
        <f t="shared" si="4"/>
        <v>-8.9472094255865352E-4</v>
      </c>
      <c r="L32" s="18">
        <f t="shared" si="5"/>
        <v>1535.6772462228455</v>
      </c>
      <c r="M32" s="31"/>
      <c r="N32" s="80">
        <v>1556.89</v>
      </c>
      <c r="O32" s="37"/>
      <c r="P32" s="36"/>
      <c r="Q32" s="36"/>
      <c r="R32" s="36"/>
      <c r="S32" s="36"/>
      <c r="T32" s="36">
        <f t="shared" si="10"/>
        <v>8</v>
      </c>
      <c r="U32" s="54">
        <v>41059</v>
      </c>
      <c r="V32" s="39">
        <v>1313.32</v>
      </c>
      <c r="W32" s="58"/>
      <c r="AB32" s="43"/>
      <c r="AC32" s="43"/>
      <c r="AD32" s="43"/>
    </row>
    <row r="33" spans="1:30" x14ac:dyDescent="0.2">
      <c r="A33" s="11">
        <f t="shared" si="0"/>
        <v>30</v>
      </c>
      <c r="B33" s="15">
        <f t="shared" si="1"/>
        <v>0.11904761904761904</v>
      </c>
      <c r="C33" s="50">
        <v>3.8530845108368199E-9</v>
      </c>
      <c r="D33" s="50">
        <v>2.4109806654339001E-2</v>
      </c>
      <c r="E33" s="16">
        <v>0.50042582310500328</v>
      </c>
      <c r="F33" s="16">
        <v>0.686748444254351</v>
      </c>
      <c r="G33" s="29">
        <v>0</v>
      </c>
      <c r="H33" s="16">
        <v>0</v>
      </c>
      <c r="I33" s="16">
        <f t="shared" si="2"/>
        <v>0.18468790465491186</v>
      </c>
      <c r="J33" s="17">
        <f t="shared" si="3"/>
        <v>4.3871779970982523E-2</v>
      </c>
      <c r="K33" s="19">
        <f t="shared" si="4"/>
        <v>2.2268765577097235E-3</v>
      </c>
      <c r="L33" s="18">
        <f t="shared" si="5"/>
        <v>1539.1008204064278</v>
      </c>
      <c r="M33" s="31"/>
      <c r="N33" s="80">
        <v>1562.5</v>
      </c>
      <c r="O33" s="37"/>
      <c r="P33" s="36"/>
      <c r="Q33" s="36"/>
      <c r="R33" s="36"/>
      <c r="S33" s="36"/>
      <c r="T33" s="36">
        <f t="shared" si="10"/>
        <v>9</v>
      </c>
      <c r="U33" s="54">
        <v>41060</v>
      </c>
      <c r="V33" s="39">
        <v>1310.33</v>
      </c>
      <c r="W33" s="58"/>
      <c r="AB33" s="43"/>
      <c r="AC33" s="43"/>
      <c r="AD33" s="43"/>
    </row>
    <row r="34" spans="1:30" x14ac:dyDescent="0.2">
      <c r="A34" s="11">
        <f t="shared" si="0"/>
        <v>31</v>
      </c>
      <c r="B34" s="15">
        <f t="shared" si="1"/>
        <v>0.12301587301587301</v>
      </c>
      <c r="C34" s="50">
        <v>3.8530845108368199E-9</v>
      </c>
      <c r="D34" s="50">
        <v>2.4109806654339001E-2</v>
      </c>
      <c r="E34" s="16">
        <v>1.0055538365062823E-2</v>
      </c>
      <c r="F34" s="16">
        <v>-0.28142639677091391</v>
      </c>
      <c r="G34" s="29">
        <v>0</v>
      </c>
      <c r="H34" s="16">
        <v>0</v>
      </c>
      <c r="I34" s="16">
        <f t="shared" si="2"/>
        <v>-0.21785588354047083</v>
      </c>
      <c r="J34" s="17">
        <f t="shared" si="3"/>
        <v>4.3288408773084971E-2</v>
      </c>
      <c r="K34" s="19">
        <f t="shared" si="4"/>
        <v>-2.9581924267950616E-3</v>
      </c>
      <c r="L34" s="18">
        <f t="shared" si="5"/>
        <v>1534.5545916404803</v>
      </c>
      <c r="M34" s="31"/>
      <c r="N34" s="35"/>
      <c r="O34" s="37"/>
      <c r="P34" s="36"/>
      <c r="Q34" s="36"/>
      <c r="R34" s="36"/>
      <c r="S34" s="36"/>
      <c r="T34" s="36">
        <f t="shared" si="10"/>
        <v>10</v>
      </c>
      <c r="U34" s="54">
        <v>41061</v>
      </c>
      <c r="V34" s="39">
        <v>1278.04</v>
      </c>
      <c r="W34" s="58"/>
      <c r="AB34" s="43"/>
      <c r="AC34" s="43"/>
      <c r="AD34" s="43"/>
    </row>
    <row r="35" spans="1:30" x14ac:dyDescent="0.2">
      <c r="A35" s="11">
        <f t="shared" si="0"/>
        <v>32</v>
      </c>
      <c r="B35" s="15">
        <f t="shared" si="1"/>
        <v>0.12698412698412698</v>
      </c>
      <c r="C35" s="50">
        <v>3.8530845108368199E-9</v>
      </c>
      <c r="D35" s="50">
        <v>2.4109806654339001E-2</v>
      </c>
      <c r="E35" s="16">
        <v>2.0007046970986608</v>
      </c>
      <c r="F35" s="16">
        <v>1.0054237366633527</v>
      </c>
      <c r="G35" s="29">
        <v>0</v>
      </c>
      <c r="H35" s="16">
        <v>0</v>
      </c>
      <c r="I35" s="16">
        <f t="shared" si="2"/>
        <v>-0.56763652612608095</v>
      </c>
      <c r="J35" s="17">
        <f t="shared" si="3"/>
        <v>6.7501075035006144E-2</v>
      </c>
      <c r="K35" s="19">
        <f t="shared" si="4"/>
        <v>-7.5222470532026698E-3</v>
      </c>
      <c r="L35" s="18">
        <f t="shared" si="5"/>
        <v>1523.05460000108</v>
      </c>
      <c r="M35" s="31"/>
      <c r="N35" s="35"/>
      <c r="O35" s="37"/>
      <c r="P35" s="36"/>
      <c r="Q35" s="36"/>
      <c r="R35" s="36"/>
      <c r="S35" s="36"/>
      <c r="T35" s="36">
        <f t="shared" si="10"/>
        <v>11</v>
      </c>
      <c r="U35" s="54">
        <v>41064</v>
      </c>
      <c r="V35" s="39">
        <v>1278.18</v>
      </c>
      <c r="W35" s="58"/>
      <c r="AB35" s="43"/>
      <c r="AC35" s="43"/>
      <c r="AD35" s="43"/>
    </row>
    <row r="36" spans="1:30" x14ac:dyDescent="0.2">
      <c r="A36" s="11">
        <f t="shared" si="0"/>
        <v>33</v>
      </c>
      <c r="B36" s="15">
        <f t="shared" si="1"/>
        <v>0.13095238095238093</v>
      </c>
      <c r="C36" s="50">
        <v>3.8530845108368199E-9</v>
      </c>
      <c r="D36" s="50">
        <v>2.4109806654339001E-2</v>
      </c>
      <c r="E36" s="16">
        <v>-6.9065284612213713E-3</v>
      </c>
      <c r="F36" s="16">
        <v>-2.0672488278616443</v>
      </c>
      <c r="G36" s="29">
        <v>0</v>
      </c>
      <c r="H36" s="16">
        <v>0</v>
      </c>
      <c r="I36" s="16">
        <f t="shared" si="2"/>
        <v>-1.5469056527816309</v>
      </c>
      <c r="J36" s="17">
        <f t="shared" si="3"/>
        <v>6.6624483273297258E-2</v>
      </c>
      <c r="K36" s="19">
        <f t="shared" si="4"/>
        <v>-2.5447968535960146E-2</v>
      </c>
      <c r="L36" s="18">
        <f t="shared" si="5"/>
        <v>1484.7849619933004</v>
      </c>
      <c r="M36" s="31"/>
      <c r="N36" s="35"/>
      <c r="O36" s="37"/>
      <c r="P36" s="36"/>
      <c r="Q36" s="36"/>
      <c r="R36" s="36"/>
      <c r="S36" s="36"/>
      <c r="T36" s="36">
        <f t="shared" si="10"/>
        <v>12</v>
      </c>
      <c r="U36" s="54">
        <v>41065</v>
      </c>
      <c r="V36" s="39">
        <v>1285.5</v>
      </c>
      <c r="W36" s="58"/>
      <c r="X36" s="40"/>
      <c r="Y36" s="40"/>
      <c r="Z36" s="43"/>
      <c r="AA36" s="43"/>
      <c r="AB36" s="43"/>
      <c r="AC36" s="43"/>
      <c r="AD36" s="43"/>
    </row>
    <row r="37" spans="1:30" x14ac:dyDescent="0.2">
      <c r="A37" s="11">
        <f t="shared" si="0"/>
        <v>34</v>
      </c>
      <c r="B37" s="15">
        <f t="shared" si="1"/>
        <v>0.13492063492063489</v>
      </c>
      <c r="C37" s="50">
        <v>3.8530845108368199E-9</v>
      </c>
      <c r="D37" s="50">
        <v>2.4109806654339001E-2</v>
      </c>
      <c r="E37" s="16">
        <v>0.1609739180455626</v>
      </c>
      <c r="F37" s="16">
        <v>-4.6103359855819044E-2</v>
      </c>
      <c r="G37" s="29">
        <v>0</v>
      </c>
      <c r="H37" s="16">
        <v>0</v>
      </c>
      <c r="I37" s="16">
        <f t="shared" si="2"/>
        <v>-0.14098349494028325</v>
      </c>
      <c r="J37" s="17">
        <f t="shared" si="3"/>
        <v>6.8069274828830614E-2</v>
      </c>
      <c r="K37" s="19">
        <f t="shared" si="4"/>
        <v>-2.4212121875081586E-3</v>
      </c>
      <c r="L37" s="18">
        <f t="shared" si="5"/>
        <v>1481.1943311411867</v>
      </c>
      <c r="M37" s="31"/>
      <c r="N37" s="35"/>
      <c r="O37" s="37"/>
      <c r="P37" s="36"/>
      <c r="Q37" s="36"/>
      <c r="R37" s="36"/>
      <c r="S37" s="36"/>
      <c r="T37" s="36">
        <f t="shared" si="10"/>
        <v>13</v>
      </c>
      <c r="U37" s="54">
        <v>41066</v>
      </c>
      <c r="V37" s="39">
        <v>1315.13</v>
      </c>
      <c r="W37" s="58"/>
      <c r="X37" s="40"/>
      <c r="Y37" s="40"/>
      <c r="Z37" s="43"/>
      <c r="AA37" s="43"/>
      <c r="AB37" s="43"/>
      <c r="AC37" s="43"/>
      <c r="AD37" s="43"/>
    </row>
    <row r="38" spans="1:30" x14ac:dyDescent="0.2">
      <c r="A38" s="11">
        <f t="shared" si="0"/>
        <v>35</v>
      </c>
      <c r="B38" s="15">
        <f t="shared" si="1"/>
        <v>0.13888888888888884</v>
      </c>
      <c r="C38" s="50">
        <v>3.8530845108368199E-9</v>
      </c>
      <c r="D38" s="50">
        <v>2.4109806654339001E-2</v>
      </c>
      <c r="E38" s="16">
        <v>1.4933459588151268</v>
      </c>
      <c r="F38" s="16">
        <v>-1.9252705236293479</v>
      </c>
      <c r="G38" s="29">
        <v>0</v>
      </c>
      <c r="H38" s="16">
        <v>0</v>
      </c>
      <c r="I38" s="16">
        <f t="shared" si="2"/>
        <v>-2.4318237118253863</v>
      </c>
      <c r="J38" s="17">
        <f t="shared" si="3"/>
        <v>8.9529627828992972E-2</v>
      </c>
      <c r="K38" s="19">
        <f t="shared" si="4"/>
        <v>-4.0099244224843733E-2</v>
      </c>
      <c r="L38" s="18">
        <f t="shared" si="5"/>
        <v>1422.97464166949</v>
      </c>
      <c r="M38" s="31"/>
      <c r="N38" s="35"/>
      <c r="O38" s="37"/>
      <c r="P38" s="36"/>
      <c r="Q38" s="36"/>
      <c r="R38" s="36"/>
      <c r="S38" s="36"/>
      <c r="T38" s="36">
        <f t="shared" si="10"/>
        <v>14</v>
      </c>
      <c r="U38" s="54">
        <v>41067</v>
      </c>
      <c r="V38" s="39">
        <v>1314.99</v>
      </c>
      <c r="W38" s="58"/>
      <c r="X38" s="39"/>
      <c r="Y38" s="39"/>
      <c r="Z38" s="43"/>
      <c r="AA38" s="43"/>
      <c r="AB38" s="43"/>
      <c r="AC38" s="43"/>
      <c r="AD38" s="43"/>
    </row>
    <row r="39" spans="1:30" x14ac:dyDescent="0.2">
      <c r="A39" s="11">
        <f t="shared" si="0"/>
        <v>36</v>
      </c>
      <c r="B39" s="15">
        <f t="shared" si="1"/>
        <v>0.14285714285714279</v>
      </c>
      <c r="C39" s="50">
        <v>3.8530845108368199E-9</v>
      </c>
      <c r="D39" s="50">
        <v>2.4109806654339001E-2</v>
      </c>
      <c r="E39" s="16">
        <v>-2.7648654603419036</v>
      </c>
      <c r="F39" s="16">
        <v>4.2504804212769712E-2</v>
      </c>
      <c r="G39" s="29">
        <v>0</v>
      </c>
      <c r="H39" s="16">
        <v>0</v>
      </c>
      <c r="I39" s="16">
        <f t="shared" si="2"/>
        <v>1.859118138949247</v>
      </c>
      <c r="J39" s="17">
        <f t="shared" si="3"/>
        <v>5.0150673119305843E-2</v>
      </c>
      <c r="K39" s="19">
        <f t="shared" si="4"/>
        <v>3.4867810826651205E-2</v>
      </c>
      <c r="L39" s="18">
        <f t="shared" si="5"/>
        <v>1473.4657949353937</v>
      </c>
      <c r="M39" s="31"/>
      <c r="N39" s="35"/>
      <c r="O39" s="37"/>
      <c r="P39" s="36"/>
      <c r="Q39" s="36"/>
      <c r="R39" s="36"/>
      <c r="S39" s="36"/>
      <c r="T39" s="36">
        <f t="shared" si="10"/>
        <v>15</v>
      </c>
      <c r="U39" s="54">
        <v>41068</v>
      </c>
      <c r="V39" s="39">
        <v>1325.66</v>
      </c>
      <c r="W39" s="58"/>
      <c r="X39" s="39"/>
      <c r="Y39" s="39"/>
      <c r="Z39" s="43"/>
      <c r="AA39" s="43"/>
      <c r="AB39" s="43"/>
      <c r="AC39" s="43"/>
      <c r="AD39" s="43"/>
    </row>
    <row r="40" spans="1:30" x14ac:dyDescent="0.2">
      <c r="A40" s="11">
        <f t="shared" si="0"/>
        <v>37</v>
      </c>
      <c r="B40" s="15">
        <f t="shared" si="1"/>
        <v>0.14682539682539675</v>
      </c>
      <c r="C40" s="50">
        <v>3.8530845108368199E-9</v>
      </c>
      <c r="D40" s="50">
        <v>2.4109806654339001E-2</v>
      </c>
      <c r="E40" s="16">
        <v>-9.5171208146442948E-2</v>
      </c>
      <c r="F40" s="16">
        <v>1.6841412001244902</v>
      </c>
      <c r="G40" s="29">
        <v>0</v>
      </c>
      <c r="H40" s="16">
        <v>0</v>
      </c>
      <c r="I40" s="16">
        <f t="shared" si="2"/>
        <v>1.3268436031654758</v>
      </c>
      <c r="J40" s="17">
        <f t="shared" si="3"/>
        <v>4.8308014223663466E-2</v>
      </c>
      <c r="K40" s="19">
        <f t="shared" si="4"/>
        <v>1.8621776318239594E-2</v>
      </c>
      <c r="L40" s="18">
        <f t="shared" si="5"/>
        <v>1501.161415879508</v>
      </c>
      <c r="M40" s="31"/>
      <c r="N40" s="35"/>
      <c r="O40" s="37"/>
      <c r="P40" s="36"/>
      <c r="Q40" s="36"/>
      <c r="R40" s="36"/>
      <c r="S40" s="36"/>
      <c r="T40" s="36">
        <f t="shared" si="10"/>
        <v>16</v>
      </c>
      <c r="U40" s="54">
        <v>41071</v>
      </c>
      <c r="V40" s="39">
        <v>1308.93</v>
      </c>
      <c r="W40" s="58"/>
      <c r="X40" s="39"/>
      <c r="Y40" s="39"/>
      <c r="Z40" s="43"/>
      <c r="AA40" s="43"/>
      <c r="AB40" s="43"/>
      <c r="AC40" s="43"/>
      <c r="AD40" s="43"/>
    </row>
    <row r="41" spans="1:30" x14ac:dyDescent="0.2">
      <c r="A41" s="11">
        <f t="shared" si="0"/>
        <v>38</v>
      </c>
      <c r="B41" s="15">
        <f t="shared" si="1"/>
        <v>0.1507936507936507</v>
      </c>
      <c r="C41" s="50">
        <v>3.8530845108368199E-9</v>
      </c>
      <c r="D41" s="50">
        <v>2.4109806654339001E-2</v>
      </c>
      <c r="E41" s="16">
        <v>-0.94083279445943413</v>
      </c>
      <c r="F41" s="16">
        <v>0.87968035850192539</v>
      </c>
      <c r="G41" s="29">
        <v>0</v>
      </c>
      <c r="H41" s="16">
        <v>0</v>
      </c>
      <c r="I41" s="16">
        <f t="shared" si="2"/>
        <v>1.2819687248448033</v>
      </c>
      <c r="J41" s="17">
        <f t="shared" si="3"/>
        <v>3.7247054041251303E-2</v>
      </c>
      <c r="K41" s="19">
        <f t="shared" si="4"/>
        <v>1.7657026841095585E-2</v>
      </c>
      <c r="L41" s="18">
        <f t="shared" si="5"/>
        <v>1527.9028556901517</v>
      </c>
      <c r="M41" s="31"/>
      <c r="N41" s="35"/>
      <c r="O41" s="37"/>
      <c r="P41" s="36"/>
      <c r="Q41" s="36"/>
      <c r="R41" s="36"/>
      <c r="S41" s="36"/>
      <c r="T41" s="36">
        <f t="shared" si="10"/>
        <v>17</v>
      </c>
      <c r="U41" s="54">
        <v>41072</v>
      </c>
      <c r="V41" s="39">
        <v>1324.18</v>
      </c>
      <c r="W41" s="58"/>
      <c r="X41" s="39"/>
      <c r="Y41" s="39"/>
      <c r="Z41" s="43"/>
      <c r="AA41" s="43"/>
      <c r="AB41" s="43"/>
      <c r="AC41" s="43"/>
      <c r="AD41" s="43"/>
    </row>
    <row r="42" spans="1:30" x14ac:dyDescent="0.2">
      <c r="A42" s="11">
        <f t="shared" si="0"/>
        <v>39</v>
      </c>
      <c r="B42" s="15">
        <f t="shared" si="1"/>
        <v>0.15476190476190466</v>
      </c>
      <c r="C42" s="50">
        <v>3.8530845108368199E-9</v>
      </c>
      <c r="D42" s="50">
        <v>2.4109806654339001E-2</v>
      </c>
      <c r="E42" s="16">
        <v>-0.47472925483161899</v>
      </c>
      <c r="F42" s="16">
        <v>0.27140287004945346</v>
      </c>
      <c r="G42" s="29">
        <v>0</v>
      </c>
      <c r="H42" s="16">
        <v>0</v>
      </c>
      <c r="I42" s="16">
        <f t="shared" si="2"/>
        <v>0.5174224247229342</v>
      </c>
      <c r="J42" s="17">
        <f t="shared" si="3"/>
        <v>3.1873033868002706E-2</v>
      </c>
      <c r="K42" s="19">
        <f t="shared" si="4"/>
        <v>6.2200311220741876E-3</v>
      </c>
      <c r="L42" s="18">
        <f t="shared" si="5"/>
        <v>1537.4360767341338</v>
      </c>
      <c r="M42" s="49"/>
      <c r="N42" s="35"/>
      <c r="O42" s="37"/>
      <c r="P42" s="36"/>
      <c r="Q42" s="36"/>
      <c r="R42" s="36"/>
      <c r="S42" s="36"/>
      <c r="T42" s="36">
        <f t="shared" si="10"/>
        <v>18</v>
      </c>
      <c r="U42" s="54">
        <v>41073</v>
      </c>
      <c r="V42" s="39">
        <v>1314.88</v>
      </c>
      <c r="W42" s="58"/>
      <c r="X42" s="39"/>
      <c r="Y42" s="39"/>
      <c r="Z42" s="43"/>
      <c r="AA42" s="43"/>
      <c r="AB42" s="43"/>
      <c r="AC42" s="43"/>
      <c r="AD42" s="43"/>
    </row>
    <row r="43" spans="1:30" x14ac:dyDescent="0.2">
      <c r="A43" s="11">
        <f t="shared" si="0"/>
        <v>40</v>
      </c>
      <c r="B43" s="15">
        <f t="shared" si="1"/>
        <v>0.15873015873015861</v>
      </c>
      <c r="C43" s="50">
        <v>3.8530845108368199E-9</v>
      </c>
      <c r="D43" s="50">
        <v>2.4109806654339001E-2</v>
      </c>
      <c r="E43" s="16">
        <v>0.7827275719894401</v>
      </c>
      <c r="F43" s="16">
        <v>0.64226990471901879</v>
      </c>
      <c r="G43" s="29">
        <v>0</v>
      </c>
      <c r="H43" s="16">
        <v>0</v>
      </c>
      <c r="I43" s="16">
        <f t="shared" si="2"/>
        <v>-3.5258158915345283E-2</v>
      </c>
      <c r="J43" s="17">
        <f t="shared" si="3"/>
        <v>3.9067881466849405E-2</v>
      </c>
      <c r="K43" s="19">
        <f t="shared" si="4"/>
        <v>-4.5641522299241083E-4</v>
      </c>
      <c r="L43" s="18">
        <f t="shared" si="5"/>
        <v>1536.7345276153619</v>
      </c>
      <c r="M43" s="31"/>
      <c r="N43" s="35"/>
      <c r="O43" s="37"/>
      <c r="P43" s="36"/>
      <c r="Q43" s="36"/>
      <c r="R43" s="36"/>
      <c r="S43" s="36"/>
      <c r="T43" s="36">
        <f t="shared" si="10"/>
        <v>19</v>
      </c>
      <c r="U43" s="54">
        <v>41074</v>
      </c>
      <c r="V43" s="39">
        <v>1329.1</v>
      </c>
      <c r="W43" s="58"/>
      <c r="X43" s="39"/>
      <c r="Y43" s="39"/>
      <c r="Z43" s="43"/>
      <c r="AA43" s="43"/>
      <c r="AB43" s="43"/>
      <c r="AC43" s="43"/>
      <c r="AD43" s="43"/>
    </row>
    <row r="44" spans="1:30" x14ac:dyDescent="0.2">
      <c r="A44" s="11">
        <f t="shared" si="0"/>
        <v>41</v>
      </c>
      <c r="B44" s="15">
        <f t="shared" si="1"/>
        <v>0.16269841269841256</v>
      </c>
      <c r="C44" s="50">
        <v>3.8530845108368199E-9</v>
      </c>
      <c r="D44" s="50">
        <v>2.4109806654339001E-2</v>
      </c>
      <c r="E44" s="16">
        <v>0.86912417553135513</v>
      </c>
      <c r="F44" s="16">
        <v>0.14833664350965034</v>
      </c>
      <c r="G44" s="29">
        <v>0</v>
      </c>
      <c r="H44" s="16">
        <v>0</v>
      </c>
      <c r="I44" s="16">
        <f t="shared" si="2"/>
        <v>-0.46305198172739787</v>
      </c>
      <c r="J44" s="17">
        <f t="shared" si="3"/>
        <v>4.8037443243885758E-2</v>
      </c>
      <c r="K44" s="19">
        <f t="shared" si="4"/>
        <v>-5.8396975412341639E-3</v>
      </c>
      <c r="L44" s="18">
        <f t="shared" si="5"/>
        <v>1527.7866147537979</v>
      </c>
      <c r="M44" s="31"/>
      <c r="N44" s="35"/>
      <c r="O44" s="37"/>
      <c r="P44" s="36"/>
      <c r="Q44" s="36"/>
      <c r="R44" s="36"/>
      <c r="S44" s="36"/>
      <c r="T44" s="36">
        <f t="shared" si="10"/>
        <v>20</v>
      </c>
      <c r="U44" s="54">
        <v>41075</v>
      </c>
      <c r="V44" s="39">
        <v>1342.84</v>
      </c>
      <c r="W44" s="58"/>
      <c r="X44" s="39"/>
      <c r="Y44" s="39"/>
      <c r="Z44" s="43"/>
      <c r="AA44" s="43"/>
      <c r="AB44" s="43"/>
      <c r="AC44" s="43"/>
      <c r="AD44" s="43"/>
    </row>
    <row r="45" spans="1:30" x14ac:dyDescent="0.2">
      <c r="A45" s="11">
        <f t="shared" si="0"/>
        <v>42</v>
      </c>
      <c r="B45" s="15">
        <f t="shared" si="1"/>
        <v>0.16666666666666652</v>
      </c>
      <c r="C45" s="50">
        <v>3.8530845108368199E-9</v>
      </c>
      <c r="D45" s="50">
        <v>2.4109806654339001E-2</v>
      </c>
      <c r="E45" s="16">
        <v>1.115236033461964</v>
      </c>
      <c r="F45" s="16">
        <v>0.51728124335351222</v>
      </c>
      <c r="G45" s="29">
        <v>0</v>
      </c>
      <c r="H45" s="16">
        <v>0</v>
      </c>
      <c r="I45" s="16">
        <f t="shared" si="2"/>
        <v>-0.34880719851712816</v>
      </c>
      <c r="J45" s="17">
        <f t="shared" si="3"/>
        <v>6.1172726180957072E-2</v>
      </c>
      <c r="K45" s="19">
        <f t="shared" si="4"/>
        <v>-4.907835963821371E-3</v>
      </c>
      <c r="L45" s="18">
        <f t="shared" si="5"/>
        <v>1520.3068583831664</v>
      </c>
      <c r="M45" s="31"/>
      <c r="N45" s="35"/>
      <c r="O45" s="37"/>
      <c r="P45" s="36"/>
      <c r="Q45" s="36"/>
      <c r="R45" s="36"/>
      <c r="S45" s="36"/>
      <c r="T45" s="36">
        <f t="shared" si="10"/>
        <v>21</v>
      </c>
      <c r="U45" s="54">
        <v>41078</v>
      </c>
      <c r="V45" s="39">
        <v>1344.78</v>
      </c>
      <c r="W45" s="58"/>
      <c r="X45" s="39"/>
      <c r="Y45" s="39"/>
      <c r="Z45" s="43"/>
      <c r="AA45" s="43"/>
      <c r="AB45" s="43"/>
      <c r="AC45" s="43"/>
      <c r="AD45" s="43"/>
    </row>
    <row r="46" spans="1:30" x14ac:dyDescent="0.2">
      <c r="A46" s="11">
        <f t="shared" si="0"/>
        <v>43</v>
      </c>
      <c r="B46" s="15">
        <f t="shared" si="1"/>
        <v>0.17063492063492047</v>
      </c>
      <c r="C46" s="50">
        <v>3.8530845108368199E-9</v>
      </c>
      <c r="D46" s="50">
        <v>2.4109806654339001E-2</v>
      </c>
      <c r="E46" s="16">
        <v>0.91406130554235754</v>
      </c>
      <c r="F46" s="16">
        <v>0.38075604168688626</v>
      </c>
      <c r="G46" s="29">
        <v>0</v>
      </c>
      <c r="H46" s="16">
        <v>0</v>
      </c>
      <c r="I46" s="16">
        <f t="shared" si="2"/>
        <v>-0.31831888181983004</v>
      </c>
      <c r="J46" s="17">
        <f t="shared" si="3"/>
        <v>7.2998733198106444E-2</v>
      </c>
      <c r="K46" s="19">
        <f t="shared" si="4"/>
        <v>-5.077560096320796E-3</v>
      </c>
      <c r="L46" s="81">
        <f t="shared" si="5"/>
        <v>1512.6069738011761</v>
      </c>
      <c r="M46" s="31"/>
      <c r="N46" s="35"/>
      <c r="O46" s="37"/>
      <c r="P46" s="36"/>
      <c r="Q46" s="36"/>
      <c r="R46" s="36"/>
      <c r="S46" s="36"/>
      <c r="T46" s="36">
        <f t="shared" si="10"/>
        <v>22</v>
      </c>
      <c r="U46" s="54">
        <v>41079</v>
      </c>
      <c r="V46" s="39">
        <v>1357.98</v>
      </c>
      <c r="W46" s="58"/>
      <c r="X46" s="39"/>
      <c r="Y46" s="39"/>
      <c r="Z46" s="43"/>
      <c r="AA46" s="43"/>
      <c r="AB46" s="43"/>
      <c r="AC46" s="43"/>
      <c r="AD46" s="43"/>
    </row>
    <row r="47" spans="1:30" x14ac:dyDescent="0.2">
      <c r="A47" s="11">
        <f t="shared" si="0"/>
        <v>44</v>
      </c>
      <c r="B47" s="15">
        <f t="shared" si="1"/>
        <v>0.17460317460317443</v>
      </c>
      <c r="C47" s="50">
        <v>3.8530845108368199E-9</v>
      </c>
      <c r="D47" s="50">
        <v>2.4109806654339001E-2</v>
      </c>
      <c r="E47" s="16">
        <v>-0.55127806704474636</v>
      </c>
      <c r="F47" s="16">
        <v>0.2347080196503851</v>
      </c>
      <c r="G47" s="29">
        <v>0</v>
      </c>
      <c r="H47" s="16">
        <v>0</v>
      </c>
      <c r="I47" s="16">
        <f t="shared" si="2"/>
        <v>0.54047180357777658</v>
      </c>
      <c r="J47" s="17">
        <f t="shared" si="3"/>
        <v>6.4507716777989818E-2</v>
      </c>
      <c r="K47" s="19">
        <f t="shared" si="4"/>
        <v>9.0572958669054137E-3</v>
      </c>
      <c r="L47" s="18">
        <f t="shared" si="5"/>
        <v>1526.3693334926602</v>
      </c>
      <c r="M47" s="31"/>
      <c r="N47" s="35"/>
      <c r="O47" s="37"/>
      <c r="P47" s="36"/>
      <c r="Q47" s="36"/>
      <c r="R47" s="36"/>
      <c r="S47" s="36"/>
      <c r="T47" s="36">
        <f t="shared" si="10"/>
        <v>23</v>
      </c>
      <c r="U47" s="54">
        <v>41080</v>
      </c>
      <c r="V47" s="39">
        <v>1355.69</v>
      </c>
      <c r="W47" s="58"/>
      <c r="X47" s="39"/>
      <c r="Y47" s="39"/>
      <c r="Z47" s="43"/>
      <c r="AA47" s="43"/>
      <c r="AB47" s="43"/>
      <c r="AC47" s="43"/>
      <c r="AD47" s="43"/>
    </row>
    <row r="48" spans="1:30" x14ac:dyDescent="0.2">
      <c r="A48" s="11">
        <f t="shared" si="0"/>
        <v>45</v>
      </c>
      <c r="B48" s="15">
        <f t="shared" si="1"/>
        <v>0.17857142857142838</v>
      </c>
      <c r="C48" s="50">
        <v>1.21535444614248E-2</v>
      </c>
      <c r="D48" s="50">
        <v>2.47477979498547E-2</v>
      </c>
      <c r="E48" s="16">
        <v>-0.47059809173485828</v>
      </c>
      <c r="F48" s="16">
        <v>-5.2657162913291339E-2</v>
      </c>
      <c r="G48" s="29">
        <v>0</v>
      </c>
      <c r="H48" s="16">
        <v>0</v>
      </c>
      <c r="I48" s="16">
        <f t="shared" si="2"/>
        <v>0.27148524823188602</v>
      </c>
      <c r="J48" s="17">
        <f t="shared" si="3"/>
        <v>5.7550834757428261E-2</v>
      </c>
      <c r="K48" s="19">
        <f t="shared" si="4"/>
        <v>4.264675261550218E-3</v>
      </c>
      <c r="L48" s="18">
        <f t="shared" si="5"/>
        <v>1532.8927031688804</v>
      </c>
      <c r="M48" s="31"/>
      <c r="N48" s="35"/>
      <c r="O48" s="37"/>
      <c r="P48" s="36"/>
      <c r="Q48" s="36"/>
      <c r="R48" s="36"/>
      <c r="S48" s="36"/>
      <c r="T48" s="36">
        <f t="shared" si="10"/>
        <v>24</v>
      </c>
      <c r="U48" s="54">
        <v>41081</v>
      </c>
      <c r="V48" s="39">
        <v>1325.51</v>
      </c>
      <c r="W48" s="58"/>
      <c r="X48" s="39"/>
      <c r="Y48" s="39"/>
      <c r="Z48" s="43"/>
      <c r="AA48" s="43"/>
      <c r="AB48" s="43"/>
      <c r="AC48" s="43"/>
      <c r="AD48" s="43"/>
    </row>
    <row r="49" spans="1:30" x14ac:dyDescent="0.2">
      <c r="A49" s="11">
        <f t="shared" si="0"/>
        <v>46</v>
      </c>
      <c r="B49" s="15">
        <f t="shared" si="1"/>
        <v>0.18253968253968234</v>
      </c>
      <c r="C49" s="50">
        <v>1.21535444614248E-2</v>
      </c>
      <c r="D49" s="50">
        <v>2.47477979498547E-2</v>
      </c>
      <c r="E49" s="16">
        <v>-0.69257064953109426</v>
      </c>
      <c r="F49" s="16">
        <v>-0.38598428238899968</v>
      </c>
      <c r="G49" s="29">
        <v>0</v>
      </c>
      <c r="H49" s="16">
        <v>0</v>
      </c>
      <c r="I49" s="16">
        <f t="shared" si="2"/>
        <v>0.16801842566526259</v>
      </c>
      <c r="J49" s="17">
        <f t="shared" si="3"/>
        <v>4.8327200320686797E-2</v>
      </c>
      <c r="K49" s="19">
        <f t="shared" si="4"/>
        <v>2.4739743163837273E-3</v>
      </c>
      <c r="L49" s="18">
        <f t="shared" si="5"/>
        <v>1536.6897352896049</v>
      </c>
      <c r="M49" s="31"/>
      <c r="N49" s="35"/>
      <c r="O49" s="37"/>
      <c r="P49" s="36"/>
      <c r="Q49" s="36"/>
      <c r="R49" s="36"/>
      <c r="S49" s="36"/>
      <c r="T49" s="36">
        <f t="shared" si="10"/>
        <v>25</v>
      </c>
      <c r="U49" s="54">
        <v>41082</v>
      </c>
      <c r="V49" s="39">
        <v>1335.02</v>
      </c>
      <c r="W49" s="58"/>
      <c r="X49" s="39"/>
      <c r="Y49" s="39"/>
      <c r="Z49" s="43"/>
      <c r="AA49" s="43"/>
      <c r="AB49" s="43"/>
      <c r="AC49" s="43"/>
      <c r="AD49" s="43"/>
    </row>
    <row r="50" spans="1:30" x14ac:dyDescent="0.2">
      <c r="A50" s="11">
        <f t="shared" si="0"/>
        <v>47</v>
      </c>
      <c r="B50" s="15">
        <f t="shared" si="1"/>
        <v>0.18650793650793629</v>
      </c>
      <c r="C50" s="50">
        <v>1.21535444614248E-2</v>
      </c>
      <c r="D50" s="50">
        <v>2.47477979498547E-2</v>
      </c>
      <c r="E50" s="16">
        <v>1.0320943065564765</v>
      </c>
      <c r="F50" s="16">
        <v>1.409622320352957</v>
      </c>
      <c r="G50" s="29">
        <v>0</v>
      </c>
      <c r="H50" s="16">
        <v>0</v>
      </c>
      <c r="I50" s="16">
        <f t="shared" si="2"/>
        <v>0.37584058556163491</v>
      </c>
      <c r="J50" s="17">
        <f t="shared" si="3"/>
        <v>6.0404963400089461E-2</v>
      </c>
      <c r="K50" s="19">
        <f t="shared" si="4"/>
        <v>5.1579019024186176E-3</v>
      </c>
      <c r="L50" s="18">
        <f t="shared" si="5"/>
        <v>1544.6363063982933</v>
      </c>
      <c r="M50" s="31"/>
      <c r="N50" s="35"/>
      <c r="O50" s="37"/>
      <c r="P50" s="36"/>
      <c r="Q50" s="36"/>
      <c r="R50" s="36"/>
      <c r="S50" s="36"/>
      <c r="T50" s="36">
        <f t="shared" si="10"/>
        <v>26</v>
      </c>
      <c r="U50" s="54">
        <v>41085</v>
      </c>
      <c r="V50" s="39">
        <v>1313.72</v>
      </c>
      <c r="W50" s="58"/>
      <c r="X50" s="39"/>
      <c r="Y50" s="39"/>
      <c r="Z50" s="43"/>
      <c r="AA50" s="43"/>
      <c r="AB50" s="43"/>
      <c r="AC50" s="43"/>
      <c r="AD50" s="43"/>
    </row>
    <row r="51" spans="1:30" x14ac:dyDescent="0.2">
      <c r="A51" s="11">
        <f t="shared" si="0"/>
        <v>48</v>
      </c>
      <c r="B51" s="15">
        <f t="shared" si="1"/>
        <v>0.19047619047619024</v>
      </c>
      <c r="C51" s="50">
        <v>1.21535444614248E-2</v>
      </c>
      <c r="D51" s="50">
        <v>2.47477979498547E-2</v>
      </c>
      <c r="E51" s="16">
        <v>0.66930280831561506</v>
      </c>
      <c r="F51" s="16">
        <v>-0.23172194770393109</v>
      </c>
      <c r="G51" s="29">
        <v>0</v>
      </c>
      <c r="H51" s="16">
        <v>0</v>
      </c>
      <c r="I51" s="16">
        <f t="shared" si="2"/>
        <v>-0.61622983826425715</v>
      </c>
      <c r="J51" s="17">
        <f t="shared" si="3"/>
        <v>6.869345131462827E-2</v>
      </c>
      <c r="K51" s="19">
        <f t="shared" si="4"/>
        <v>-9.6114717356244397E-3</v>
      </c>
      <c r="L51" s="18">
        <f t="shared" si="5"/>
        <v>1529.8611972137053</v>
      </c>
      <c r="M51" s="31"/>
      <c r="N51" s="35"/>
      <c r="O51" s="37"/>
      <c r="P51" s="36"/>
      <c r="Q51" s="36"/>
      <c r="R51" s="36"/>
      <c r="S51" s="36"/>
      <c r="T51" s="36">
        <f t="shared" si="10"/>
        <v>27</v>
      </c>
      <c r="U51" s="54">
        <v>41086</v>
      </c>
      <c r="V51" s="39">
        <v>1319.99</v>
      </c>
      <c r="W51" s="58"/>
      <c r="X51" s="39"/>
      <c r="Y51" s="39"/>
      <c r="Z51" s="43"/>
      <c r="AA51" s="43"/>
      <c r="AB51" s="43"/>
      <c r="AC51" s="43"/>
      <c r="AD51" s="43"/>
    </row>
    <row r="52" spans="1:30" x14ac:dyDescent="0.2">
      <c r="A52" s="11">
        <f t="shared" si="0"/>
        <v>49</v>
      </c>
      <c r="B52" s="15">
        <f t="shared" si="1"/>
        <v>0.1944444444444442</v>
      </c>
      <c r="C52" s="50">
        <v>1.21535444614248E-2</v>
      </c>
      <c r="D52" s="50">
        <v>2.47477979498547E-2</v>
      </c>
      <c r="E52" s="16">
        <v>-1.8619347000993947</v>
      </c>
      <c r="F52" s="16">
        <v>0.27561292943784699</v>
      </c>
      <c r="G52" s="29">
        <v>0</v>
      </c>
      <c r="H52" s="16">
        <v>0</v>
      </c>
      <c r="I52" s="16">
        <f t="shared" si="2"/>
        <v>1.4373453652993422</v>
      </c>
      <c r="J52" s="17">
        <f t="shared" si="3"/>
        <v>4.4453268227205051E-2</v>
      </c>
      <c r="K52" s="19">
        <f t="shared" si="4"/>
        <v>2.3643886614562931E-2</v>
      </c>
      <c r="L52" s="18">
        <f t="shared" si="5"/>
        <v>1566.4640738593175</v>
      </c>
      <c r="M52" s="31"/>
      <c r="N52" s="35"/>
      <c r="O52" s="37"/>
      <c r="P52" s="36"/>
      <c r="Q52" s="36"/>
      <c r="R52" s="36"/>
      <c r="S52" s="36"/>
      <c r="T52" s="36">
        <f t="shared" si="10"/>
        <v>28</v>
      </c>
      <c r="U52" s="54">
        <v>41087</v>
      </c>
      <c r="V52" s="39">
        <v>1331.85</v>
      </c>
      <c r="W52" s="58"/>
      <c r="X52" s="39"/>
      <c r="Y52" s="39"/>
      <c r="Z52" s="43"/>
      <c r="AA52" s="43"/>
      <c r="AB52" s="43"/>
      <c r="AC52" s="43"/>
      <c r="AD52" s="43"/>
    </row>
    <row r="53" spans="1:30" x14ac:dyDescent="0.2">
      <c r="A53" s="11">
        <f t="shared" si="0"/>
        <v>50</v>
      </c>
      <c r="B53" s="15">
        <f t="shared" si="1"/>
        <v>0.19841269841269815</v>
      </c>
      <c r="C53" s="50">
        <v>1.21535444614248E-2</v>
      </c>
      <c r="D53" s="50">
        <v>2.47477979498547E-2</v>
      </c>
      <c r="E53" s="16">
        <v>-1.0319660495428187</v>
      </c>
      <c r="F53" s="16">
        <v>-0.7580275799586047</v>
      </c>
      <c r="G53" s="29">
        <v>0</v>
      </c>
      <c r="H53" s="16">
        <v>0</v>
      </c>
      <c r="I53" s="16">
        <f t="shared" si="2"/>
        <v>0.11309642041591272</v>
      </c>
      <c r="J53" s="17">
        <f t="shared" si="3"/>
        <v>3.2960235747950595E-2</v>
      </c>
      <c r="K53" s="19">
        <f t="shared" si="4"/>
        <v>1.4629515676265459E-3</v>
      </c>
      <c r="L53" s="18">
        <f t="shared" si="5"/>
        <v>1568.757412044125</v>
      </c>
      <c r="M53" s="31"/>
      <c r="N53" s="35"/>
      <c r="O53" s="37"/>
      <c r="P53" s="36"/>
      <c r="Q53" s="36"/>
      <c r="R53" s="36"/>
      <c r="S53" s="36"/>
      <c r="T53" s="36">
        <f t="shared" si="10"/>
        <v>29</v>
      </c>
      <c r="U53" s="54">
        <v>41088</v>
      </c>
      <c r="V53" s="39">
        <v>1329.04</v>
      </c>
      <c r="W53" s="58"/>
      <c r="X53" s="39"/>
      <c r="Y53" s="39"/>
      <c r="Z53" s="43"/>
      <c r="AA53" s="43"/>
      <c r="AB53" s="43"/>
      <c r="AC53" s="43"/>
      <c r="AD53" s="43"/>
    </row>
    <row r="54" spans="1:30" x14ac:dyDescent="0.2">
      <c r="A54" s="11">
        <f t="shared" si="0"/>
        <v>51</v>
      </c>
      <c r="B54" s="15">
        <f t="shared" si="1"/>
        <v>0.20238095238095211</v>
      </c>
      <c r="C54" s="50">
        <v>1.21535444614248E-2</v>
      </c>
      <c r="D54" s="50">
        <v>2.47477979498547E-2</v>
      </c>
      <c r="E54" s="16">
        <v>-1.5091418338933775</v>
      </c>
      <c r="F54" s="16">
        <v>-0.14187284030998887</v>
      </c>
      <c r="G54" s="29">
        <v>0</v>
      </c>
      <c r="H54" s="16">
        <v>0</v>
      </c>
      <c r="I54" s="16">
        <f t="shared" si="2"/>
        <v>0.89087191751436834</v>
      </c>
      <c r="J54" s="17">
        <f t="shared" si="3"/>
        <v>1.9369671315875272E-2</v>
      </c>
      <c r="K54" s="19">
        <f t="shared" si="4"/>
        <v>1.0172147439396194E-2</v>
      </c>
      <c r="L54" s="18">
        <f t="shared" si="5"/>
        <v>1584.7964813247506</v>
      </c>
      <c r="M54" s="31"/>
      <c r="N54" s="35"/>
      <c r="O54" s="37"/>
      <c r="P54" s="36"/>
      <c r="Q54" s="36"/>
      <c r="R54" s="36"/>
      <c r="S54" s="36"/>
      <c r="T54" s="36">
        <f t="shared" si="10"/>
        <v>30</v>
      </c>
      <c r="U54" s="54">
        <v>41089</v>
      </c>
      <c r="V54" s="39">
        <v>1362.16</v>
      </c>
      <c r="W54" s="58"/>
      <c r="X54" s="39"/>
      <c r="Y54" s="39"/>
      <c r="Z54" s="43"/>
      <c r="AA54" s="43"/>
      <c r="AB54" s="43"/>
      <c r="AC54" s="43"/>
      <c r="AD54" s="43"/>
    </row>
    <row r="55" spans="1:30" x14ac:dyDescent="0.2">
      <c r="A55" s="11">
        <f t="shared" si="0"/>
        <v>52</v>
      </c>
      <c r="B55" s="15">
        <f t="shared" si="1"/>
        <v>0.20634920634920606</v>
      </c>
      <c r="C55" s="50">
        <v>1.21535444614248E-2</v>
      </c>
      <c r="D55" s="50">
        <v>2.47477979498547E-2</v>
      </c>
      <c r="E55" s="16">
        <v>0.32826563012633247</v>
      </c>
      <c r="F55" s="16">
        <v>0.73380529597050026</v>
      </c>
      <c r="G55" s="29">
        <v>0</v>
      </c>
      <c r="H55" s="16">
        <v>0</v>
      </c>
      <c r="I55" s="16">
        <f t="shared" si="2"/>
        <v>0.3337796753109572</v>
      </c>
      <c r="J55" s="17">
        <f t="shared" si="3"/>
        <v>2.1263956269836799E-2</v>
      </c>
      <c r="K55" s="19">
        <f t="shared" si="4"/>
        <v>2.936927880473123E-3</v>
      </c>
      <c r="L55" s="18">
        <f t="shared" si="5"/>
        <v>1589.457755858695</v>
      </c>
      <c r="M55" s="31"/>
      <c r="N55" s="35"/>
      <c r="O55" s="37"/>
      <c r="P55" s="36"/>
      <c r="Q55" s="36"/>
      <c r="R55" s="36"/>
      <c r="S55" s="36"/>
      <c r="T55" s="36">
        <f t="shared" si="10"/>
        <v>31</v>
      </c>
      <c r="U55" s="54">
        <v>41092</v>
      </c>
      <c r="V55" s="39">
        <v>1365.51</v>
      </c>
      <c r="W55" s="58"/>
      <c r="X55" s="39"/>
      <c r="Y55" s="39"/>
      <c r="Z55" s="43"/>
      <c r="AA55" s="43"/>
      <c r="AB55" s="43"/>
      <c r="AC55" s="43"/>
      <c r="AD55" s="43"/>
    </row>
    <row r="56" spans="1:30" x14ac:dyDescent="0.2">
      <c r="A56" s="11">
        <f t="shared" si="0"/>
        <v>53</v>
      </c>
      <c r="B56" s="15">
        <f t="shared" si="1"/>
        <v>0.21031746031746001</v>
      </c>
      <c r="C56" s="50">
        <v>1.21535444614248E-2</v>
      </c>
      <c r="D56" s="50">
        <v>2.47477979498547E-2</v>
      </c>
      <c r="E56" s="16">
        <v>-0.73952731642445202</v>
      </c>
      <c r="F56" s="16">
        <v>-1.3272256307181014</v>
      </c>
      <c r="G56" s="29">
        <v>0</v>
      </c>
      <c r="H56" s="16">
        <v>0</v>
      </c>
      <c r="I56" s="16">
        <f t="shared" si="2"/>
        <v>-0.50735080238558217</v>
      </c>
      <c r="J56" s="17">
        <f t="shared" si="3"/>
        <v>1.5313968122423178E-2</v>
      </c>
      <c r="K56" s="19">
        <f t="shared" si="4"/>
        <v>-4.6536176843142056E-3</v>
      </c>
      <c r="L56" s="18">
        <f t="shared" si="5"/>
        <v>1582.0782112449292</v>
      </c>
      <c r="M56" s="31"/>
      <c r="N56" s="35"/>
      <c r="O56" s="37"/>
      <c r="P56" s="36"/>
      <c r="Q56" s="36"/>
      <c r="R56" s="36"/>
      <c r="S56" s="36"/>
      <c r="T56" s="36">
        <f t="shared" si="10"/>
        <v>32</v>
      </c>
      <c r="U56" s="53">
        <v>41093</v>
      </c>
      <c r="V56">
        <v>1374.02</v>
      </c>
      <c r="W56" s="58"/>
      <c r="X56" s="39"/>
      <c r="Y56" s="39"/>
      <c r="Z56" s="43"/>
      <c r="AA56" s="43"/>
      <c r="AB56" s="43"/>
      <c r="AC56" s="43"/>
      <c r="AD56" s="43"/>
    </row>
    <row r="57" spans="1:30" x14ac:dyDescent="0.2">
      <c r="A57" s="11">
        <f t="shared" si="0"/>
        <v>54</v>
      </c>
      <c r="B57" s="15">
        <f t="shared" si="1"/>
        <v>0.21428571428571397</v>
      </c>
      <c r="C57" s="50">
        <v>1.21535444614248E-2</v>
      </c>
      <c r="D57" s="50">
        <v>2.47477979498547E-2</v>
      </c>
      <c r="E57" s="16">
        <v>0.48326184729137583</v>
      </c>
      <c r="F57" s="16">
        <v>-1.91196142039607</v>
      </c>
      <c r="G57" s="29">
        <v>0</v>
      </c>
      <c r="H57" s="16">
        <v>0</v>
      </c>
      <c r="I57" s="16">
        <f t="shared" si="2"/>
        <v>-1.7543003412212164</v>
      </c>
      <c r="J57" s="17">
        <f t="shared" si="3"/>
        <v>1.8060682989880901E-2</v>
      </c>
      <c r="K57" s="19">
        <f t="shared" si="4"/>
        <v>-1.3656974304801853E-2</v>
      </c>
      <c r="L57" s="18">
        <f t="shared" si="5"/>
        <v>1560.6186794419898</v>
      </c>
      <c r="M57" s="31"/>
      <c r="N57" s="35"/>
      <c r="O57" s="37"/>
      <c r="P57" s="36"/>
      <c r="Q57" s="36"/>
      <c r="R57" s="36"/>
      <c r="S57" s="36"/>
      <c r="T57" s="36">
        <f t="shared" si="10"/>
        <v>33</v>
      </c>
      <c r="U57" s="53">
        <v>41095</v>
      </c>
      <c r="V57">
        <v>1367.58</v>
      </c>
      <c r="W57" s="58"/>
      <c r="X57" s="39"/>
      <c r="Y57" s="39"/>
      <c r="Z57" s="43"/>
      <c r="AA57" s="43"/>
      <c r="AB57" s="43"/>
      <c r="AC57" s="43"/>
      <c r="AD57" s="43"/>
    </row>
    <row r="58" spans="1:30" x14ac:dyDescent="0.2">
      <c r="A58" s="11">
        <f t="shared" si="0"/>
        <v>55</v>
      </c>
      <c r="B58" s="15">
        <f t="shared" si="1"/>
        <v>0.21825396825396792</v>
      </c>
      <c r="C58" s="50">
        <v>1.21535444614248E-2</v>
      </c>
      <c r="D58" s="50">
        <v>2.47477979498547E-2</v>
      </c>
      <c r="E58" s="16">
        <v>-0.30613834767660952</v>
      </c>
      <c r="F58" s="16">
        <v>-3.3628668934626398E-2</v>
      </c>
      <c r="G58" s="29">
        <v>0</v>
      </c>
      <c r="H58" s="16">
        <v>0</v>
      </c>
      <c r="I58" s="16">
        <f t="shared" si="2"/>
        <v>0.17707952113808173</v>
      </c>
      <c r="J58" s="17">
        <f t="shared" si="3"/>
        <v>1.5342515324662602E-2</v>
      </c>
      <c r="K58" s="19">
        <f t="shared" si="4"/>
        <v>1.5123280086762111E-3</v>
      </c>
      <c r="L58" s="18">
        <f t="shared" si="5"/>
        <v>1562.9806323553707</v>
      </c>
      <c r="M58" s="31"/>
      <c r="N58" s="35"/>
      <c r="O58" s="37"/>
      <c r="P58" s="36"/>
      <c r="Q58" s="36"/>
      <c r="R58" s="36"/>
      <c r="S58" s="36"/>
      <c r="T58" s="36">
        <f t="shared" si="10"/>
        <v>34</v>
      </c>
      <c r="U58" s="53">
        <v>41096</v>
      </c>
      <c r="V58">
        <v>1354.68</v>
      </c>
      <c r="W58" s="58"/>
      <c r="X58" s="39"/>
      <c r="Y58" s="39"/>
      <c r="Z58" s="43"/>
      <c r="AA58" s="43"/>
      <c r="AB58" s="43"/>
      <c r="AC58" s="43"/>
      <c r="AD58" s="43"/>
    </row>
    <row r="59" spans="1:30" x14ac:dyDescent="0.2">
      <c r="A59" s="11">
        <f t="shared" si="0"/>
        <v>56</v>
      </c>
      <c r="B59" s="15">
        <f t="shared" si="1"/>
        <v>0.22222222222222188</v>
      </c>
      <c r="C59" s="50">
        <v>1.21535444614248E-2</v>
      </c>
      <c r="D59" s="50">
        <v>2.47477979498547E-2</v>
      </c>
      <c r="E59" s="16">
        <v>0.39686107761811956</v>
      </c>
      <c r="F59" s="16">
        <v>1.2737712802143216E-2</v>
      </c>
      <c r="G59" s="29">
        <v>0</v>
      </c>
      <c r="H59" s="16">
        <v>0</v>
      </c>
      <c r="I59" s="16">
        <f t="shared" si="2"/>
        <v>-0.25271416572652561</v>
      </c>
      <c r="J59" s="17">
        <f t="shared" si="3"/>
        <v>1.7470675924640074E-2</v>
      </c>
      <c r="K59" s="19">
        <f t="shared" si="4"/>
        <v>-1.9532614146857458E-3</v>
      </c>
      <c r="L59" s="18">
        <f t="shared" si="5"/>
        <v>1559.930702219398</v>
      </c>
      <c r="M59" s="31"/>
      <c r="N59" s="35"/>
      <c r="O59" s="37"/>
      <c r="P59" s="36"/>
      <c r="Q59" s="36"/>
      <c r="R59" s="36"/>
      <c r="S59" s="36"/>
      <c r="T59" s="36">
        <f t="shared" si="10"/>
        <v>35</v>
      </c>
      <c r="U59" s="53">
        <v>41099</v>
      </c>
      <c r="V59">
        <v>1352.46</v>
      </c>
      <c r="W59" s="58"/>
      <c r="X59" s="39"/>
      <c r="Y59" s="39"/>
      <c r="Z59" s="43"/>
      <c r="AA59" s="43"/>
      <c r="AB59" s="43"/>
      <c r="AC59" s="43"/>
      <c r="AD59" s="43"/>
    </row>
    <row r="60" spans="1:30" x14ac:dyDescent="0.2">
      <c r="A60" s="11">
        <f t="shared" si="0"/>
        <v>57</v>
      </c>
      <c r="B60" s="15">
        <f t="shared" si="1"/>
        <v>0.22619047619047583</v>
      </c>
      <c r="C60" s="50">
        <v>1.21535444614248E-2</v>
      </c>
      <c r="D60" s="50">
        <v>2.47477979498547E-2</v>
      </c>
      <c r="E60" s="16">
        <v>-0.12671754180404676</v>
      </c>
      <c r="F60" s="16">
        <v>-0.45528269631074192</v>
      </c>
      <c r="G60" s="29">
        <v>0</v>
      </c>
      <c r="H60" s="16">
        <v>0</v>
      </c>
      <c r="I60" s="16">
        <f t="shared" si="2"/>
        <v>-0.2579457063372641</v>
      </c>
      <c r="J60" s="17">
        <f t="shared" si="3"/>
        <v>1.5994343289441396E-2</v>
      </c>
      <c r="K60" s="19">
        <f t="shared" si="4"/>
        <v>-2.1333628861552388E-3</v>
      </c>
      <c r="L60" s="18">
        <f t="shared" si="5"/>
        <v>1556.6063512386361</v>
      </c>
      <c r="M60" s="31"/>
      <c r="N60" s="35"/>
      <c r="O60" s="37"/>
      <c r="P60" s="36"/>
      <c r="Q60" s="36"/>
      <c r="R60" s="36"/>
      <c r="S60" s="36"/>
      <c r="T60" s="36">
        <f t="shared" si="10"/>
        <v>36</v>
      </c>
      <c r="U60" s="53">
        <v>41100</v>
      </c>
      <c r="V60">
        <v>1341.47</v>
      </c>
      <c r="W60" s="58"/>
      <c r="X60" s="39"/>
      <c r="Y60" s="39"/>
      <c r="Z60" s="43"/>
      <c r="AA60" s="43"/>
      <c r="AB60" s="43"/>
      <c r="AC60" s="43"/>
      <c r="AD60" s="43"/>
    </row>
    <row r="61" spans="1:30" x14ac:dyDescent="0.2">
      <c r="A61" s="11">
        <f t="shared" si="0"/>
        <v>58</v>
      </c>
      <c r="B61" s="15">
        <f t="shared" si="1"/>
        <v>0.23015873015872979</v>
      </c>
      <c r="C61" s="50">
        <v>1.21535444614248E-2</v>
      </c>
      <c r="D61" s="50">
        <v>2.47477979498547E-2</v>
      </c>
      <c r="E61" s="16">
        <v>-0.85798999279384469</v>
      </c>
      <c r="F61" s="16">
        <v>0.57677837599066839</v>
      </c>
      <c r="G61" s="29">
        <v>0</v>
      </c>
      <c r="H61" s="16">
        <v>0</v>
      </c>
      <c r="I61" s="16">
        <f t="shared" si="2"/>
        <v>0.99989245482841604</v>
      </c>
      <c r="J61" s="17">
        <f t="shared" si="3"/>
        <v>1.0161251111271873E-2</v>
      </c>
      <c r="K61" s="19">
        <f t="shared" si="4"/>
        <v>7.9832374467994818E-3</v>
      </c>
      <c r="L61" s="18">
        <f t="shared" si="5"/>
        <v>1569.0828444931788</v>
      </c>
      <c r="M61" s="31"/>
      <c r="N61" s="35"/>
      <c r="O61" s="37"/>
      <c r="P61" s="36"/>
      <c r="Q61" s="36"/>
      <c r="R61" s="36"/>
      <c r="S61" s="36"/>
      <c r="T61" s="36">
        <f t="shared" si="10"/>
        <v>37</v>
      </c>
      <c r="U61" s="53">
        <v>41101</v>
      </c>
      <c r="V61">
        <v>1341.45</v>
      </c>
      <c r="W61" s="58"/>
      <c r="X61" s="39"/>
      <c r="Y61" s="39"/>
      <c r="Z61" s="43"/>
      <c r="AA61" s="43"/>
      <c r="AB61" s="43"/>
      <c r="AC61" s="43"/>
      <c r="AD61" s="43"/>
    </row>
    <row r="62" spans="1:30" x14ac:dyDescent="0.2">
      <c r="A62" s="11">
        <f t="shared" si="0"/>
        <v>59</v>
      </c>
      <c r="B62" s="15">
        <f t="shared" si="1"/>
        <v>0.23412698412698374</v>
      </c>
      <c r="C62" s="50">
        <v>1.21535444614248E-2</v>
      </c>
      <c r="D62" s="50">
        <v>2.47477979498547E-2</v>
      </c>
      <c r="E62" s="16">
        <v>1.6595494298818834</v>
      </c>
      <c r="F62" s="16">
        <v>0.17432469395795253</v>
      </c>
      <c r="G62" s="29">
        <v>0</v>
      </c>
      <c r="H62" s="16">
        <v>0</v>
      </c>
      <c r="I62" s="16">
        <f t="shared" si="2"/>
        <v>-0.96591676344375399</v>
      </c>
      <c r="J62" s="17">
        <f t="shared" si="3"/>
        <v>2.0404424717090964E-2</v>
      </c>
      <c r="K62" s="19">
        <f t="shared" si="4"/>
        <v>-6.1046799654333427E-3</v>
      </c>
      <c r="L62" s="18">
        <f t="shared" si="5"/>
        <v>1559.5332740809449</v>
      </c>
      <c r="M62" s="31"/>
      <c r="N62" s="35"/>
      <c r="O62" s="37"/>
      <c r="P62" s="36"/>
      <c r="Q62" s="36"/>
      <c r="R62" s="36"/>
      <c r="S62" s="36"/>
      <c r="T62" s="36">
        <f t="shared" si="10"/>
        <v>38</v>
      </c>
      <c r="U62" s="53">
        <v>41102</v>
      </c>
      <c r="V62">
        <v>1334.76</v>
      </c>
      <c r="W62" s="58"/>
      <c r="X62" s="39"/>
      <c r="Y62" s="39"/>
      <c r="Z62" s="43"/>
      <c r="AA62" s="43"/>
      <c r="AB62" s="43"/>
      <c r="AC62" s="43"/>
      <c r="AD62" s="43"/>
    </row>
    <row r="63" spans="1:30" x14ac:dyDescent="0.2">
      <c r="A63" s="11">
        <f t="shared" si="0"/>
        <v>60</v>
      </c>
      <c r="B63" s="15">
        <f t="shared" si="1"/>
        <v>0.23809523809523769</v>
      </c>
      <c r="C63" s="50">
        <v>1.21535444614248E-2</v>
      </c>
      <c r="D63" s="50">
        <v>2.47477979498547E-2</v>
      </c>
      <c r="E63" s="16">
        <v>0.83402468687487497</v>
      </c>
      <c r="F63" s="16">
        <v>0.52513056348028941</v>
      </c>
      <c r="G63" s="29">
        <v>0</v>
      </c>
      <c r="H63" s="16">
        <v>0</v>
      </c>
      <c r="I63" s="16">
        <f t="shared" si="2"/>
        <v>-0.15707197413013424</v>
      </c>
      <c r="J63" s="17">
        <f t="shared" si="3"/>
        <v>2.6606132726491375E-2</v>
      </c>
      <c r="K63" s="19">
        <f t="shared" si="4"/>
        <v>-1.4048234025445326E-3</v>
      </c>
      <c r="L63" s="18">
        <f t="shared" si="5"/>
        <v>1557.343943412008</v>
      </c>
      <c r="M63" s="31"/>
      <c r="N63" s="35"/>
      <c r="O63" s="37"/>
      <c r="P63" s="36"/>
      <c r="Q63" s="36"/>
      <c r="R63" s="36"/>
      <c r="S63" s="36"/>
      <c r="T63" s="36">
        <f t="shared" si="10"/>
        <v>39</v>
      </c>
      <c r="U63" s="53">
        <v>41103</v>
      </c>
      <c r="V63">
        <v>1356.78</v>
      </c>
      <c r="W63" s="58"/>
      <c r="X63" s="39"/>
      <c r="Y63" s="39"/>
      <c r="Z63" s="43"/>
      <c r="AA63" s="43"/>
      <c r="AB63" s="43"/>
      <c r="AC63" s="43"/>
      <c r="AD63" s="43"/>
    </row>
    <row r="64" spans="1:30" x14ac:dyDescent="0.2">
      <c r="A64" s="11">
        <f t="shared" si="0"/>
        <v>61</v>
      </c>
      <c r="B64" s="15">
        <f t="shared" si="1"/>
        <v>0.24206349206349165</v>
      </c>
      <c r="C64" s="50">
        <v>1.21535444614248E-2</v>
      </c>
      <c r="D64" s="50">
        <v>2.47477979498547E-2</v>
      </c>
      <c r="E64" s="16">
        <v>-6.0627209746726175E-2</v>
      </c>
      <c r="F64" s="16">
        <v>1.6430749506222306</v>
      </c>
      <c r="G64" s="29">
        <v>0</v>
      </c>
      <c r="H64" s="16">
        <v>0</v>
      </c>
      <c r="I64" s="16">
        <f t="shared" si="2"/>
        <v>1.2731942754315981</v>
      </c>
      <c r="J64" s="17">
        <f t="shared" si="3"/>
        <v>2.5451763715376132E-2</v>
      </c>
      <c r="K64" s="19">
        <f t="shared" si="4"/>
        <v>1.3078592577422809E-2</v>
      </c>
      <c r="L64" s="18">
        <f t="shared" si="5"/>
        <v>1577.8455844235259</v>
      </c>
      <c r="M64" s="31"/>
      <c r="N64" s="35"/>
      <c r="O64" s="37"/>
      <c r="P64" s="36"/>
      <c r="Q64" s="36"/>
      <c r="R64" s="36"/>
      <c r="S64" s="36"/>
      <c r="T64" s="36">
        <f t="shared" si="10"/>
        <v>40</v>
      </c>
      <c r="U64" s="53">
        <v>41106</v>
      </c>
      <c r="V64">
        <v>1353.64</v>
      </c>
      <c r="W64" s="58"/>
      <c r="X64" s="39"/>
      <c r="Y64" s="39"/>
      <c r="Z64" s="43"/>
      <c r="AA64" s="43"/>
      <c r="AB64" s="43"/>
      <c r="AC64" s="43"/>
      <c r="AD64" s="43"/>
    </row>
    <row r="65" spans="1:30" x14ac:dyDescent="0.2">
      <c r="A65" s="11">
        <f t="shared" si="0"/>
        <v>62</v>
      </c>
      <c r="B65" s="15">
        <f t="shared" si="1"/>
        <v>0.2460317460317456</v>
      </c>
      <c r="C65" s="50">
        <v>1.21535444614248E-2</v>
      </c>
      <c r="D65" s="50">
        <v>2.47477979498547E-2</v>
      </c>
      <c r="E65" s="16">
        <v>-0.587565507165693</v>
      </c>
      <c r="F65" s="16">
        <v>3.2410849548617088E-3</v>
      </c>
      <c r="G65" s="29">
        <v>0</v>
      </c>
      <c r="H65" s="16">
        <v>0</v>
      </c>
      <c r="I65" s="16">
        <f t="shared" si="2"/>
        <v>0.39073720166202391</v>
      </c>
      <c r="J65" s="17">
        <f t="shared" si="3"/>
        <v>2.0092788651660701E-2</v>
      </c>
      <c r="K65" s="19">
        <f t="shared" si="4"/>
        <v>3.925389512568463E-3</v>
      </c>
      <c r="L65" s="18">
        <f t="shared" si="5"/>
        <v>1584.051415115795</v>
      </c>
      <c r="M65" s="31"/>
      <c r="N65" s="35"/>
      <c r="O65" s="37"/>
      <c r="P65" s="36"/>
      <c r="Q65" s="36"/>
      <c r="R65" s="36"/>
      <c r="S65" s="36"/>
      <c r="T65" s="36">
        <f t="shared" si="10"/>
        <v>41</v>
      </c>
      <c r="U65" s="53">
        <v>41107</v>
      </c>
      <c r="V65">
        <v>1363.67</v>
      </c>
      <c r="W65" s="58"/>
      <c r="X65" s="39"/>
      <c r="Y65" s="39"/>
      <c r="Z65" s="43"/>
      <c r="AA65" s="43"/>
      <c r="AB65" s="43"/>
      <c r="AC65" s="43"/>
      <c r="AD65" s="43"/>
    </row>
    <row r="66" spans="1:30" x14ac:dyDescent="0.2">
      <c r="A66" s="11">
        <f t="shared" si="0"/>
        <v>63</v>
      </c>
      <c r="B66" s="15">
        <f t="shared" si="1"/>
        <v>0.24999999999999956</v>
      </c>
      <c r="C66" s="50">
        <v>1.21535444614248E-2</v>
      </c>
      <c r="D66" s="50">
        <v>2.47477979498547E-2</v>
      </c>
      <c r="E66" s="16">
        <v>-0.87410381536819792</v>
      </c>
      <c r="F66" s="16">
        <v>-9.8050384107611951E-2</v>
      </c>
      <c r="G66" s="29">
        <v>0</v>
      </c>
      <c r="H66" s="16">
        <v>0</v>
      </c>
      <c r="I66" s="16">
        <f t="shared" si="2"/>
        <v>0.50408271037264618</v>
      </c>
      <c r="J66" s="17">
        <f t="shared" si="3"/>
        <v>1.3447518804411899E-2</v>
      </c>
      <c r="K66" s="19">
        <f t="shared" si="4"/>
        <v>4.510311211709782E-3</v>
      </c>
      <c r="L66" s="81">
        <f t="shared" si="5"/>
        <v>1591.2121163296813</v>
      </c>
      <c r="M66" s="31"/>
      <c r="N66" s="35"/>
      <c r="O66" s="37"/>
      <c r="P66" s="36"/>
      <c r="Q66" s="36"/>
      <c r="R66" s="36"/>
      <c r="S66" s="36"/>
      <c r="T66" s="36">
        <f t="shared" si="10"/>
        <v>42</v>
      </c>
      <c r="U66" s="53">
        <v>41108</v>
      </c>
      <c r="V66">
        <v>1372.78</v>
      </c>
      <c r="W66" s="58"/>
      <c r="X66" s="39"/>
      <c r="Y66" s="39"/>
      <c r="Z66" s="43"/>
      <c r="AA66" s="43"/>
      <c r="AB66" s="43"/>
      <c r="AC66" s="43"/>
      <c r="AD66" s="43"/>
    </row>
    <row r="67" spans="1:30" x14ac:dyDescent="0.2">
      <c r="A67" s="11">
        <f t="shared" si="0"/>
        <v>64</v>
      </c>
      <c r="B67" s="15">
        <f t="shared" si="1"/>
        <v>0.25396825396825351</v>
      </c>
      <c r="C67" s="50">
        <v>3.6653573699909898E-3</v>
      </c>
      <c r="D67" s="50">
        <v>2.44412477530618E-2</v>
      </c>
      <c r="E67" s="16">
        <v>-0.5765992936585248</v>
      </c>
      <c r="F67" s="16">
        <v>0.48458458133136056</v>
      </c>
      <c r="G67" s="29">
        <v>0</v>
      </c>
      <c r="H67" s="16">
        <v>0</v>
      </c>
      <c r="I67" s="16">
        <f t="shared" si="2"/>
        <v>0.7447381845333696</v>
      </c>
      <c r="J67" s="17">
        <f t="shared" si="3"/>
        <v>9.5493324402828785E-3</v>
      </c>
      <c r="K67" s="19">
        <f t="shared" si="4"/>
        <v>5.4302184182423059E-3</v>
      </c>
      <c r="L67" s="18">
        <f t="shared" si="5"/>
        <v>1599.8762484458782</v>
      </c>
      <c r="M67" s="31"/>
      <c r="N67" s="35"/>
      <c r="O67" s="37"/>
      <c r="P67" s="36"/>
      <c r="Q67" s="36"/>
      <c r="R67" s="36"/>
      <c r="S67" s="36"/>
      <c r="T67" s="36">
        <f t="shared" si="10"/>
        <v>43</v>
      </c>
      <c r="U67" s="53">
        <v>41109</v>
      </c>
      <c r="V67">
        <v>1376.51</v>
      </c>
      <c r="W67" s="58"/>
      <c r="X67" s="39"/>
      <c r="Y67" s="39"/>
      <c r="Z67" s="43"/>
      <c r="AA67" s="43"/>
      <c r="AB67" s="43"/>
      <c r="AC67" s="43"/>
      <c r="AD67" s="43"/>
    </row>
    <row r="68" spans="1:30" x14ac:dyDescent="0.2">
      <c r="A68" s="11">
        <f t="shared" ref="A68:A131" si="11">A67+1</f>
        <v>65</v>
      </c>
      <c r="B68" s="15">
        <f t="shared" ref="B68:B131" si="12">B67+dt</f>
        <v>0.25793650793650746</v>
      </c>
      <c r="C68" s="50">
        <v>3.6653573699909898E-3</v>
      </c>
      <c r="D68" s="50">
        <v>2.44412477530618E-2</v>
      </c>
      <c r="E68" s="16">
        <v>-0.40241887138362603</v>
      </c>
      <c r="F68" s="16">
        <v>1.0931604825338435</v>
      </c>
      <c r="G68" s="29">
        <v>0</v>
      </c>
      <c r="H68" s="16">
        <v>0</v>
      </c>
      <c r="I68" s="16">
        <f t="shared" ref="I68:I131" si="13">Rho*E68+F68*(1-Rho^2)^0.5</f>
        <v>1.0863635988721594</v>
      </c>
      <c r="J68" s="17">
        <f t="shared" ref="J68:J131" si="14">MAX((SQRT(J67)+Eta*SQRT(dt)*E68/2)^2+Kappa*(Theta-J67)*dt-Eta*Eta*dt/4,0)</f>
        <v>7.0066690001375975E-3</v>
      </c>
      <c r="K68" s="19">
        <f t="shared" ref="K68:K131" si="15">(C68-D68-Lambda*(EXP(Alpha+Delta^2/2)-1)-MAX((SQRT($J67)-0),0)^2/2)*dt+SQRT(MAX((SQRT($J67)-0),0)^2*dt)*I68</f>
        <v>6.6850968456228293E-3</v>
      </c>
      <c r="L68" s="18">
        <f t="shared" ref="L68:L131" si="16">EXP(K68)*EXP(H68)*L67</f>
        <v>1610.6074055549677</v>
      </c>
      <c r="M68" s="31"/>
      <c r="N68" s="35"/>
      <c r="O68" s="37"/>
      <c r="P68" s="36"/>
      <c r="Q68" s="36"/>
      <c r="R68" s="36"/>
      <c r="S68" s="36"/>
      <c r="T68" s="36">
        <f t="shared" si="10"/>
        <v>44</v>
      </c>
      <c r="U68" s="53">
        <v>41110</v>
      </c>
      <c r="V68">
        <v>1362.66</v>
      </c>
      <c r="W68" s="58"/>
      <c r="X68" s="39"/>
      <c r="Y68" s="39"/>
      <c r="Z68" s="43"/>
      <c r="AA68" s="43"/>
      <c r="AB68" s="43"/>
      <c r="AC68" s="43"/>
      <c r="AD68" s="43"/>
    </row>
    <row r="69" spans="1:30" x14ac:dyDescent="0.2">
      <c r="A69" s="11">
        <f t="shared" si="11"/>
        <v>66</v>
      </c>
      <c r="B69" s="15">
        <f t="shared" si="12"/>
        <v>0.26190476190476142</v>
      </c>
      <c r="C69" s="50">
        <v>3.6653573699909898E-3</v>
      </c>
      <c r="D69" s="50">
        <v>2.44412477530618E-2</v>
      </c>
      <c r="E69" s="16">
        <v>0.77927219951995208</v>
      </c>
      <c r="F69" s="16">
        <v>0.97405184263710476</v>
      </c>
      <c r="G69" s="29">
        <v>0</v>
      </c>
      <c r="H69" s="16">
        <v>0</v>
      </c>
      <c r="I69" s="16">
        <f t="shared" si="13"/>
        <v>0.21602769607696659</v>
      </c>
      <c r="J69" s="17">
        <f t="shared" si="14"/>
        <v>1.0334687937183668E-2</v>
      </c>
      <c r="K69" s="19">
        <f t="shared" si="15"/>
        <v>1.1417862237263995E-3</v>
      </c>
      <c r="L69" s="18">
        <f t="shared" si="16"/>
        <v>1612.4474251570794</v>
      </c>
      <c r="M69" s="31"/>
      <c r="N69" s="35"/>
      <c r="O69" s="37"/>
      <c r="P69" s="36"/>
      <c r="Q69" s="36"/>
      <c r="R69" s="36"/>
      <c r="S69" s="36"/>
      <c r="T69" s="36">
        <f t="shared" si="10"/>
        <v>45</v>
      </c>
      <c r="U69" s="53">
        <v>41113</v>
      </c>
      <c r="V69">
        <v>1350.52</v>
      </c>
      <c r="W69" s="58"/>
      <c r="X69" s="39"/>
      <c r="Y69" s="39"/>
      <c r="Z69" s="43"/>
      <c r="AA69" s="43"/>
      <c r="AB69" s="43"/>
      <c r="AC69" s="43"/>
      <c r="AD69" s="43"/>
    </row>
    <row r="70" spans="1:30" x14ac:dyDescent="0.2">
      <c r="A70" s="11">
        <f t="shared" si="11"/>
        <v>67</v>
      </c>
      <c r="B70" s="15">
        <f t="shared" si="12"/>
        <v>0.26587301587301537</v>
      </c>
      <c r="C70" s="50">
        <v>3.6653573699909898E-3</v>
      </c>
      <c r="D70" s="50">
        <v>2.44412477530618E-2</v>
      </c>
      <c r="E70" s="16">
        <v>0.70150543773907348</v>
      </c>
      <c r="F70" s="16">
        <v>-0.9101498328766906</v>
      </c>
      <c r="G70" s="29">
        <v>0</v>
      </c>
      <c r="H70" s="16">
        <v>0</v>
      </c>
      <c r="I70" s="16">
        <f t="shared" si="13"/>
        <v>-1.1466716481206487</v>
      </c>
      <c r="J70" s="17">
        <f t="shared" si="14"/>
        <v>1.3892401464830303E-2</v>
      </c>
      <c r="K70" s="19">
        <f t="shared" si="15"/>
        <v>-7.3471611836554065E-3</v>
      </c>
      <c r="L70" s="18">
        <f t="shared" si="16"/>
        <v>1600.6439282183308</v>
      </c>
      <c r="M70" s="31"/>
      <c r="N70" s="35"/>
      <c r="O70" s="37"/>
      <c r="P70" s="36"/>
      <c r="Q70" s="36"/>
      <c r="R70" s="36"/>
      <c r="S70" s="36"/>
      <c r="T70" s="36">
        <f t="shared" si="10"/>
        <v>46</v>
      </c>
      <c r="U70" s="53">
        <v>41114</v>
      </c>
      <c r="V70">
        <v>1338.31</v>
      </c>
      <c r="W70" s="58"/>
      <c r="X70" s="39"/>
      <c r="Y70" s="39"/>
      <c r="Z70" s="43"/>
      <c r="AA70" s="43"/>
      <c r="AB70" s="43"/>
      <c r="AC70" s="43"/>
      <c r="AD70" s="43"/>
    </row>
    <row r="71" spans="1:30" x14ac:dyDescent="0.2">
      <c r="A71" s="11">
        <f t="shared" si="11"/>
        <v>68</v>
      </c>
      <c r="B71" s="15">
        <f t="shared" si="12"/>
        <v>0.26984126984126933</v>
      </c>
      <c r="C71" s="50">
        <v>3.6653573699909898E-3</v>
      </c>
      <c r="D71" s="50">
        <v>2.44412477530618E-2</v>
      </c>
      <c r="E71" s="16">
        <v>0.20096535980080066</v>
      </c>
      <c r="F71" s="16">
        <v>-1.701817514166744</v>
      </c>
      <c r="G71" s="29">
        <v>0</v>
      </c>
      <c r="H71" s="16">
        <v>0</v>
      </c>
      <c r="I71" s="16">
        <f t="shared" si="13"/>
        <v>-1.4100259187600175</v>
      </c>
      <c r="J71" s="17">
        <f t="shared" si="14"/>
        <v>1.4591899259611046E-2</v>
      </c>
      <c r="K71" s="19">
        <f t="shared" si="15"/>
        <v>-1.0480232115339006E-2</v>
      </c>
      <c r="L71" s="18">
        <f t="shared" si="16"/>
        <v>1583.9564056113629</v>
      </c>
      <c r="M71" s="31"/>
      <c r="N71" s="35"/>
      <c r="O71" s="37"/>
      <c r="P71" s="36"/>
      <c r="Q71" s="36"/>
      <c r="R71" s="36"/>
      <c r="S71" s="36"/>
      <c r="T71" s="36">
        <f t="shared" si="10"/>
        <v>47</v>
      </c>
      <c r="U71" s="53">
        <v>41115</v>
      </c>
      <c r="V71">
        <v>1337.89</v>
      </c>
      <c r="W71" s="58"/>
      <c r="X71" s="39"/>
      <c r="Y71" s="39"/>
      <c r="Z71" s="43"/>
      <c r="AA71" s="43"/>
      <c r="AB71" s="43"/>
      <c r="AC71" s="43"/>
      <c r="AD71" s="43"/>
    </row>
    <row r="72" spans="1:30" x14ac:dyDescent="0.2">
      <c r="A72" s="11">
        <f t="shared" si="11"/>
        <v>69</v>
      </c>
      <c r="B72" s="15">
        <f t="shared" si="12"/>
        <v>0.27380952380952328</v>
      </c>
      <c r="C72" s="50">
        <v>3.6653573699909898E-3</v>
      </c>
      <c r="D72" s="50">
        <v>2.44412477530618E-2</v>
      </c>
      <c r="E72" s="16">
        <v>-0.41705865729105801</v>
      </c>
      <c r="F72" s="16">
        <v>-0.81320484644733693</v>
      </c>
      <c r="G72" s="29">
        <v>0</v>
      </c>
      <c r="H72" s="16">
        <v>0</v>
      </c>
      <c r="I72" s="16">
        <f t="shared" si="13"/>
        <v>-0.33468832661577036</v>
      </c>
      <c r="J72" s="17">
        <f t="shared" si="14"/>
        <v>1.1452687918200949E-2</v>
      </c>
      <c r="K72" s="19">
        <f t="shared" si="15"/>
        <v>-2.5591800041028915E-3</v>
      </c>
      <c r="L72" s="18">
        <f t="shared" si="16"/>
        <v>1579.9079586126304</v>
      </c>
      <c r="M72" s="31"/>
      <c r="N72" s="35"/>
      <c r="O72" s="37"/>
      <c r="P72" s="36"/>
      <c r="Q72" s="36"/>
      <c r="R72" s="36"/>
      <c r="S72" s="36"/>
      <c r="T72" s="36">
        <f t="shared" si="10"/>
        <v>48</v>
      </c>
      <c r="U72" s="53">
        <v>41116</v>
      </c>
      <c r="V72">
        <v>1360.02</v>
      </c>
      <c r="W72" s="58"/>
      <c r="X72" s="39"/>
      <c r="Y72" s="39"/>
      <c r="Z72" s="43"/>
      <c r="AA72" s="43"/>
      <c r="AB72" s="43"/>
      <c r="AC72" s="43"/>
      <c r="AD72" s="43"/>
    </row>
    <row r="73" spans="1:30" x14ac:dyDescent="0.2">
      <c r="A73" s="11">
        <f t="shared" si="11"/>
        <v>70</v>
      </c>
      <c r="B73" s="15">
        <f t="shared" si="12"/>
        <v>0.27777777777777724</v>
      </c>
      <c r="C73" s="50">
        <v>3.6653573699909898E-3</v>
      </c>
      <c r="D73" s="50">
        <v>2.44412477530618E-2</v>
      </c>
      <c r="E73" s="16">
        <v>0.85650306232753637</v>
      </c>
      <c r="F73" s="16">
        <v>-0.18641044397118681</v>
      </c>
      <c r="G73" s="29">
        <v>0</v>
      </c>
      <c r="H73" s="16">
        <v>0</v>
      </c>
      <c r="I73" s="16">
        <f t="shared" si="13"/>
        <v>-0.70593870438430051</v>
      </c>
      <c r="J73" s="17">
        <f t="shared" si="14"/>
        <v>1.6255911501137806E-2</v>
      </c>
      <c r="K73" s="19">
        <f t="shared" si="15"/>
        <v>-4.7651952552902081E-3</v>
      </c>
      <c r="L73" s="18">
        <f t="shared" si="16"/>
        <v>1572.3972977991866</v>
      </c>
      <c r="M73" s="31"/>
      <c r="N73" s="35"/>
      <c r="O73" s="37"/>
      <c r="P73" s="36"/>
      <c r="Q73" s="36"/>
      <c r="R73" s="36"/>
      <c r="S73" s="36"/>
      <c r="T73" s="36">
        <f t="shared" si="10"/>
        <v>49</v>
      </c>
      <c r="U73" s="53">
        <v>41117</v>
      </c>
      <c r="V73">
        <v>1385.97</v>
      </c>
      <c r="W73" s="58"/>
      <c r="X73" s="39"/>
      <c r="Y73" s="39"/>
      <c r="Z73" s="43"/>
      <c r="AA73" s="43"/>
      <c r="AB73" s="43"/>
      <c r="AC73" s="43"/>
      <c r="AD73" s="43"/>
    </row>
    <row r="74" spans="1:30" x14ac:dyDescent="0.2">
      <c r="A74" s="11">
        <f t="shared" si="11"/>
        <v>71</v>
      </c>
      <c r="B74" s="15">
        <f t="shared" si="12"/>
        <v>0.28174603174603119</v>
      </c>
      <c r="C74" s="50">
        <v>3.6653573699909898E-3</v>
      </c>
      <c r="D74" s="50">
        <v>2.44412477530618E-2</v>
      </c>
      <c r="E74" s="16">
        <v>0.16132083349157075</v>
      </c>
      <c r="F74" s="16">
        <v>-4.5320553022591268</v>
      </c>
      <c r="G74" s="29">
        <v>0</v>
      </c>
      <c r="H74" s="16">
        <v>0</v>
      </c>
      <c r="I74" s="16">
        <f t="shared" si="13"/>
        <v>-3.507919105995299</v>
      </c>
      <c r="J74" s="17">
        <f t="shared" si="14"/>
        <v>1.6771184416789361E-2</v>
      </c>
      <c r="K74" s="19">
        <f t="shared" si="15"/>
        <v>-2.8190092193882577E-2</v>
      </c>
      <c r="L74" s="18">
        <f t="shared" si="16"/>
        <v>1528.6902206704378</v>
      </c>
      <c r="M74" s="31"/>
      <c r="N74" s="35"/>
      <c r="O74" s="37"/>
      <c r="P74" s="36"/>
      <c r="Q74" s="36"/>
      <c r="R74" s="36"/>
      <c r="S74" s="36"/>
      <c r="T74" s="36">
        <f t="shared" si="10"/>
        <v>50</v>
      </c>
      <c r="U74" s="53">
        <v>41120</v>
      </c>
      <c r="V74">
        <v>1385.3</v>
      </c>
      <c r="W74" s="58"/>
      <c r="X74" s="39"/>
      <c r="Y74" s="39"/>
      <c r="Z74" s="43"/>
      <c r="AA74" s="43"/>
      <c r="AB74" s="43"/>
      <c r="AC74" s="43"/>
      <c r="AD74" s="43"/>
    </row>
    <row r="75" spans="1:30" x14ac:dyDescent="0.2">
      <c r="A75" s="11">
        <f t="shared" si="11"/>
        <v>72</v>
      </c>
      <c r="B75" s="15">
        <f t="shared" si="12"/>
        <v>0.28571428571428514</v>
      </c>
      <c r="C75" s="50">
        <v>3.6653573699909898E-3</v>
      </c>
      <c r="D75" s="50">
        <v>2.44412477530618E-2</v>
      </c>
      <c r="E75" s="16">
        <v>-0.21952909640656923</v>
      </c>
      <c r="F75" s="16">
        <v>0.2726165032416934</v>
      </c>
      <c r="G75" s="29">
        <v>0</v>
      </c>
      <c r="H75" s="16">
        <v>0</v>
      </c>
      <c r="I75" s="16">
        <f t="shared" si="13"/>
        <v>0.34967897507803469</v>
      </c>
      <c r="J75" s="17">
        <f t="shared" si="14"/>
        <v>1.4700214365486765E-2</v>
      </c>
      <c r="K75" s="19">
        <f t="shared" si="15"/>
        <v>2.8359712791726781E-3</v>
      </c>
      <c r="L75" s="18">
        <f t="shared" si="16"/>
        <v>1533.0316954701552</v>
      </c>
      <c r="M75" s="31"/>
      <c r="N75" s="35"/>
      <c r="O75" s="37"/>
      <c r="P75" s="36"/>
      <c r="Q75" s="36"/>
      <c r="R75" s="36"/>
      <c r="S75" s="36"/>
      <c r="T75" s="36">
        <f t="shared" si="10"/>
        <v>51</v>
      </c>
      <c r="U75" s="53">
        <v>41121</v>
      </c>
      <c r="V75">
        <v>1379.32</v>
      </c>
      <c r="W75" s="58"/>
      <c r="X75" s="39"/>
      <c r="Y75" s="39"/>
      <c r="Z75" s="43"/>
      <c r="AA75" s="43"/>
      <c r="AB75" s="43"/>
      <c r="AC75" s="43"/>
      <c r="AD75" s="43"/>
    </row>
    <row r="76" spans="1:30" x14ac:dyDescent="0.2">
      <c r="A76" s="11">
        <f t="shared" si="11"/>
        <v>73</v>
      </c>
      <c r="B76" s="15">
        <f t="shared" si="12"/>
        <v>0.2896825396825391</v>
      </c>
      <c r="C76" s="50">
        <v>3.6653573699909898E-3</v>
      </c>
      <c r="D76" s="50">
        <v>2.44412477530618E-2</v>
      </c>
      <c r="E76" s="16">
        <v>2.5672036770809559</v>
      </c>
      <c r="F76" s="16">
        <v>-0.30552416334550891</v>
      </c>
      <c r="G76" s="29">
        <v>0</v>
      </c>
      <c r="H76" s="16">
        <v>0</v>
      </c>
      <c r="I76" s="16">
        <f t="shared" si="13"/>
        <v>-1.9258852726874942</v>
      </c>
      <c r="J76" s="17">
        <f t="shared" si="14"/>
        <v>3.5266867322389754E-2</v>
      </c>
      <c r="K76" s="19">
        <f t="shared" si="15"/>
        <v>-1.4721885896803328E-2</v>
      </c>
      <c r="L76" s="18">
        <f t="shared" si="16"/>
        <v>1510.6278955038026</v>
      </c>
      <c r="M76" s="31"/>
      <c r="N76" s="35"/>
      <c r="O76" s="37"/>
      <c r="P76" s="36"/>
      <c r="Q76" s="36"/>
      <c r="R76" s="36"/>
      <c r="S76" s="36"/>
      <c r="T76" s="36">
        <f t="shared" si="10"/>
        <v>52</v>
      </c>
      <c r="U76" s="53">
        <v>41122</v>
      </c>
      <c r="V76">
        <v>1375.32</v>
      </c>
      <c r="W76" s="58"/>
      <c r="X76" s="39"/>
      <c r="Y76" s="39"/>
      <c r="Z76" s="43"/>
      <c r="AA76" s="43"/>
      <c r="AB76" s="43"/>
      <c r="AC76" s="43"/>
      <c r="AD76" s="43"/>
    </row>
    <row r="77" spans="1:30" x14ac:dyDescent="0.2">
      <c r="A77" s="11">
        <f t="shared" si="11"/>
        <v>74</v>
      </c>
      <c r="B77" s="15">
        <f t="shared" si="12"/>
        <v>0.29365079365079305</v>
      </c>
      <c r="C77" s="50">
        <v>3.6653573699909898E-3</v>
      </c>
      <c r="D77" s="50">
        <v>2.44412477530618E-2</v>
      </c>
      <c r="E77" s="16">
        <v>0.5021470189883811</v>
      </c>
      <c r="F77" s="16">
        <v>-0.73373606672630354</v>
      </c>
      <c r="G77" s="29">
        <v>0</v>
      </c>
      <c r="H77" s="16">
        <v>0</v>
      </c>
      <c r="I77" s="16">
        <f t="shared" si="13"/>
        <v>-0.88252302241683545</v>
      </c>
      <c r="J77" s="17">
        <f t="shared" si="14"/>
        <v>3.9784397264792166E-2</v>
      </c>
      <c r="K77" s="19">
        <f t="shared" si="15"/>
        <v>-1.0493603302216577E-2</v>
      </c>
      <c r="L77" s="18">
        <f t="shared" si="16"/>
        <v>1494.8588474001456</v>
      </c>
      <c r="M77" s="31"/>
      <c r="N77" s="35"/>
      <c r="O77" s="37"/>
      <c r="P77" s="36"/>
      <c r="Q77" s="36"/>
      <c r="R77" s="36"/>
      <c r="S77" s="36"/>
      <c r="T77" s="36">
        <f t="shared" si="10"/>
        <v>53</v>
      </c>
      <c r="U77" s="53">
        <v>41123</v>
      </c>
      <c r="V77">
        <v>1365</v>
      </c>
      <c r="W77" s="58"/>
      <c r="X77" s="39"/>
      <c r="Y77" s="39"/>
      <c r="Z77" s="43"/>
      <c r="AA77" s="43"/>
      <c r="AB77" s="43"/>
      <c r="AC77" s="43"/>
      <c r="AD77" s="43"/>
    </row>
    <row r="78" spans="1:30" x14ac:dyDescent="0.2">
      <c r="A78" s="11">
        <f t="shared" si="11"/>
        <v>75</v>
      </c>
      <c r="B78" s="15">
        <f t="shared" si="12"/>
        <v>0.29761904761904701</v>
      </c>
      <c r="C78" s="50">
        <v>3.6653573699909898E-3</v>
      </c>
      <c r="D78" s="50">
        <v>2.44412477530618E-2</v>
      </c>
      <c r="E78" s="16">
        <v>0.73197307903299591</v>
      </c>
      <c r="F78" s="16">
        <v>-0.16017678210901404</v>
      </c>
      <c r="G78" s="29">
        <v>0</v>
      </c>
      <c r="H78" s="16">
        <v>0</v>
      </c>
      <c r="I78" s="16">
        <f t="shared" si="13"/>
        <v>-0.60395214012055753</v>
      </c>
      <c r="J78" s="17">
        <f t="shared" si="14"/>
        <v>4.7228387407238503E-2</v>
      </c>
      <c r="K78" s="19">
        <f t="shared" si="15"/>
        <v>-7.6509044171996386E-3</v>
      </c>
      <c r="L78" s="18">
        <f t="shared" si="16"/>
        <v>1483.4654656560215</v>
      </c>
      <c r="M78" s="31"/>
      <c r="N78" s="35"/>
      <c r="O78" s="37"/>
      <c r="P78" s="36"/>
      <c r="Q78" s="36"/>
      <c r="R78" s="36"/>
      <c r="S78" s="36"/>
      <c r="T78" s="36">
        <f t="shared" si="10"/>
        <v>54</v>
      </c>
      <c r="U78" s="53">
        <v>41124</v>
      </c>
      <c r="V78">
        <v>1390.99</v>
      </c>
      <c r="W78" s="58"/>
      <c r="X78" s="39"/>
      <c r="Y78" s="39"/>
      <c r="Z78" s="43"/>
      <c r="AA78" s="43"/>
      <c r="AB78" s="43"/>
      <c r="AC78" s="43"/>
      <c r="AD78" s="43"/>
    </row>
    <row r="79" spans="1:30" x14ac:dyDescent="0.2">
      <c r="A79" s="11">
        <f t="shared" si="11"/>
        <v>76</v>
      </c>
      <c r="B79" s="15">
        <f t="shared" si="12"/>
        <v>0.30158730158730096</v>
      </c>
      <c r="C79" s="50">
        <v>3.6653573699909898E-3</v>
      </c>
      <c r="D79" s="50">
        <v>2.44412477530618E-2</v>
      </c>
      <c r="E79" s="16">
        <v>0.69096650310240437</v>
      </c>
      <c r="F79" s="16">
        <v>-0.10764332728871417</v>
      </c>
      <c r="G79" s="29">
        <v>0</v>
      </c>
      <c r="H79" s="16">
        <v>0</v>
      </c>
      <c r="I79" s="16">
        <f t="shared" si="13"/>
        <v>-0.53742574882377436</v>
      </c>
      <c r="J79" s="17">
        <f t="shared" si="14"/>
        <v>5.4824989962252359E-2</v>
      </c>
      <c r="K79" s="19">
        <f t="shared" si="15"/>
        <v>-7.4344488457360348E-3</v>
      </c>
      <c r="L79" s="18">
        <f t="shared" si="16"/>
        <v>1472.4776124625482</v>
      </c>
      <c r="M79" s="31"/>
      <c r="N79" s="35"/>
      <c r="O79" s="37"/>
      <c r="P79" s="36"/>
      <c r="Q79" s="36"/>
      <c r="R79" s="36"/>
      <c r="S79" s="36"/>
      <c r="T79" s="36">
        <f t="shared" si="10"/>
        <v>55</v>
      </c>
      <c r="U79" s="53">
        <v>41127</v>
      </c>
      <c r="V79">
        <v>1394.23</v>
      </c>
      <c r="W79" s="58"/>
      <c r="X79" s="39"/>
      <c r="Y79" s="39"/>
      <c r="Z79" s="43"/>
      <c r="AA79" s="43"/>
      <c r="AB79" s="43"/>
      <c r="AC79" s="43"/>
      <c r="AD79" s="43"/>
    </row>
    <row r="80" spans="1:30" x14ac:dyDescent="0.2">
      <c r="A80" s="11">
        <f t="shared" si="11"/>
        <v>77</v>
      </c>
      <c r="B80" s="15">
        <f t="shared" si="12"/>
        <v>0.30555555555555491</v>
      </c>
      <c r="C80" s="50">
        <v>3.6653573699909898E-3</v>
      </c>
      <c r="D80" s="50">
        <v>2.44412477530618E-2</v>
      </c>
      <c r="E80" s="16">
        <v>-1.2900737279141421</v>
      </c>
      <c r="F80" s="16">
        <v>-1.9922995544231759</v>
      </c>
      <c r="G80" s="29">
        <v>0</v>
      </c>
      <c r="H80" s="16">
        <v>0</v>
      </c>
      <c r="I80" s="16">
        <f t="shared" si="13"/>
        <v>-0.64264875901295004</v>
      </c>
      <c r="J80" s="17">
        <f t="shared" si="14"/>
        <v>3.9232822561666367E-2</v>
      </c>
      <c r="K80" s="19">
        <f t="shared" si="15"/>
        <v>-9.5712030529893251E-3</v>
      </c>
      <c r="L80" s="18">
        <f t="shared" si="16"/>
        <v>1458.4514608904558</v>
      </c>
      <c r="M80" s="31"/>
      <c r="N80" s="35"/>
      <c r="O80" s="37"/>
      <c r="P80" s="36"/>
      <c r="Q80" s="36"/>
      <c r="R80" s="36"/>
      <c r="S80" s="36"/>
      <c r="T80" s="36">
        <f t="shared" si="10"/>
        <v>56</v>
      </c>
      <c r="U80" s="53">
        <v>41128</v>
      </c>
      <c r="V80">
        <v>1401.35</v>
      </c>
      <c r="W80" s="58"/>
      <c r="X80" s="39"/>
      <c r="Y80" s="39"/>
      <c r="Z80" s="43"/>
      <c r="AA80" s="43"/>
      <c r="AB80" s="43"/>
      <c r="AC80" s="43"/>
      <c r="AD80" s="43"/>
    </row>
    <row r="81" spans="1:30" x14ac:dyDescent="0.2">
      <c r="A81" s="11">
        <f t="shared" si="11"/>
        <v>78</v>
      </c>
      <c r="B81" s="15">
        <f t="shared" si="12"/>
        <v>0.30952380952380887</v>
      </c>
      <c r="C81" s="50">
        <v>3.6653573699909898E-3</v>
      </c>
      <c r="D81" s="50">
        <v>2.44412477530618E-2</v>
      </c>
      <c r="E81" s="16">
        <v>-1.7062608275495799</v>
      </c>
      <c r="F81" s="16">
        <v>-0.10422369576660097</v>
      </c>
      <c r="G81" s="29">
        <v>0</v>
      </c>
      <c r="H81" s="16">
        <v>0</v>
      </c>
      <c r="I81" s="16">
        <f t="shared" si="13"/>
        <v>1.0493977426884709</v>
      </c>
      <c r="J81" s="17">
        <f t="shared" si="14"/>
        <v>2.2670582651619219E-2</v>
      </c>
      <c r="K81" s="19">
        <f t="shared" si="15"/>
        <v>1.3032504997335569E-2</v>
      </c>
      <c r="L81" s="18">
        <f t="shared" si="16"/>
        <v>1477.5831328621439</v>
      </c>
      <c r="M81" s="31"/>
      <c r="N81" s="35"/>
      <c r="O81" s="37"/>
      <c r="P81" s="36"/>
      <c r="Q81" s="36"/>
      <c r="R81" s="36"/>
      <c r="S81" s="36"/>
      <c r="T81" s="36">
        <f t="shared" si="10"/>
        <v>57</v>
      </c>
      <c r="U81" s="53">
        <v>41129</v>
      </c>
      <c r="V81">
        <v>1402.22</v>
      </c>
      <c r="W81" s="58"/>
      <c r="X81" s="39"/>
      <c r="Y81" s="39"/>
      <c r="Z81" s="43"/>
      <c r="AA81" s="43"/>
      <c r="AB81" s="43"/>
      <c r="AC81" s="43"/>
      <c r="AD81" s="43"/>
    </row>
    <row r="82" spans="1:30" x14ac:dyDescent="0.2">
      <c r="A82" s="11">
        <f t="shared" si="11"/>
        <v>79</v>
      </c>
      <c r="B82" s="15">
        <f t="shared" si="12"/>
        <v>0.31349206349206282</v>
      </c>
      <c r="C82" s="50">
        <v>3.6653573699909898E-3</v>
      </c>
      <c r="D82" s="50">
        <v>2.44412477530618E-2</v>
      </c>
      <c r="E82" s="16">
        <v>0.77268640481114592</v>
      </c>
      <c r="F82" s="16">
        <v>-0.64332393527757126</v>
      </c>
      <c r="G82" s="29">
        <v>0</v>
      </c>
      <c r="H82" s="16">
        <v>0</v>
      </c>
      <c r="I82" s="16">
        <f t="shared" si="13"/>
        <v>-0.99346025518723735</v>
      </c>
      <c r="J82" s="17">
        <f t="shared" si="14"/>
        <v>2.8646393875055427E-2</v>
      </c>
      <c r="K82" s="19">
        <f t="shared" si="15"/>
        <v>-9.4512357303473769E-3</v>
      </c>
      <c r="L82" s="18">
        <f t="shared" si="16"/>
        <v>1463.6839321365528</v>
      </c>
      <c r="M82" s="31"/>
      <c r="N82" s="35"/>
      <c r="O82" s="37"/>
      <c r="P82" s="36"/>
      <c r="Q82" s="36"/>
      <c r="R82" s="36"/>
      <c r="S82" s="36"/>
      <c r="T82" s="36">
        <f t="shared" si="10"/>
        <v>58</v>
      </c>
      <c r="U82" s="53">
        <v>41130</v>
      </c>
      <c r="V82">
        <v>1402.8</v>
      </c>
      <c r="W82" s="58"/>
      <c r="X82" s="39"/>
      <c r="Y82" s="39"/>
      <c r="Z82" s="43"/>
      <c r="AA82" s="43"/>
      <c r="AB82" s="43"/>
      <c r="AC82" s="43"/>
      <c r="AD82" s="43"/>
    </row>
    <row r="83" spans="1:30" x14ac:dyDescent="0.2">
      <c r="A83" s="11">
        <f t="shared" si="11"/>
        <v>80</v>
      </c>
      <c r="B83" s="15">
        <f t="shared" si="12"/>
        <v>0.31746031746031678</v>
      </c>
      <c r="C83" s="50">
        <v>3.6653573699909898E-3</v>
      </c>
      <c r="D83" s="50">
        <v>2.44412477530618E-2</v>
      </c>
      <c r="E83" s="16">
        <v>0.94847698031059402</v>
      </c>
      <c r="F83" s="16">
        <v>1.4435415924383534</v>
      </c>
      <c r="G83" s="29">
        <v>0</v>
      </c>
      <c r="H83" s="16">
        <v>0</v>
      </c>
      <c r="I83" s="16">
        <f t="shared" si="13"/>
        <v>0.45655722717896818</v>
      </c>
      <c r="J83" s="17">
        <f t="shared" si="14"/>
        <v>3.7158254771160984E-2</v>
      </c>
      <c r="K83" s="19">
        <f t="shared" si="15"/>
        <v>4.8275107666086708E-3</v>
      </c>
      <c r="L83" s="18">
        <f t="shared" si="16"/>
        <v>1470.7669650308808</v>
      </c>
      <c r="M83" s="31"/>
      <c r="N83" s="35"/>
      <c r="O83" s="37"/>
      <c r="P83" s="36"/>
      <c r="Q83" s="36"/>
      <c r="R83" s="36"/>
      <c r="S83" s="36"/>
      <c r="T83" s="36">
        <f t="shared" si="10"/>
        <v>59</v>
      </c>
      <c r="U83" s="53">
        <v>41131</v>
      </c>
      <c r="V83">
        <v>1405.87</v>
      </c>
      <c r="W83" s="58"/>
      <c r="X83" s="39"/>
      <c r="Y83" s="39"/>
      <c r="Z83" s="43"/>
      <c r="AA83" s="43"/>
      <c r="AB83" s="43"/>
      <c r="AC83" s="43"/>
      <c r="AD83" s="43"/>
    </row>
    <row r="84" spans="1:30" x14ac:dyDescent="0.2">
      <c r="A84" s="11">
        <f t="shared" si="11"/>
        <v>81</v>
      </c>
      <c r="B84" s="15">
        <f t="shared" si="12"/>
        <v>0.32142857142857073</v>
      </c>
      <c r="C84" s="50">
        <v>3.6653573699909898E-3</v>
      </c>
      <c r="D84" s="50">
        <v>2.44412477530618E-2</v>
      </c>
      <c r="E84" s="16">
        <v>0.48001025326745245</v>
      </c>
      <c r="F84" s="16">
        <v>-1.8502549355327313</v>
      </c>
      <c r="G84" s="29">
        <v>0</v>
      </c>
      <c r="H84" s="16">
        <v>0</v>
      </c>
      <c r="I84" s="16">
        <f t="shared" si="13"/>
        <v>-1.7058407495330181</v>
      </c>
      <c r="J84" s="17">
        <f t="shared" si="14"/>
        <v>4.1559578841901645E-2</v>
      </c>
      <c r="K84" s="19">
        <f t="shared" si="15"/>
        <v>-2.077123696883373E-2</v>
      </c>
      <c r="L84" s="18">
        <f t="shared" si="16"/>
        <v>1440.5324074900618</v>
      </c>
      <c r="M84" s="31"/>
      <c r="N84" s="35"/>
      <c r="O84" s="37"/>
      <c r="P84" s="36"/>
      <c r="Q84" s="36"/>
      <c r="R84" s="36"/>
      <c r="S84" s="36"/>
      <c r="T84" s="36">
        <f t="shared" si="10"/>
        <v>60</v>
      </c>
      <c r="U84" s="53">
        <v>41134</v>
      </c>
      <c r="V84">
        <v>1404.11</v>
      </c>
      <c r="W84" s="58"/>
      <c r="X84" s="39"/>
      <c r="Y84" s="39"/>
      <c r="Z84" s="43"/>
      <c r="AA84" s="43"/>
      <c r="AB84" s="43"/>
      <c r="AC84" s="43"/>
      <c r="AD84" s="43"/>
    </row>
    <row r="85" spans="1:30" x14ac:dyDescent="0.2">
      <c r="A85" s="11">
        <f t="shared" si="11"/>
        <v>82</v>
      </c>
      <c r="B85" s="15">
        <f t="shared" si="12"/>
        <v>0.32539682539682468</v>
      </c>
      <c r="C85" s="50">
        <v>3.6653573699909898E-3</v>
      </c>
      <c r="D85" s="50">
        <v>2.44412477530618E-2</v>
      </c>
      <c r="E85" s="16">
        <v>0.54487982604919116</v>
      </c>
      <c r="F85" s="16">
        <v>0.16090535459057376</v>
      </c>
      <c r="G85" s="29">
        <v>0</v>
      </c>
      <c r="H85" s="16">
        <v>0</v>
      </c>
      <c r="I85" s="16">
        <f t="shared" si="13"/>
        <v>-0.23933560870963691</v>
      </c>
      <c r="J85" s="17">
        <f t="shared" si="14"/>
        <v>4.69760136154505E-2</v>
      </c>
      <c r="K85" s="19">
        <f t="shared" si="15"/>
        <v>-3.1394458215306953E-3</v>
      </c>
      <c r="L85" s="18">
        <f t="shared" si="16"/>
        <v>1436.0170256495917</v>
      </c>
      <c r="M85" s="31"/>
      <c r="N85" s="35"/>
      <c r="O85" s="37"/>
      <c r="P85" s="36"/>
      <c r="Q85" s="36"/>
      <c r="R85" s="36"/>
      <c r="S85" s="36"/>
      <c r="T85" s="36">
        <f t="shared" si="10"/>
        <v>61</v>
      </c>
      <c r="U85" s="53">
        <v>41135</v>
      </c>
      <c r="V85">
        <v>1403.93</v>
      </c>
      <c r="W85" s="58"/>
      <c r="X85" s="39"/>
      <c r="Y85" s="39"/>
      <c r="Z85" s="43"/>
      <c r="AA85" s="43"/>
      <c r="AB85" s="43"/>
      <c r="AC85" s="43"/>
      <c r="AD85" s="43"/>
    </row>
    <row r="86" spans="1:30" x14ac:dyDescent="0.2">
      <c r="A86" s="11">
        <f t="shared" si="11"/>
        <v>83</v>
      </c>
      <c r="B86" s="15">
        <f t="shared" si="12"/>
        <v>0.32936507936507864</v>
      </c>
      <c r="C86" s="50">
        <v>3.6653573699909898E-3</v>
      </c>
      <c r="D86" s="50">
        <v>2.44412477530618E-2</v>
      </c>
      <c r="E86" s="16">
        <v>-0.64041505221070805</v>
      </c>
      <c r="F86" s="16">
        <v>-2.395980405593871E-2</v>
      </c>
      <c r="G86" s="29">
        <v>0</v>
      </c>
      <c r="H86" s="16">
        <v>0</v>
      </c>
      <c r="I86" s="16">
        <f t="shared" si="13"/>
        <v>0.40524964843926303</v>
      </c>
      <c r="J86" s="17">
        <f t="shared" si="14"/>
        <v>3.9192903384350865E-2</v>
      </c>
      <c r="K86" s="19">
        <f t="shared" si="15"/>
        <v>5.4563710790085183E-3</v>
      </c>
      <c r="L86" s="18">
        <f t="shared" si="16"/>
        <v>1443.8738828887722</v>
      </c>
      <c r="M86" s="31"/>
      <c r="N86" s="35"/>
      <c r="O86" s="37"/>
      <c r="P86" s="36"/>
      <c r="Q86" s="36"/>
      <c r="R86" s="36"/>
      <c r="S86" s="36"/>
      <c r="T86" s="36">
        <f t="shared" si="10"/>
        <v>62</v>
      </c>
      <c r="U86" s="53">
        <v>41136</v>
      </c>
      <c r="V86">
        <v>1405.53</v>
      </c>
      <c r="W86" s="58"/>
      <c r="X86" s="39"/>
      <c r="Y86" s="39"/>
      <c r="Z86" s="43"/>
      <c r="AA86" s="43"/>
      <c r="AB86" s="43"/>
      <c r="AC86" s="43"/>
      <c r="AD86" s="43"/>
    </row>
    <row r="87" spans="1:30" x14ac:dyDescent="0.2">
      <c r="A87" s="11">
        <f t="shared" si="11"/>
        <v>84</v>
      </c>
      <c r="B87" s="15">
        <f t="shared" si="12"/>
        <v>0.33333333333333259</v>
      </c>
      <c r="C87" s="17">
        <v>4.9668746892205214E-3</v>
      </c>
      <c r="D87" s="17">
        <v>1.8803258169889116E-2</v>
      </c>
      <c r="E87" s="16">
        <v>-1.249040850029477</v>
      </c>
      <c r="F87" s="16">
        <v>0.23974841683716594</v>
      </c>
      <c r="G87" s="29">
        <v>0</v>
      </c>
      <c r="H87" s="16">
        <v>0</v>
      </c>
      <c r="I87" s="16">
        <f t="shared" si="13"/>
        <v>1.0053855283544113</v>
      </c>
      <c r="J87" s="17">
        <f t="shared" si="14"/>
        <v>2.6491856668419422E-2</v>
      </c>
      <c r="K87" s="19">
        <f t="shared" si="15"/>
        <v>1.2504579748805308E-2</v>
      </c>
      <c r="L87" s="18">
        <f t="shared" si="16"/>
        <v>1462.0422763265121</v>
      </c>
      <c r="M87" s="31"/>
      <c r="N87" s="35"/>
      <c r="O87" s="37"/>
      <c r="P87" s="36"/>
      <c r="Q87" s="36"/>
      <c r="R87" s="36"/>
      <c r="S87" s="36"/>
      <c r="T87" s="36">
        <f t="shared" si="10"/>
        <v>63</v>
      </c>
      <c r="U87" s="53">
        <v>41137</v>
      </c>
      <c r="V87">
        <v>1415.51</v>
      </c>
      <c r="W87" s="58"/>
      <c r="X87" s="39"/>
      <c r="Y87" s="39"/>
      <c r="Z87" s="43"/>
      <c r="AA87" s="43"/>
      <c r="AB87" s="43"/>
      <c r="AC87" s="43"/>
      <c r="AD87" s="43"/>
    </row>
    <row r="88" spans="1:30" x14ac:dyDescent="0.2">
      <c r="A88" s="11">
        <f t="shared" si="11"/>
        <v>85</v>
      </c>
      <c r="B88" s="15">
        <f t="shared" si="12"/>
        <v>0.33730158730158655</v>
      </c>
      <c r="C88" s="17">
        <v>4.9668746892205214E-3</v>
      </c>
      <c r="D88" s="17">
        <v>1.8803258169889116E-2</v>
      </c>
      <c r="E88" s="16">
        <v>-1.7784817067372733</v>
      </c>
      <c r="F88" s="16">
        <v>0.12925650221320006</v>
      </c>
      <c r="G88" s="29">
        <v>0</v>
      </c>
      <c r="H88" s="16">
        <v>0</v>
      </c>
      <c r="I88" s="16">
        <f t="shared" si="13"/>
        <v>1.2723532562573039</v>
      </c>
      <c r="J88" s="17">
        <f t="shared" si="14"/>
        <v>1.2726396795616383E-2</v>
      </c>
      <c r="K88" s="19">
        <f t="shared" si="15"/>
        <v>1.3037141943631869E-2</v>
      </c>
      <c r="L88" s="18">
        <f t="shared" si="16"/>
        <v>1481.2279202489158</v>
      </c>
      <c r="M88" s="31"/>
      <c r="N88" s="35"/>
      <c r="O88" s="37"/>
      <c r="P88" s="36"/>
      <c r="Q88" s="36"/>
      <c r="R88" s="36"/>
      <c r="S88" s="36"/>
      <c r="T88" s="36">
        <f t="shared" si="10"/>
        <v>64</v>
      </c>
      <c r="U88" s="53">
        <v>41138</v>
      </c>
      <c r="V88">
        <v>1418.16</v>
      </c>
      <c r="W88" s="58"/>
      <c r="X88" s="39"/>
      <c r="Y88" s="39"/>
      <c r="Z88" s="43"/>
      <c r="AA88" s="43"/>
      <c r="AB88" s="43"/>
      <c r="AC88" s="43"/>
      <c r="AD88" s="43"/>
    </row>
    <row r="89" spans="1:30" x14ac:dyDescent="0.2">
      <c r="A89" s="11">
        <f t="shared" si="11"/>
        <v>86</v>
      </c>
      <c r="B89" s="15">
        <f t="shared" si="12"/>
        <v>0.3412698412698405</v>
      </c>
      <c r="C89" s="17">
        <v>4.9668746892205214E-3</v>
      </c>
      <c r="D89" s="17">
        <v>1.8803258169889116E-2</v>
      </c>
      <c r="E89" s="16">
        <v>0.76942894984240295</v>
      </c>
      <c r="F89" s="16">
        <v>-0.65931612766127823</v>
      </c>
      <c r="G89" s="29">
        <v>0</v>
      </c>
      <c r="H89" s="16">
        <v>0</v>
      </c>
      <c r="I89" s="16">
        <f t="shared" si="13"/>
        <v>-1.003309637263516</v>
      </c>
      <c r="J89" s="17">
        <f t="shared" si="14"/>
        <v>1.7167415978987566E-2</v>
      </c>
      <c r="K89" s="19">
        <f t="shared" si="15"/>
        <v>-7.1110986272758586E-3</v>
      </c>
      <c r="L89" s="81">
        <f t="shared" si="16"/>
        <v>1470.7321249652703</v>
      </c>
      <c r="M89" s="31"/>
      <c r="N89" s="35"/>
      <c r="O89" s="37"/>
      <c r="P89" s="36"/>
      <c r="Q89" s="36"/>
      <c r="R89" s="36"/>
      <c r="S89" s="36"/>
      <c r="T89" s="36">
        <f t="shared" si="10"/>
        <v>65</v>
      </c>
      <c r="U89" s="53">
        <v>41141</v>
      </c>
      <c r="V89">
        <v>1418.13</v>
      </c>
      <c r="W89" s="58"/>
      <c r="X89" s="39"/>
      <c r="Y89" s="39"/>
      <c r="Z89" s="43"/>
      <c r="AA89" s="43"/>
      <c r="AB89" s="43"/>
      <c r="AC89" s="43"/>
      <c r="AD89" s="43"/>
    </row>
    <row r="90" spans="1:30" x14ac:dyDescent="0.2">
      <c r="A90" s="11">
        <f t="shared" si="11"/>
        <v>87</v>
      </c>
      <c r="B90" s="15">
        <f t="shared" si="12"/>
        <v>0.34523809523809446</v>
      </c>
      <c r="C90" s="17">
        <v>4.9668746892205214E-3</v>
      </c>
      <c r="D90" s="17">
        <v>1.8803258169889116E-2</v>
      </c>
      <c r="E90" s="16">
        <v>-1.1725909440068845</v>
      </c>
      <c r="F90" s="16">
        <v>-0.26057982862038437</v>
      </c>
      <c r="G90" s="29">
        <v>0</v>
      </c>
      <c r="H90" s="16">
        <v>0</v>
      </c>
      <c r="I90" s="16">
        <f t="shared" si="13"/>
        <v>0.57936575063561246</v>
      </c>
      <c r="J90" s="17">
        <f t="shared" si="14"/>
        <v>9.3850407516114735E-3</v>
      </c>
      <c r="K90" s="19">
        <f t="shared" si="15"/>
        <v>4.7920053780406381E-3</v>
      </c>
      <c r="L90" s="18">
        <f t="shared" si="16"/>
        <v>1477.7967946663468</v>
      </c>
      <c r="M90" s="31"/>
      <c r="N90" s="35"/>
      <c r="O90" s="37"/>
      <c r="P90" s="36"/>
      <c r="Q90" s="36"/>
      <c r="R90" s="36"/>
      <c r="S90" s="36"/>
      <c r="T90" s="36">
        <f t="shared" si="10"/>
        <v>66</v>
      </c>
      <c r="U90" s="53">
        <v>41142</v>
      </c>
      <c r="V90">
        <v>1413.17</v>
      </c>
      <c r="W90" s="58"/>
      <c r="X90" s="39"/>
      <c r="Y90" s="39"/>
      <c r="Z90" s="43"/>
      <c r="AA90" s="43"/>
      <c r="AB90" s="43"/>
      <c r="AC90" s="43"/>
      <c r="AD90" s="43"/>
    </row>
    <row r="91" spans="1:30" x14ac:dyDescent="0.2">
      <c r="A91" s="11">
        <f t="shared" si="11"/>
        <v>88</v>
      </c>
      <c r="B91" s="15">
        <f t="shared" si="12"/>
        <v>0.34920634920634841</v>
      </c>
      <c r="C91" s="17">
        <v>4.9668746892205214E-3</v>
      </c>
      <c r="D91" s="17">
        <v>1.8803258169889116E-2</v>
      </c>
      <c r="E91" s="16">
        <v>-0.49679110759346828</v>
      </c>
      <c r="F91" s="16">
        <v>-0.533960119252889</v>
      </c>
      <c r="G91" s="29">
        <v>0</v>
      </c>
      <c r="H91" s="16">
        <v>0</v>
      </c>
      <c r="I91" s="16">
        <f t="shared" si="13"/>
        <v>-7.2422363378102705E-2</v>
      </c>
      <c r="J91" s="17">
        <f t="shared" si="14"/>
        <v>6.4356160220131603E-3</v>
      </c>
      <c r="K91" s="19">
        <f t="shared" si="15"/>
        <v>-4.1647087812816009E-4</v>
      </c>
      <c r="L91" s="18">
        <f t="shared" si="16"/>
        <v>1477.1814634802308</v>
      </c>
      <c r="M91" s="31"/>
      <c r="N91" s="35"/>
      <c r="O91" s="37"/>
      <c r="P91" s="36"/>
      <c r="Q91" s="36"/>
      <c r="R91" s="36"/>
      <c r="S91" s="36"/>
      <c r="T91" s="36">
        <f t="shared" ref="T91:T154" si="17">T90+1</f>
        <v>67</v>
      </c>
      <c r="U91" s="53">
        <v>41143</v>
      </c>
      <c r="V91">
        <v>1413.49</v>
      </c>
      <c r="W91" s="58"/>
      <c r="X91" s="39"/>
      <c r="Y91" s="39"/>
      <c r="Z91" s="43"/>
      <c r="AA91" s="43"/>
      <c r="AB91" s="43"/>
      <c r="AC91" s="43"/>
      <c r="AD91" s="43"/>
    </row>
    <row r="92" spans="1:30" x14ac:dyDescent="0.2">
      <c r="A92" s="11">
        <f t="shared" si="11"/>
        <v>89</v>
      </c>
      <c r="B92" s="15">
        <f t="shared" si="12"/>
        <v>0.35317460317460236</v>
      </c>
      <c r="C92" s="17">
        <v>4.9668746892205214E-3</v>
      </c>
      <c r="D92" s="17">
        <v>1.8803258169889116E-2</v>
      </c>
      <c r="E92" s="16">
        <v>0.50575619845336572</v>
      </c>
      <c r="F92" s="16">
        <v>1.969516503506008</v>
      </c>
      <c r="G92" s="29">
        <v>0</v>
      </c>
      <c r="H92" s="16">
        <v>0</v>
      </c>
      <c r="I92" s="16">
        <f t="shared" si="13"/>
        <v>1.1438824766597269</v>
      </c>
      <c r="J92" s="17">
        <f t="shared" si="14"/>
        <v>8.2099569300409635E-3</v>
      </c>
      <c r="K92" s="19">
        <f t="shared" si="15"/>
        <v>5.811992487842102E-3</v>
      </c>
      <c r="L92" s="18">
        <f t="shared" si="16"/>
        <v>1485.7918284999332</v>
      </c>
      <c r="M92" s="31"/>
      <c r="N92" s="35"/>
      <c r="O92" s="37"/>
      <c r="P92" s="36"/>
      <c r="Q92" s="36"/>
      <c r="R92" s="36"/>
      <c r="S92" s="36"/>
      <c r="T92" s="36">
        <f t="shared" si="17"/>
        <v>68</v>
      </c>
      <c r="U92" s="53">
        <v>41144</v>
      </c>
      <c r="V92">
        <v>1402.08</v>
      </c>
      <c r="W92" s="58"/>
      <c r="X92" s="39"/>
      <c r="Y92" s="39"/>
      <c r="Z92" s="43"/>
      <c r="AA92" s="43"/>
      <c r="AB92" s="43"/>
      <c r="AC92" s="43"/>
      <c r="AD92" s="43"/>
    </row>
    <row r="93" spans="1:30" x14ac:dyDescent="0.2">
      <c r="A93" s="11">
        <f t="shared" si="11"/>
        <v>90</v>
      </c>
      <c r="B93" s="15">
        <f t="shared" si="12"/>
        <v>0.35714285714285632</v>
      </c>
      <c r="C93" s="17">
        <v>4.9668746892205214E-3</v>
      </c>
      <c r="D93" s="17">
        <v>1.8803258169889116E-2</v>
      </c>
      <c r="E93" s="16">
        <v>0.27393369071151147</v>
      </c>
      <c r="F93" s="16">
        <v>-2.9285954268304732E-2</v>
      </c>
      <c r="G93" s="29">
        <v>0</v>
      </c>
      <c r="H93" s="16">
        <v>0</v>
      </c>
      <c r="I93" s="16">
        <f t="shared" si="13"/>
        <v>-0.20301382671333421</v>
      </c>
      <c r="J93" s="17">
        <f t="shared" si="14"/>
        <v>9.0147420860004039E-3</v>
      </c>
      <c r="K93" s="19">
        <f t="shared" si="15"/>
        <v>-1.1309378041208652E-3</v>
      </c>
      <c r="L93" s="18">
        <f t="shared" si="16"/>
        <v>1484.1124401728998</v>
      </c>
      <c r="M93" s="31"/>
      <c r="N93" s="35"/>
      <c r="O93" s="37"/>
      <c r="P93" s="36"/>
      <c r="Q93" s="36"/>
      <c r="R93" s="36"/>
      <c r="S93" s="36"/>
      <c r="T93" s="36">
        <f t="shared" si="17"/>
        <v>69</v>
      </c>
      <c r="U93" s="53">
        <v>41145</v>
      </c>
      <c r="V93">
        <v>1411.13</v>
      </c>
      <c r="W93" s="58"/>
      <c r="X93" s="39"/>
      <c r="Y93" s="39"/>
      <c r="Z93" s="43"/>
      <c r="AA93" s="43"/>
      <c r="AB93" s="43"/>
      <c r="AC93" s="43"/>
      <c r="AD93" s="43"/>
    </row>
    <row r="94" spans="1:30" x14ac:dyDescent="0.2">
      <c r="A94" s="11">
        <f t="shared" si="11"/>
        <v>91</v>
      </c>
      <c r="B94" s="15">
        <f t="shared" si="12"/>
        <v>0.36111111111111027</v>
      </c>
      <c r="C94" s="17">
        <v>4.9668746892205214E-3</v>
      </c>
      <c r="D94" s="17">
        <v>1.8803258169889116E-2</v>
      </c>
      <c r="E94" s="16">
        <v>4.7362589153692555E-2</v>
      </c>
      <c r="F94" s="16">
        <v>-4.1101780996714643E-4</v>
      </c>
      <c r="G94" s="29">
        <v>0</v>
      </c>
      <c r="H94" s="16">
        <v>0</v>
      </c>
      <c r="I94" s="16">
        <f t="shared" si="13"/>
        <v>-3.1609011408658107E-2</v>
      </c>
      <c r="J94" s="17">
        <f t="shared" si="14"/>
        <v>8.6869060820394754E-3</v>
      </c>
      <c r="K94" s="19">
        <f t="shared" si="15"/>
        <v>-1.6282310659600894E-4</v>
      </c>
      <c r="L94" s="18">
        <f t="shared" si="16"/>
        <v>1483.8708120467079</v>
      </c>
      <c r="M94" s="31"/>
      <c r="N94" s="35"/>
      <c r="O94" s="37"/>
      <c r="P94" s="36"/>
      <c r="Q94" s="36"/>
      <c r="R94" s="36"/>
      <c r="S94" s="36"/>
      <c r="T94" s="36">
        <f t="shared" si="17"/>
        <v>70</v>
      </c>
      <c r="U94" s="53">
        <v>41148</v>
      </c>
      <c r="V94">
        <v>1410.44</v>
      </c>
      <c r="W94" s="58"/>
      <c r="X94" s="39"/>
      <c r="Y94" s="39"/>
      <c r="Z94" s="43"/>
      <c r="AA94" s="43"/>
      <c r="AB94" s="43"/>
      <c r="AC94" s="43"/>
      <c r="AD94" s="43"/>
    </row>
    <row r="95" spans="1:30" x14ac:dyDescent="0.2">
      <c r="A95" s="11">
        <f t="shared" si="11"/>
        <v>92</v>
      </c>
      <c r="B95" s="15">
        <f t="shared" si="12"/>
        <v>0.36507936507936423</v>
      </c>
      <c r="C95" s="17">
        <v>4.9668746892205214E-3</v>
      </c>
      <c r="D95" s="17">
        <v>1.8803258169889116E-2</v>
      </c>
      <c r="E95" s="16">
        <v>-0.22049647902735262</v>
      </c>
      <c r="F95" s="16">
        <v>-1.2084406582857576</v>
      </c>
      <c r="G95" s="29">
        <v>0</v>
      </c>
      <c r="H95" s="16">
        <v>0</v>
      </c>
      <c r="I95" s="16">
        <f t="shared" si="13"/>
        <v>-0.76121491580768397</v>
      </c>
      <c r="J95" s="17">
        <f t="shared" si="14"/>
        <v>7.0637979095147414E-3</v>
      </c>
      <c r="K95" s="19">
        <f t="shared" si="15"/>
        <v>-4.4424187877267051E-3</v>
      </c>
      <c r="L95" s="18">
        <f t="shared" si="16"/>
        <v>1477.293456972641</v>
      </c>
      <c r="M95" s="31"/>
      <c r="N95" s="35"/>
      <c r="O95" s="37"/>
      <c r="P95" s="36"/>
      <c r="Q95" s="36"/>
      <c r="R95" s="36"/>
      <c r="S95" s="36"/>
      <c r="T95" s="36">
        <f t="shared" si="17"/>
        <v>71</v>
      </c>
      <c r="U95" s="53">
        <v>41149</v>
      </c>
      <c r="V95">
        <v>1409.3</v>
      </c>
      <c r="W95" s="58"/>
      <c r="X95" s="39"/>
      <c r="Y95" s="39"/>
      <c r="Z95" s="43"/>
      <c r="AA95" s="43"/>
      <c r="AB95" s="43"/>
      <c r="AC95" s="43"/>
      <c r="AD95" s="43"/>
    </row>
    <row r="96" spans="1:30" x14ac:dyDescent="0.2">
      <c r="A96" s="11">
        <f t="shared" si="11"/>
        <v>93</v>
      </c>
      <c r="B96" s="15">
        <f t="shared" si="12"/>
        <v>0.36904761904761818</v>
      </c>
      <c r="C96" s="17">
        <v>4.9668746892205214E-3</v>
      </c>
      <c r="D96" s="17">
        <v>1.8803258169889116E-2</v>
      </c>
      <c r="E96" s="16">
        <v>-0.15853576174414485</v>
      </c>
      <c r="F96" s="16">
        <v>1.635816264499615</v>
      </c>
      <c r="G96" s="29">
        <v>0</v>
      </c>
      <c r="H96" s="16">
        <v>0</v>
      </c>
      <c r="I96" s="16">
        <f t="shared" si="13"/>
        <v>1.3324515157130041</v>
      </c>
      <c r="J96" s="17">
        <f t="shared" si="14"/>
        <v>5.8135483135512448E-3</v>
      </c>
      <c r="K96" s="19">
        <f t="shared" si="15"/>
        <v>7.0846680581691471E-3</v>
      </c>
      <c r="L96" s="18">
        <f t="shared" si="16"/>
        <v>1487.7967529904931</v>
      </c>
      <c r="M96" s="31"/>
      <c r="N96" s="35"/>
      <c r="O96" s="37"/>
      <c r="P96" s="36"/>
      <c r="Q96" s="36"/>
      <c r="R96" s="36"/>
      <c r="S96" s="36"/>
      <c r="T96" s="36">
        <f t="shared" si="17"/>
        <v>72</v>
      </c>
      <c r="U96" s="53">
        <v>41150</v>
      </c>
      <c r="V96">
        <v>1410.49</v>
      </c>
      <c r="W96" s="58"/>
      <c r="X96" s="39"/>
      <c r="Y96" s="39"/>
      <c r="Z96" s="43"/>
      <c r="AA96" s="43"/>
      <c r="AB96" s="43"/>
      <c r="AC96" s="43"/>
      <c r="AD96" s="43"/>
    </row>
    <row r="97" spans="1:30" x14ac:dyDescent="0.2">
      <c r="A97" s="11">
        <f t="shared" si="11"/>
        <v>94</v>
      </c>
      <c r="B97" s="15">
        <f t="shared" si="12"/>
        <v>0.37301587301587213</v>
      </c>
      <c r="C97" s="17">
        <v>4.9668746892205214E-3</v>
      </c>
      <c r="D97" s="17">
        <v>1.8803258169889116E-2</v>
      </c>
      <c r="E97" s="16">
        <v>0.80987105713913998</v>
      </c>
      <c r="F97" s="16">
        <v>-7.1844350209376517E-2</v>
      </c>
      <c r="G97" s="29">
        <v>0</v>
      </c>
      <c r="H97" s="16">
        <v>0</v>
      </c>
      <c r="I97" s="16">
        <f t="shared" si="13"/>
        <v>-0.58913914489686514</v>
      </c>
      <c r="J97" s="17">
        <f t="shared" si="14"/>
        <v>8.9955060904402372E-3</v>
      </c>
      <c r="K97" s="19">
        <f t="shared" si="15"/>
        <v>-2.7971029540097762E-3</v>
      </c>
      <c r="L97" s="18">
        <f t="shared" si="16"/>
        <v>1483.6410469759674</v>
      </c>
      <c r="M97" s="31"/>
      <c r="N97" s="35"/>
      <c r="O97" s="37"/>
      <c r="P97" s="36"/>
      <c r="Q97" s="36"/>
      <c r="R97" s="36"/>
      <c r="S97" s="36"/>
      <c r="T97" s="36">
        <f t="shared" si="17"/>
        <v>73</v>
      </c>
      <c r="U97" s="53">
        <v>41151</v>
      </c>
      <c r="V97">
        <v>1399.48</v>
      </c>
      <c r="W97" s="58"/>
      <c r="X97" s="39"/>
      <c r="Y97" s="39"/>
      <c r="Z97" s="43"/>
      <c r="AA97" s="43"/>
      <c r="AB97" s="43"/>
      <c r="AC97" s="43"/>
      <c r="AD97" s="43"/>
    </row>
    <row r="98" spans="1:30" x14ac:dyDescent="0.2">
      <c r="A98" s="11">
        <f t="shared" si="11"/>
        <v>95</v>
      </c>
      <c r="B98" s="15">
        <f t="shared" si="12"/>
        <v>0.37698412698412609</v>
      </c>
      <c r="C98" s="17">
        <v>4.9668746892205214E-3</v>
      </c>
      <c r="D98" s="17">
        <v>1.8803258169889116E-2</v>
      </c>
      <c r="E98" s="16">
        <v>1.1092158332331321</v>
      </c>
      <c r="F98" s="16">
        <v>0.17092046650712842</v>
      </c>
      <c r="G98" s="29">
        <v>0</v>
      </c>
      <c r="H98" s="16">
        <v>0</v>
      </c>
      <c r="I98" s="16">
        <f t="shared" si="13"/>
        <v>-0.60477234282300596</v>
      </c>
      <c r="J98" s="17">
        <f t="shared" si="14"/>
        <v>1.4875978838644565E-2</v>
      </c>
      <c r="K98" s="19">
        <f t="shared" si="15"/>
        <v>-3.5870339096189703E-3</v>
      </c>
      <c r="L98" s="18">
        <f t="shared" si="16"/>
        <v>1478.3287096938166</v>
      </c>
      <c r="M98" s="31"/>
      <c r="N98" s="35"/>
      <c r="O98" s="37"/>
      <c r="P98" s="36"/>
      <c r="Q98" s="36"/>
      <c r="R98" s="36"/>
      <c r="S98" s="36"/>
      <c r="T98" s="36">
        <f t="shared" si="17"/>
        <v>74</v>
      </c>
      <c r="U98" s="53">
        <v>41152</v>
      </c>
      <c r="V98">
        <v>1406.57</v>
      </c>
      <c r="W98" s="58"/>
      <c r="X98" s="39"/>
      <c r="Y98" s="39"/>
      <c r="Z98" s="43"/>
      <c r="AA98" s="43"/>
      <c r="AB98" s="43"/>
      <c r="AC98" s="43"/>
      <c r="AD98" s="43"/>
    </row>
    <row r="99" spans="1:30" x14ac:dyDescent="0.2">
      <c r="A99" s="11">
        <f t="shared" si="11"/>
        <v>96</v>
      </c>
      <c r="B99" s="15">
        <f t="shared" si="12"/>
        <v>0.38095238095238004</v>
      </c>
      <c r="C99" s="17">
        <v>4.9668746892205214E-3</v>
      </c>
      <c r="D99" s="17">
        <v>1.8803258169889116E-2</v>
      </c>
      <c r="E99" s="16">
        <v>0.35232715669857523</v>
      </c>
      <c r="F99" s="16">
        <v>-0.31328618023217858</v>
      </c>
      <c r="G99" s="29">
        <v>0</v>
      </c>
      <c r="H99" s="16">
        <v>0</v>
      </c>
      <c r="I99" s="16">
        <f t="shared" si="13"/>
        <v>-0.46796389578958109</v>
      </c>
      <c r="J99" s="17">
        <f t="shared" si="14"/>
        <v>1.6654171902751702E-2</v>
      </c>
      <c r="K99" s="19">
        <f t="shared" si="15"/>
        <v>-3.5808611681376543E-3</v>
      </c>
      <c r="L99" s="18">
        <f t="shared" si="16"/>
        <v>1473.0444865047825</v>
      </c>
      <c r="M99" s="31"/>
      <c r="N99" s="35"/>
      <c r="O99" s="37"/>
      <c r="P99" s="36"/>
      <c r="Q99" s="36"/>
      <c r="R99" s="36"/>
      <c r="S99" s="36"/>
      <c r="T99" s="36">
        <f t="shared" si="17"/>
        <v>75</v>
      </c>
      <c r="U99" s="53">
        <v>41156</v>
      </c>
      <c r="V99">
        <v>1404.94</v>
      </c>
      <c r="W99" s="58"/>
      <c r="X99" s="39"/>
      <c r="Y99" s="39"/>
      <c r="Z99" s="43"/>
      <c r="AA99" s="43"/>
      <c r="AB99" s="43"/>
      <c r="AC99" s="43"/>
      <c r="AD99" s="43"/>
    </row>
    <row r="100" spans="1:30" x14ac:dyDescent="0.2">
      <c r="A100" s="11">
        <f t="shared" si="11"/>
        <v>97</v>
      </c>
      <c r="B100" s="15">
        <f t="shared" si="12"/>
        <v>0.384920634920634</v>
      </c>
      <c r="C100" s="17">
        <v>4.9668746892205214E-3</v>
      </c>
      <c r="D100" s="17">
        <v>1.8803258169889116E-2</v>
      </c>
      <c r="E100" s="16">
        <v>-0.51461134394436858</v>
      </c>
      <c r="F100" s="16">
        <v>-0.34119724367775578</v>
      </c>
      <c r="G100" s="29">
        <v>0</v>
      </c>
      <c r="H100" s="16">
        <v>0</v>
      </c>
      <c r="I100" s="16">
        <f t="shared" si="13"/>
        <v>8.4023019723131254E-2</v>
      </c>
      <c r="J100" s="17">
        <f t="shared" si="14"/>
        <v>1.2720726120188881E-2</v>
      </c>
      <c r="K100" s="19">
        <f t="shared" si="15"/>
        <v>6.9413498929993538E-4</v>
      </c>
      <c r="L100" s="18">
        <f t="shared" si="16"/>
        <v>1474.0673331794244</v>
      </c>
      <c r="M100" s="31"/>
      <c r="N100" s="35"/>
      <c r="O100" s="37"/>
      <c r="P100" s="36"/>
      <c r="Q100" s="36"/>
      <c r="R100" s="36"/>
      <c r="S100" s="36"/>
      <c r="T100" s="36">
        <f t="shared" si="17"/>
        <v>76</v>
      </c>
      <c r="U100" s="53">
        <v>41157</v>
      </c>
      <c r="V100">
        <v>1403.44</v>
      </c>
      <c r="W100" s="58"/>
      <c r="X100" s="39"/>
      <c r="Y100" s="39"/>
      <c r="Z100" s="43"/>
      <c r="AA100" s="43"/>
      <c r="AB100" s="43"/>
      <c r="AC100" s="43"/>
      <c r="AD100" s="43"/>
    </row>
    <row r="101" spans="1:30" x14ac:dyDescent="0.2">
      <c r="A101" s="11">
        <f t="shared" si="11"/>
        <v>98</v>
      </c>
      <c r="B101" s="15">
        <f t="shared" si="12"/>
        <v>0.38888888888888795</v>
      </c>
      <c r="C101" s="17">
        <v>4.9668746892205214E-3</v>
      </c>
      <c r="D101" s="17">
        <v>1.8803258169889116E-2</v>
      </c>
      <c r="E101" s="16">
        <v>-0.93064415068611128</v>
      </c>
      <c r="F101" s="16">
        <v>0.41522531862859474</v>
      </c>
      <c r="G101" s="29">
        <v>0</v>
      </c>
      <c r="H101" s="16">
        <v>0</v>
      </c>
      <c r="I101" s="16">
        <f t="shared" si="13"/>
        <v>0.92666190319332986</v>
      </c>
      <c r="J101" s="17">
        <f t="shared" si="14"/>
        <v>7.1791648194208264E-3</v>
      </c>
      <c r="K101" s="19">
        <f t="shared" si="15"/>
        <v>6.6026838267434339E-3</v>
      </c>
      <c r="L101" s="18">
        <f t="shared" si="16"/>
        <v>1483.8323358565933</v>
      </c>
      <c r="M101" s="31"/>
      <c r="N101" s="35"/>
      <c r="O101" s="37"/>
      <c r="P101" s="36"/>
      <c r="Q101" s="36"/>
      <c r="R101" s="36"/>
      <c r="S101" s="36"/>
      <c r="T101" s="36">
        <f t="shared" si="17"/>
        <v>77</v>
      </c>
      <c r="U101" s="53">
        <v>41158</v>
      </c>
      <c r="V101">
        <v>1432.12</v>
      </c>
      <c r="W101" s="58"/>
      <c r="X101" s="39"/>
      <c r="Y101" s="39"/>
      <c r="Z101" s="43"/>
      <c r="AA101" s="43"/>
      <c r="AB101" s="43"/>
      <c r="AC101" s="43"/>
      <c r="AD101" s="43"/>
    </row>
    <row r="102" spans="1:30" x14ac:dyDescent="0.2">
      <c r="A102" s="11">
        <f t="shared" si="11"/>
        <v>99</v>
      </c>
      <c r="B102" s="15">
        <f t="shared" si="12"/>
        <v>0.39285714285714191</v>
      </c>
      <c r="C102" s="17">
        <v>4.9668746892205214E-3</v>
      </c>
      <c r="D102" s="17">
        <v>1.8803258169889116E-2</v>
      </c>
      <c r="E102" s="16">
        <v>0.92673116257403609</v>
      </c>
      <c r="F102" s="16">
        <v>0.30758776735001064</v>
      </c>
      <c r="G102" s="29">
        <v>0</v>
      </c>
      <c r="H102" s="16">
        <v>0</v>
      </c>
      <c r="I102" s="16">
        <f t="shared" si="13"/>
        <v>-0.38160479810765924</v>
      </c>
      <c r="J102" s="17">
        <f t="shared" si="14"/>
        <v>1.1388957679904979E-2</v>
      </c>
      <c r="K102" s="19">
        <f t="shared" si="15"/>
        <v>-2.0069364665146385E-3</v>
      </c>
      <c r="L102" s="18">
        <f t="shared" si="16"/>
        <v>1480.8573649189473</v>
      </c>
      <c r="M102" s="31"/>
      <c r="N102" s="35"/>
      <c r="O102" s="37"/>
      <c r="P102" s="36"/>
      <c r="Q102" s="36"/>
      <c r="R102" s="36"/>
      <c r="S102" s="36"/>
      <c r="T102" s="36">
        <f t="shared" si="17"/>
        <v>78</v>
      </c>
      <c r="U102" s="53">
        <v>41159</v>
      </c>
      <c r="V102">
        <v>1437.92</v>
      </c>
      <c r="W102" s="58"/>
      <c r="X102" s="39"/>
      <c r="Y102" s="39"/>
      <c r="Z102" s="43"/>
      <c r="AA102" s="43"/>
      <c r="AB102" s="43"/>
      <c r="AC102" s="43"/>
      <c r="AD102" s="43"/>
    </row>
    <row r="103" spans="1:30" x14ac:dyDescent="0.2">
      <c r="A103" s="11">
        <f t="shared" si="11"/>
        <v>100</v>
      </c>
      <c r="B103" s="15">
        <f t="shared" si="12"/>
        <v>0.39682539682539586</v>
      </c>
      <c r="C103" s="17">
        <v>4.9668746892205214E-3</v>
      </c>
      <c r="D103" s="17">
        <v>1.8803258169889116E-2</v>
      </c>
      <c r="E103" s="16">
        <v>-0.10746946097792022</v>
      </c>
      <c r="F103" s="16">
        <v>0.43851630459147439</v>
      </c>
      <c r="G103" s="29">
        <v>0</v>
      </c>
      <c r="H103" s="16">
        <v>0</v>
      </c>
      <c r="I103" s="16">
        <f t="shared" si="13"/>
        <v>0.40012983601946644</v>
      </c>
      <c r="J103" s="17">
        <f t="shared" si="14"/>
        <v>1.0211814910306236E-2</v>
      </c>
      <c r="K103" s="19">
        <f t="shared" si="15"/>
        <v>2.7114611543766118E-3</v>
      </c>
      <c r="L103" s="18">
        <f t="shared" si="16"/>
        <v>1484.8781007101747</v>
      </c>
      <c r="M103" s="31"/>
      <c r="N103" s="35"/>
      <c r="O103" s="37"/>
      <c r="P103" s="36"/>
      <c r="Q103" s="36"/>
      <c r="R103" s="36"/>
      <c r="S103" s="36"/>
      <c r="T103" s="36">
        <f t="shared" si="17"/>
        <v>79</v>
      </c>
      <c r="U103" s="53">
        <v>41162</v>
      </c>
      <c r="V103">
        <v>1429.08</v>
      </c>
      <c r="W103" s="58"/>
      <c r="X103" s="39"/>
      <c r="Y103" s="39"/>
      <c r="Z103" s="43"/>
      <c r="AA103" s="43"/>
      <c r="AB103" s="43"/>
      <c r="AC103" s="43"/>
      <c r="AD103" s="43"/>
    </row>
    <row r="104" spans="1:30" x14ac:dyDescent="0.2">
      <c r="A104" s="11">
        <f t="shared" si="11"/>
        <v>101</v>
      </c>
      <c r="B104" s="15">
        <f t="shared" si="12"/>
        <v>0.40079365079364981</v>
      </c>
      <c r="C104" s="17">
        <v>4.9668746892205214E-3</v>
      </c>
      <c r="D104" s="17">
        <v>1.8803258169889116E-2</v>
      </c>
      <c r="E104" s="16">
        <v>0.19633836959857887</v>
      </c>
      <c r="F104" s="16">
        <v>-0.32567782140909041</v>
      </c>
      <c r="G104" s="29">
        <v>0</v>
      </c>
      <c r="H104" s="16">
        <v>0</v>
      </c>
      <c r="I104" s="16">
        <f t="shared" si="13"/>
        <v>-0.374175417924832</v>
      </c>
      <c r="J104" s="17">
        <f t="shared" si="14"/>
        <v>1.0719351272642213E-2</v>
      </c>
      <c r="K104" s="19">
        <f t="shared" si="15"/>
        <v>-2.3580596723716154E-3</v>
      </c>
      <c r="L104" s="18">
        <f t="shared" si="16"/>
        <v>1481.3807945913109</v>
      </c>
      <c r="M104" s="31"/>
      <c r="N104" s="35"/>
      <c r="O104" s="37"/>
      <c r="P104" s="36"/>
      <c r="Q104" s="36"/>
      <c r="R104" s="36"/>
      <c r="S104" s="36"/>
      <c r="T104" s="36">
        <f t="shared" si="17"/>
        <v>80</v>
      </c>
      <c r="U104" s="53">
        <v>41163</v>
      </c>
      <c r="V104">
        <v>1433.56</v>
      </c>
      <c r="W104" s="58"/>
      <c r="X104" s="39"/>
      <c r="Y104" s="39"/>
      <c r="Z104" s="43"/>
      <c r="AA104" s="43"/>
      <c r="AB104" s="43"/>
      <c r="AC104" s="43"/>
      <c r="AD104" s="43"/>
    </row>
    <row r="105" spans="1:30" x14ac:dyDescent="0.2">
      <c r="A105" s="11">
        <f t="shared" si="11"/>
        <v>102</v>
      </c>
      <c r="B105" s="15">
        <f t="shared" si="12"/>
        <v>0.40476190476190377</v>
      </c>
      <c r="C105" s="17">
        <v>4.9668746892205214E-3</v>
      </c>
      <c r="D105" s="17">
        <v>1.8803258169889116E-2</v>
      </c>
      <c r="E105" s="16">
        <v>1.0833181958236597</v>
      </c>
      <c r="F105" s="16">
        <v>0.7201880807268336</v>
      </c>
      <c r="G105" s="29">
        <v>0</v>
      </c>
      <c r="H105" s="16">
        <v>0</v>
      </c>
      <c r="I105" s="16">
        <f t="shared" si="13"/>
        <v>-0.17543208322882353</v>
      </c>
      <c r="J105" s="17">
        <f t="shared" si="14"/>
        <v>1.692274493798936E-2</v>
      </c>
      <c r="K105" s="19">
        <f t="shared" si="15"/>
        <v>-1.1213270894055933E-3</v>
      </c>
      <c r="L105" s="18">
        <f t="shared" si="16"/>
        <v>1479.7206131537757</v>
      </c>
      <c r="M105" s="31"/>
      <c r="N105" s="35"/>
      <c r="O105" s="37"/>
      <c r="P105" s="36"/>
      <c r="Q105" s="36"/>
      <c r="R105" s="36"/>
      <c r="S105" s="36"/>
      <c r="T105" s="36">
        <f t="shared" si="17"/>
        <v>81</v>
      </c>
      <c r="U105" s="53">
        <v>41164</v>
      </c>
      <c r="V105">
        <v>1436.56</v>
      </c>
      <c r="W105" s="58"/>
      <c r="X105" s="39"/>
      <c r="Y105" s="39"/>
      <c r="Z105" s="43"/>
      <c r="AA105" s="43"/>
      <c r="AB105" s="43"/>
      <c r="AC105" s="43"/>
      <c r="AD105" s="43"/>
    </row>
    <row r="106" spans="1:30" x14ac:dyDescent="0.2">
      <c r="A106" s="11">
        <f t="shared" si="11"/>
        <v>103</v>
      </c>
      <c r="B106" s="15">
        <f t="shared" si="12"/>
        <v>0.40873015873015772</v>
      </c>
      <c r="C106" s="17">
        <v>4.9668746892205214E-3</v>
      </c>
      <c r="D106" s="17">
        <v>1.8803258169889116E-2</v>
      </c>
      <c r="E106" s="16">
        <v>-0.52742122706472838</v>
      </c>
      <c r="F106" s="16">
        <v>1.4625351384219041</v>
      </c>
      <c r="G106" s="29">
        <v>0</v>
      </c>
      <c r="H106" s="16">
        <v>0</v>
      </c>
      <c r="I106" s="16">
        <f t="shared" si="13"/>
        <v>1.4461896112010468</v>
      </c>
      <c r="J106" s="17">
        <f t="shared" si="14"/>
        <v>1.2880990514837362E-2</v>
      </c>
      <c r="K106" s="19">
        <f t="shared" si="15"/>
        <v>1.1861687658741963E-2</v>
      </c>
      <c r="L106" s="18">
        <f t="shared" si="16"/>
        <v>1497.3771077800345</v>
      </c>
      <c r="M106" s="31"/>
      <c r="N106" s="35"/>
      <c r="O106" s="37"/>
      <c r="P106" s="36"/>
      <c r="Q106" s="36"/>
      <c r="R106" s="36"/>
      <c r="S106" s="36"/>
      <c r="T106" s="36">
        <f t="shared" si="17"/>
        <v>82</v>
      </c>
      <c r="U106" s="53">
        <v>41165</v>
      </c>
      <c r="V106">
        <v>1459.99</v>
      </c>
      <c r="W106" s="58"/>
      <c r="X106" s="39"/>
      <c r="Y106" s="39"/>
      <c r="Z106" s="43"/>
      <c r="AA106" s="43"/>
      <c r="AB106" s="43"/>
      <c r="AC106" s="43"/>
      <c r="AD106" s="43"/>
    </row>
    <row r="107" spans="1:30" x14ac:dyDescent="0.2">
      <c r="A107" s="11">
        <f t="shared" si="11"/>
        <v>104</v>
      </c>
      <c r="B107" s="15">
        <f t="shared" si="12"/>
        <v>0.41269841269841168</v>
      </c>
      <c r="C107" s="17">
        <v>4.9668746892205214E-3</v>
      </c>
      <c r="D107" s="17">
        <v>1.8803258169889116E-2</v>
      </c>
      <c r="E107" s="16">
        <v>0.23762164806175029</v>
      </c>
      <c r="F107" s="16">
        <v>0.92630865789894223</v>
      </c>
      <c r="G107" s="29">
        <v>0</v>
      </c>
      <c r="H107" s="16">
        <v>0</v>
      </c>
      <c r="I107" s="16">
        <f t="shared" si="13"/>
        <v>0.53815736580096152</v>
      </c>
      <c r="J107" s="17">
        <f t="shared" si="14"/>
        <v>1.3769633653815134E-2</v>
      </c>
      <c r="K107" s="19">
        <f t="shared" si="15"/>
        <v>3.8661048611354858E-3</v>
      </c>
      <c r="L107" s="18">
        <f t="shared" si="16"/>
        <v>1503.177329603725</v>
      </c>
      <c r="M107" s="31"/>
      <c r="N107" s="35"/>
      <c r="O107" s="37"/>
      <c r="P107" s="36"/>
      <c r="Q107" s="36"/>
      <c r="R107" s="36"/>
      <c r="S107" s="36"/>
      <c r="T107" s="36">
        <f t="shared" si="17"/>
        <v>83</v>
      </c>
      <c r="U107" s="53">
        <v>41166</v>
      </c>
      <c r="V107">
        <v>1465.77</v>
      </c>
      <c r="W107" s="58"/>
      <c r="X107" s="39"/>
      <c r="Y107" s="39"/>
      <c r="Z107" s="43"/>
      <c r="AA107" s="43"/>
      <c r="AB107" s="43"/>
      <c r="AC107" s="43"/>
      <c r="AD107" s="43"/>
    </row>
    <row r="108" spans="1:30" x14ac:dyDescent="0.2">
      <c r="A108" s="11">
        <f t="shared" si="11"/>
        <v>105</v>
      </c>
      <c r="B108" s="15">
        <f t="shared" si="12"/>
        <v>0.41666666666666563</v>
      </c>
      <c r="C108" s="17">
        <v>4.9668746892205214E-3</v>
      </c>
      <c r="D108" s="17">
        <v>1.8803258169889116E-2</v>
      </c>
      <c r="E108" s="16">
        <v>0.82536788872850564</v>
      </c>
      <c r="F108" s="16">
        <v>-0.35535515970507481</v>
      </c>
      <c r="G108" s="29">
        <v>0</v>
      </c>
      <c r="H108" s="16">
        <v>0</v>
      </c>
      <c r="I108" s="16">
        <f t="shared" si="13"/>
        <v>-0.81215537061876208</v>
      </c>
      <c r="J108" s="17">
        <f t="shared" si="14"/>
        <v>1.8803016109814809E-2</v>
      </c>
      <c r="K108" s="19">
        <f t="shared" si="15"/>
        <v>-5.9866409777913458E-3</v>
      </c>
      <c r="L108" s="18">
        <f t="shared" si="16"/>
        <v>1494.2052297722448</v>
      </c>
      <c r="M108" s="31"/>
      <c r="N108" s="35"/>
      <c r="O108" s="37"/>
      <c r="P108" s="36"/>
      <c r="Q108" s="36"/>
      <c r="R108" s="36"/>
      <c r="S108" s="36"/>
      <c r="T108" s="36">
        <f t="shared" si="17"/>
        <v>84</v>
      </c>
      <c r="U108" s="53">
        <v>41169</v>
      </c>
      <c r="V108">
        <v>1461.19</v>
      </c>
      <c r="W108" s="58"/>
      <c r="X108" s="39"/>
      <c r="Y108" s="39"/>
      <c r="Z108" s="43"/>
      <c r="AA108" s="43"/>
      <c r="AB108" s="43"/>
      <c r="AC108" s="43"/>
      <c r="AD108" s="43"/>
    </row>
    <row r="109" spans="1:30" x14ac:dyDescent="0.2">
      <c r="A109" s="11">
        <f t="shared" si="11"/>
        <v>106</v>
      </c>
      <c r="B109" s="15">
        <f t="shared" si="12"/>
        <v>0.42063492063491958</v>
      </c>
      <c r="C109" s="17">
        <v>4.9668746892205214E-3</v>
      </c>
      <c r="D109" s="17">
        <v>1.8803258169889116E-2</v>
      </c>
      <c r="E109" s="16">
        <v>-0.86838505644619035</v>
      </c>
      <c r="F109" s="16">
        <v>0.63794661874080438</v>
      </c>
      <c r="G109" s="29">
        <v>0</v>
      </c>
      <c r="H109" s="16">
        <v>0</v>
      </c>
      <c r="I109" s="16">
        <f t="shared" si="13"/>
        <v>1.0526690049232097</v>
      </c>
      <c r="J109" s="17">
        <f t="shared" si="14"/>
        <v>1.2411563803650967E-2</v>
      </c>
      <c r="K109" s="19">
        <f t="shared" si="15"/>
        <v>9.0997712498913867E-3</v>
      </c>
      <c r="L109" s="18">
        <f t="shared" si="16"/>
        <v>1507.8642080992411</v>
      </c>
      <c r="M109" s="31"/>
      <c r="N109" s="35"/>
      <c r="O109" s="37"/>
      <c r="P109" s="36"/>
      <c r="Q109" s="36"/>
      <c r="R109" s="36"/>
      <c r="S109" s="36"/>
      <c r="T109" s="36">
        <f t="shared" si="17"/>
        <v>85</v>
      </c>
      <c r="U109" s="53">
        <v>41170</v>
      </c>
      <c r="V109">
        <v>1459.32</v>
      </c>
      <c r="W109" s="58"/>
      <c r="X109" s="39"/>
      <c r="Y109" s="39"/>
      <c r="Z109" s="43"/>
      <c r="AA109" s="43"/>
      <c r="AB109" s="43"/>
      <c r="AC109" s="43"/>
      <c r="AD109" s="43"/>
    </row>
    <row r="110" spans="1:30" x14ac:dyDescent="0.2">
      <c r="A110" s="11">
        <f t="shared" si="11"/>
        <v>107</v>
      </c>
      <c r="B110" s="15">
        <f t="shared" si="12"/>
        <v>0.42460317460317354</v>
      </c>
      <c r="C110" s="17">
        <v>4.9668746892205214E-3</v>
      </c>
      <c r="D110" s="17">
        <v>1.8803258169889116E-2</v>
      </c>
      <c r="E110" s="16">
        <v>-0.11445497777477401</v>
      </c>
      <c r="F110" s="16">
        <v>-2.3420057959488423</v>
      </c>
      <c r="G110" s="29">
        <v>0</v>
      </c>
      <c r="H110" s="16">
        <v>0</v>
      </c>
      <c r="I110" s="16">
        <f t="shared" si="13"/>
        <v>-1.6820351133560851</v>
      </c>
      <c r="J110" s="17">
        <f t="shared" si="14"/>
        <v>1.1163751400076643E-2</v>
      </c>
      <c r="K110" s="19">
        <f t="shared" si="15"/>
        <v>-1.1785020249374027E-2</v>
      </c>
      <c r="L110" s="18">
        <f t="shared" si="16"/>
        <v>1490.1982988852401</v>
      </c>
      <c r="M110" s="31"/>
      <c r="N110" s="35"/>
      <c r="O110" s="37"/>
      <c r="P110" s="36"/>
      <c r="Q110" s="36"/>
      <c r="R110" s="36"/>
      <c r="S110" s="36"/>
      <c r="T110" s="36">
        <f t="shared" si="17"/>
        <v>86</v>
      </c>
      <c r="U110" s="53">
        <v>41171</v>
      </c>
      <c r="V110">
        <v>1461.05</v>
      </c>
      <c r="W110" s="58"/>
      <c r="X110" s="39"/>
      <c r="Y110" s="39"/>
      <c r="Z110" s="43"/>
      <c r="AA110" s="43"/>
      <c r="AB110" s="43"/>
      <c r="AC110" s="43"/>
      <c r="AD110" s="43"/>
    </row>
    <row r="111" spans="1:30" x14ac:dyDescent="0.2">
      <c r="A111" s="11">
        <f t="shared" si="11"/>
        <v>108</v>
      </c>
      <c r="B111" s="15">
        <f t="shared" si="12"/>
        <v>0.42857142857142749</v>
      </c>
      <c r="C111" s="17">
        <v>4.3038789552882371E-3</v>
      </c>
      <c r="D111" s="17">
        <v>2.0950313006112661E-2</v>
      </c>
      <c r="E111" s="16">
        <v>-2.0440739195290574</v>
      </c>
      <c r="F111" s="16">
        <v>1.3993939360905625</v>
      </c>
      <c r="G111" s="29">
        <v>0</v>
      </c>
      <c r="H111" s="16">
        <v>0</v>
      </c>
      <c r="I111" s="16">
        <f t="shared" si="13"/>
        <v>2.4011133182916811</v>
      </c>
      <c r="J111" s="17">
        <f t="shared" si="14"/>
        <v>2.0688207809650221E-3</v>
      </c>
      <c r="K111" s="19">
        <f t="shared" si="15"/>
        <v>1.5992313872865985E-2</v>
      </c>
      <c r="L111" s="81">
        <f t="shared" si="16"/>
        <v>1514.2215998962045</v>
      </c>
      <c r="M111" s="31"/>
      <c r="N111" s="35"/>
      <c r="O111" s="37"/>
      <c r="P111" s="36"/>
      <c r="Q111" s="36"/>
      <c r="R111" s="36"/>
      <c r="S111" s="36"/>
      <c r="T111" s="36">
        <f t="shared" si="17"/>
        <v>87</v>
      </c>
      <c r="U111" s="53">
        <v>41172</v>
      </c>
      <c r="V111">
        <v>1460.26</v>
      </c>
      <c r="W111" s="58"/>
      <c r="X111" s="39"/>
      <c r="Y111" s="39"/>
      <c r="Z111" s="43"/>
      <c r="AA111" s="43"/>
      <c r="AB111" s="43"/>
      <c r="AC111" s="43"/>
      <c r="AD111" s="43"/>
    </row>
    <row r="112" spans="1:30" x14ac:dyDescent="0.2">
      <c r="A112" s="11">
        <f t="shared" si="11"/>
        <v>109</v>
      </c>
      <c r="B112" s="15">
        <f t="shared" si="12"/>
        <v>0.43253968253968145</v>
      </c>
      <c r="C112" s="17">
        <v>4.3038789552882371E-3</v>
      </c>
      <c r="D112" s="17">
        <v>2.0950313006112661E-2</v>
      </c>
      <c r="E112" s="16">
        <v>0.64748955974772748</v>
      </c>
      <c r="F112" s="16">
        <v>2.0045033394781298</v>
      </c>
      <c r="G112" s="29">
        <v>0</v>
      </c>
      <c r="H112" s="16">
        <v>0</v>
      </c>
      <c r="I112" s="16">
        <f t="shared" si="13"/>
        <v>1.076472681298106</v>
      </c>
      <c r="J112" s="17">
        <f t="shared" si="14"/>
        <v>3.3839697601954289E-3</v>
      </c>
      <c r="K112" s="19">
        <f t="shared" si="15"/>
        <v>3.1132158248730712E-3</v>
      </c>
      <c r="L112" s="18">
        <f t="shared" si="16"/>
        <v>1518.9430441674799</v>
      </c>
      <c r="M112" s="31"/>
      <c r="N112" s="35"/>
      <c r="O112" s="37"/>
      <c r="P112" s="36"/>
      <c r="Q112" s="36"/>
      <c r="R112" s="36"/>
      <c r="S112" s="36"/>
      <c r="T112" s="36">
        <f t="shared" si="17"/>
        <v>88</v>
      </c>
      <c r="U112" s="53">
        <v>41173</v>
      </c>
      <c r="V112">
        <v>1460.15</v>
      </c>
      <c r="W112" s="58"/>
      <c r="X112" s="39"/>
      <c r="Y112" s="39"/>
      <c r="Z112" s="43"/>
      <c r="AA112" s="43"/>
      <c r="AB112" s="43"/>
      <c r="AC112" s="43"/>
      <c r="AD112" s="43"/>
    </row>
    <row r="113" spans="1:30" x14ac:dyDescent="0.2">
      <c r="A113" s="11">
        <f t="shared" si="11"/>
        <v>110</v>
      </c>
      <c r="B113" s="15">
        <f t="shared" si="12"/>
        <v>0.4365079365079354</v>
      </c>
      <c r="C113" s="17">
        <v>4.3038789552882371E-3</v>
      </c>
      <c r="D113" s="17">
        <v>2.0950313006112661E-2</v>
      </c>
      <c r="E113" s="16">
        <v>0.73704089767652159</v>
      </c>
      <c r="F113" s="16">
        <v>0.80605324354245811</v>
      </c>
      <c r="G113" s="29">
        <v>0</v>
      </c>
      <c r="H113" s="16">
        <v>0</v>
      </c>
      <c r="I113" s="16">
        <f t="shared" si="13"/>
        <v>0.11785419515977158</v>
      </c>
      <c r="J113" s="17">
        <f t="shared" si="14"/>
        <v>5.4939351688528997E-3</v>
      </c>
      <c r="K113" s="19">
        <f t="shared" si="15"/>
        <v>4.5812763507765487E-4</v>
      </c>
      <c r="L113" s="18">
        <f t="shared" si="16"/>
        <v>1519.6390733750559</v>
      </c>
      <c r="M113" s="31"/>
      <c r="N113" s="35"/>
      <c r="O113" s="37"/>
      <c r="P113" s="36"/>
      <c r="Q113" s="36"/>
      <c r="R113" s="36"/>
      <c r="S113" s="36"/>
      <c r="T113" s="36">
        <f t="shared" si="17"/>
        <v>89</v>
      </c>
      <c r="U113" s="53">
        <v>41176</v>
      </c>
      <c r="V113">
        <v>1456.89</v>
      </c>
      <c r="W113" s="58"/>
      <c r="X113" s="39"/>
      <c r="Y113" s="39"/>
      <c r="Z113" s="43"/>
      <c r="AA113" s="43"/>
      <c r="AB113" s="43"/>
      <c r="AC113" s="43"/>
      <c r="AD113" s="43"/>
    </row>
    <row r="114" spans="1:30" x14ac:dyDescent="0.2">
      <c r="A114" s="11">
        <f t="shared" si="11"/>
        <v>111</v>
      </c>
      <c r="B114" s="15">
        <f t="shared" si="12"/>
        <v>0.44047619047618936</v>
      </c>
      <c r="C114" s="17">
        <v>4.3038789552882371E-3</v>
      </c>
      <c r="D114" s="17">
        <v>2.0950313006112661E-2</v>
      </c>
      <c r="E114" s="16">
        <v>0.52321370076172635</v>
      </c>
      <c r="F114" s="16">
        <v>0.34378442993381597</v>
      </c>
      <c r="G114" s="29">
        <v>0</v>
      </c>
      <c r="H114" s="16">
        <v>0</v>
      </c>
      <c r="I114" s="16">
        <f t="shared" si="13"/>
        <v>-8.7766381467379362E-2</v>
      </c>
      <c r="J114" s="17">
        <f t="shared" si="14"/>
        <v>7.1892808504077366E-3</v>
      </c>
      <c r="K114" s="19">
        <f t="shared" si="15"/>
        <v>-3.8773161410563813E-4</v>
      </c>
      <c r="L114" s="18">
        <f t="shared" si="16"/>
        <v>1519.0499754775976</v>
      </c>
      <c r="M114" s="31"/>
      <c r="N114" s="35"/>
      <c r="O114" s="37"/>
      <c r="P114" s="36"/>
      <c r="Q114" s="36"/>
      <c r="R114" s="36"/>
      <c r="S114" s="36"/>
      <c r="T114" s="36">
        <f t="shared" si="17"/>
        <v>90</v>
      </c>
      <c r="U114" s="53">
        <v>41177</v>
      </c>
      <c r="V114">
        <v>1441.59</v>
      </c>
      <c r="W114" s="58"/>
      <c r="X114" s="39"/>
      <c r="Y114" s="39"/>
      <c r="Z114" s="43"/>
      <c r="AA114" s="43"/>
      <c r="AB114" s="43"/>
      <c r="AC114" s="43"/>
      <c r="AD114" s="43"/>
    </row>
    <row r="115" spans="1:30" x14ac:dyDescent="0.2">
      <c r="A115" s="11">
        <f t="shared" si="11"/>
        <v>112</v>
      </c>
      <c r="B115" s="15">
        <f t="shared" si="12"/>
        <v>0.44444444444444331</v>
      </c>
      <c r="C115" s="17">
        <v>4.3038789552882371E-3</v>
      </c>
      <c r="D115" s="17">
        <v>2.0950313006112661E-2</v>
      </c>
      <c r="E115" s="16">
        <v>1.7454386840927536</v>
      </c>
      <c r="F115" s="16">
        <v>-0.55218357422941089</v>
      </c>
      <c r="G115" s="29">
        <v>0</v>
      </c>
      <c r="H115" s="16">
        <v>0</v>
      </c>
      <c r="I115" s="16">
        <f t="shared" si="13"/>
        <v>-1.5679228062555204</v>
      </c>
      <c r="J115" s="17">
        <f t="shared" si="14"/>
        <v>1.6625444309780309E-2</v>
      </c>
      <c r="K115" s="19">
        <f t="shared" si="15"/>
        <v>-8.3559565189119025E-3</v>
      </c>
      <c r="L115" s="18">
        <f t="shared" si="16"/>
        <v>1506.4097440914888</v>
      </c>
      <c r="M115" s="31"/>
      <c r="N115" s="35"/>
      <c r="O115" s="37"/>
      <c r="P115" s="36"/>
      <c r="Q115" s="36"/>
      <c r="R115" s="36"/>
      <c r="S115" s="36"/>
      <c r="T115" s="36">
        <f t="shared" si="17"/>
        <v>91</v>
      </c>
      <c r="U115" s="53">
        <v>41178</v>
      </c>
      <c r="V115">
        <v>1433.32</v>
      </c>
      <c r="W115" s="58"/>
      <c r="X115" s="39"/>
      <c r="Y115" s="39"/>
      <c r="Z115" s="43"/>
      <c r="AA115" s="43"/>
      <c r="AB115" s="43"/>
      <c r="AC115" s="43"/>
      <c r="AD115" s="43"/>
    </row>
    <row r="116" spans="1:30" x14ac:dyDescent="0.2">
      <c r="A116" s="11">
        <f t="shared" si="11"/>
        <v>113</v>
      </c>
      <c r="B116" s="15">
        <f t="shared" si="12"/>
        <v>0.44841269841269726</v>
      </c>
      <c r="C116" s="17">
        <v>4.3038789552882371E-3</v>
      </c>
      <c r="D116" s="17">
        <v>2.0950313006112661E-2</v>
      </c>
      <c r="E116" s="16">
        <v>-0.12375406844361135</v>
      </c>
      <c r="F116" s="16">
        <v>-1.1959616965957789</v>
      </c>
      <c r="G116" s="29">
        <v>0</v>
      </c>
      <c r="H116" s="16">
        <v>0</v>
      </c>
      <c r="I116" s="16">
        <f t="shared" si="13"/>
        <v>-0.81578367138706209</v>
      </c>
      <c r="J116" s="17">
        <f t="shared" si="14"/>
        <v>1.5193714111056413E-2</v>
      </c>
      <c r="K116" s="19">
        <f t="shared" si="15"/>
        <v>-6.626171684039733E-3</v>
      </c>
      <c r="L116" s="18">
        <f t="shared" si="16"/>
        <v>1496.4610119052322</v>
      </c>
      <c r="M116" s="31"/>
      <c r="N116" s="35"/>
      <c r="O116" s="37"/>
      <c r="P116" s="36"/>
      <c r="Q116" s="36"/>
      <c r="R116" s="36"/>
      <c r="S116" s="36"/>
      <c r="T116" s="36">
        <f t="shared" si="17"/>
        <v>92</v>
      </c>
      <c r="U116" s="53">
        <v>41179</v>
      </c>
      <c r="V116">
        <v>1447.15</v>
      </c>
      <c r="W116" s="58"/>
      <c r="X116" s="39"/>
      <c r="Y116" s="39"/>
      <c r="Z116" s="43"/>
      <c r="AA116" s="43"/>
      <c r="AB116" s="43"/>
      <c r="AC116" s="43"/>
      <c r="AD116" s="43"/>
    </row>
    <row r="117" spans="1:30" x14ac:dyDescent="0.2">
      <c r="A117" s="11">
        <f t="shared" si="11"/>
        <v>114</v>
      </c>
      <c r="B117" s="15">
        <f t="shared" si="12"/>
        <v>0.45238095238095122</v>
      </c>
      <c r="C117" s="17">
        <v>4.3038789552882371E-3</v>
      </c>
      <c r="D117" s="17">
        <v>2.0950313006112661E-2</v>
      </c>
      <c r="E117" s="16">
        <v>-0.15375599307946419</v>
      </c>
      <c r="F117" s="16">
        <v>-0.31528912914542429</v>
      </c>
      <c r="G117" s="29">
        <v>0</v>
      </c>
      <c r="H117" s="16">
        <v>0</v>
      </c>
      <c r="I117" s="16">
        <f t="shared" si="13"/>
        <v>-0.13501163507592545</v>
      </c>
      <c r="J117" s="17">
        <f t="shared" si="14"/>
        <v>1.3614114346709715E-2</v>
      </c>
      <c r="K117" s="19">
        <f t="shared" si="15"/>
        <v>-1.0455211434906126E-3</v>
      </c>
      <c r="L117" s="18">
        <f t="shared" si="16"/>
        <v>1494.8972478934925</v>
      </c>
      <c r="M117" s="31"/>
      <c r="N117" s="35"/>
      <c r="O117" s="37"/>
      <c r="P117" s="36"/>
      <c r="Q117" s="36"/>
      <c r="R117" s="36"/>
      <c r="S117" s="36"/>
      <c r="T117" s="36">
        <f t="shared" si="17"/>
        <v>93</v>
      </c>
      <c r="U117" s="53">
        <v>41180</v>
      </c>
      <c r="V117">
        <v>1440.67</v>
      </c>
      <c r="W117" s="58"/>
      <c r="X117" s="39"/>
      <c r="Y117" s="39"/>
      <c r="Z117" s="43"/>
      <c r="AA117" s="43"/>
      <c r="AB117" s="43"/>
      <c r="AC117" s="43"/>
      <c r="AD117" s="43"/>
    </row>
    <row r="118" spans="1:30" x14ac:dyDescent="0.2">
      <c r="A118" s="11">
        <f t="shared" si="11"/>
        <v>115</v>
      </c>
      <c r="B118" s="15">
        <f t="shared" si="12"/>
        <v>0.45634920634920517</v>
      </c>
      <c r="C118" s="17">
        <v>4.3038789552882371E-3</v>
      </c>
      <c r="D118" s="17">
        <v>2.0950313006112661E-2</v>
      </c>
      <c r="E118" s="16">
        <v>0.50879711532172545</v>
      </c>
      <c r="F118" s="16">
        <v>0.92474492450273216</v>
      </c>
      <c r="G118" s="29">
        <v>0</v>
      </c>
      <c r="H118" s="16">
        <v>0</v>
      </c>
      <c r="I118" s="16">
        <f t="shared" si="13"/>
        <v>0.35777189099944107</v>
      </c>
      <c r="J118" s="17">
        <f t="shared" si="14"/>
        <v>1.63616606680437E-2</v>
      </c>
      <c r="K118" s="19">
        <f t="shared" si="15"/>
        <v>2.6356210944998041E-3</v>
      </c>
      <c r="L118" s="18">
        <f t="shared" si="16"/>
        <v>1498.8424273294565</v>
      </c>
      <c r="M118" s="31"/>
      <c r="N118" s="35"/>
      <c r="O118" s="37"/>
      <c r="P118" s="36"/>
      <c r="Q118" s="36"/>
      <c r="R118" s="36"/>
      <c r="S118" s="36"/>
      <c r="T118" s="36">
        <f t="shared" si="17"/>
        <v>94</v>
      </c>
      <c r="U118" s="53">
        <v>41183</v>
      </c>
      <c r="V118">
        <v>1444.49</v>
      </c>
      <c r="W118" s="58"/>
      <c r="X118" s="39"/>
      <c r="Y118" s="39"/>
      <c r="Z118" s="43"/>
      <c r="AA118" s="43"/>
      <c r="AB118" s="43"/>
      <c r="AC118" s="43"/>
      <c r="AD118" s="43"/>
    </row>
    <row r="119" spans="1:30" x14ac:dyDescent="0.2">
      <c r="A119" s="11">
        <f t="shared" si="11"/>
        <v>116</v>
      </c>
      <c r="B119" s="15">
        <f t="shared" si="12"/>
        <v>0.46031746031745913</v>
      </c>
      <c r="C119" s="17">
        <v>4.3038789552882371E-3</v>
      </c>
      <c r="D119" s="17">
        <v>2.0950313006112661E-2</v>
      </c>
      <c r="E119" s="16">
        <v>1.1941318275146393</v>
      </c>
      <c r="F119" s="16">
        <v>4.6802440585812392E-2</v>
      </c>
      <c r="G119" s="29">
        <v>0</v>
      </c>
      <c r="H119" s="16">
        <v>0</v>
      </c>
      <c r="I119" s="16">
        <f t="shared" si="13"/>
        <v>-0.75404138889332883</v>
      </c>
      <c r="J119" s="17">
        <f t="shared" si="14"/>
        <v>2.4875617873628547E-2</v>
      </c>
      <c r="K119" s="19">
        <f t="shared" si="15"/>
        <v>-6.0753685455247775E-3</v>
      </c>
      <c r="L119" s="18">
        <f t="shared" si="16"/>
        <v>1489.7640124735422</v>
      </c>
      <c r="M119" s="31"/>
      <c r="N119" s="35"/>
      <c r="O119" s="37"/>
      <c r="P119" s="36"/>
      <c r="Q119" s="36"/>
      <c r="R119" s="36"/>
      <c r="S119" s="36"/>
      <c r="T119" s="36">
        <f t="shared" si="17"/>
        <v>95</v>
      </c>
      <c r="U119" s="53">
        <v>41184</v>
      </c>
      <c r="V119">
        <v>1445.75</v>
      </c>
      <c r="W119" s="58"/>
      <c r="X119" s="39"/>
      <c r="Y119" s="39"/>
      <c r="Z119" s="43"/>
      <c r="AA119" s="43"/>
      <c r="AB119" s="43"/>
      <c r="AC119" s="43"/>
      <c r="AD119" s="43"/>
    </row>
    <row r="120" spans="1:30" x14ac:dyDescent="0.2">
      <c r="A120" s="11">
        <f t="shared" si="11"/>
        <v>117</v>
      </c>
      <c r="B120" s="15">
        <f t="shared" si="12"/>
        <v>0.46428571428571308</v>
      </c>
      <c r="C120" s="17">
        <v>4.3038789552882371E-3</v>
      </c>
      <c r="D120" s="17">
        <v>2.0950313006112661E-2</v>
      </c>
      <c r="E120" s="16">
        <v>-0.8105481749598723</v>
      </c>
      <c r="F120" s="16">
        <v>1.4103683903592967</v>
      </c>
      <c r="G120" s="29">
        <v>0</v>
      </c>
      <c r="H120" s="16">
        <v>0</v>
      </c>
      <c r="I120" s="16">
        <f t="shared" si="13"/>
        <v>1.5941487488588666</v>
      </c>
      <c r="J120" s="17">
        <f t="shared" si="14"/>
        <v>1.7928658441477258E-2</v>
      </c>
      <c r="K120" s="19">
        <f t="shared" si="15"/>
        <v>1.5822163836135522E-2</v>
      </c>
      <c r="L120" s="18">
        <f t="shared" si="16"/>
        <v>1513.5227645431535</v>
      </c>
      <c r="M120" s="31"/>
      <c r="N120" s="35"/>
      <c r="O120" s="37"/>
      <c r="P120" s="36"/>
      <c r="Q120" s="36"/>
      <c r="R120" s="36"/>
      <c r="S120" s="36"/>
      <c r="T120" s="36">
        <f t="shared" si="17"/>
        <v>96</v>
      </c>
      <c r="U120" s="53">
        <v>41185</v>
      </c>
      <c r="V120">
        <v>1450.99</v>
      </c>
      <c r="W120" s="58"/>
      <c r="X120" s="39"/>
      <c r="Y120" s="39"/>
      <c r="Z120" s="43"/>
      <c r="AA120" s="43"/>
      <c r="AB120" s="43"/>
      <c r="AC120" s="43"/>
      <c r="AD120" s="43"/>
    </row>
    <row r="121" spans="1:30" x14ac:dyDescent="0.2">
      <c r="A121" s="11">
        <f t="shared" si="11"/>
        <v>118</v>
      </c>
      <c r="B121" s="15">
        <f t="shared" si="12"/>
        <v>0.46825396825396703</v>
      </c>
      <c r="C121" s="17">
        <v>4.3038789552882371E-3</v>
      </c>
      <c r="D121" s="17">
        <v>2.0950313006112661E-2</v>
      </c>
      <c r="E121" s="16">
        <v>-0.52843866099023329</v>
      </c>
      <c r="F121" s="16">
        <v>-0.82597736205737948</v>
      </c>
      <c r="G121" s="29">
        <v>0</v>
      </c>
      <c r="H121" s="16">
        <v>0</v>
      </c>
      <c r="I121" s="16">
        <f t="shared" si="13"/>
        <v>-0.27066632830584092</v>
      </c>
      <c r="J121" s="17">
        <f t="shared" si="14"/>
        <v>1.3770119512752232E-2</v>
      </c>
      <c r="K121" s="19">
        <f t="shared" si="15"/>
        <v>-2.2856160549142206E-3</v>
      </c>
      <c r="L121" s="18">
        <f t="shared" si="16"/>
        <v>1510.0673829551065</v>
      </c>
      <c r="M121" s="31"/>
      <c r="N121" s="35"/>
      <c r="O121" s="37"/>
      <c r="P121" s="36"/>
      <c r="Q121" s="36"/>
      <c r="R121" s="36"/>
      <c r="S121" s="36"/>
      <c r="T121" s="36">
        <f t="shared" si="17"/>
        <v>97</v>
      </c>
      <c r="U121" s="53">
        <v>41186</v>
      </c>
      <c r="V121">
        <v>1461.4</v>
      </c>
      <c r="W121" s="58"/>
      <c r="X121" s="39"/>
      <c r="Y121" s="39"/>
      <c r="Z121" s="43"/>
      <c r="AA121" s="43"/>
      <c r="AB121" s="43"/>
      <c r="AC121" s="43"/>
      <c r="AD121" s="43"/>
    </row>
    <row r="122" spans="1:30" x14ac:dyDescent="0.2">
      <c r="A122" s="11">
        <f t="shared" si="11"/>
        <v>119</v>
      </c>
      <c r="B122" s="15">
        <f t="shared" si="12"/>
        <v>0.47222222222222099</v>
      </c>
      <c r="C122" s="17">
        <v>4.3038789552882371E-3</v>
      </c>
      <c r="D122" s="17">
        <v>2.0950313006112661E-2</v>
      </c>
      <c r="E122" s="16">
        <v>-0.38669373603095597</v>
      </c>
      <c r="F122" s="16">
        <v>1.0068067150947193</v>
      </c>
      <c r="G122" s="29">
        <v>0</v>
      </c>
      <c r="H122" s="16">
        <v>0</v>
      </c>
      <c r="I122" s="16">
        <f t="shared" si="13"/>
        <v>1.0111628281294907</v>
      </c>
      <c r="J122" s="17">
        <f t="shared" si="14"/>
        <v>1.0882166895276442E-2</v>
      </c>
      <c r="K122" s="19">
        <f t="shared" si="15"/>
        <v>7.4802749145571881E-3</v>
      </c>
      <c r="L122" s="18">
        <f t="shared" si="16"/>
        <v>1521.4054551998358</v>
      </c>
      <c r="M122" s="31"/>
      <c r="N122" s="35"/>
      <c r="O122" s="37"/>
      <c r="P122" s="36"/>
      <c r="Q122" s="36"/>
      <c r="R122" s="36"/>
      <c r="S122" s="36"/>
      <c r="T122" s="36">
        <f t="shared" si="17"/>
        <v>98</v>
      </c>
      <c r="U122" s="53">
        <v>41187</v>
      </c>
      <c r="V122">
        <v>1460.93</v>
      </c>
      <c r="W122" s="58"/>
      <c r="X122" s="39"/>
      <c r="Y122" s="39"/>
      <c r="Z122" s="43"/>
      <c r="AA122" s="43"/>
      <c r="AB122" s="43"/>
      <c r="AC122" s="43"/>
      <c r="AD122" s="43"/>
    </row>
    <row r="123" spans="1:30" x14ac:dyDescent="0.2">
      <c r="A123" s="11">
        <f t="shared" si="11"/>
        <v>120</v>
      </c>
      <c r="B123" s="15">
        <f t="shared" si="12"/>
        <v>0.47619047619047494</v>
      </c>
      <c r="C123" s="17">
        <v>4.3038789552882371E-3</v>
      </c>
      <c r="D123" s="17">
        <v>2.0950313006112661E-2</v>
      </c>
      <c r="E123" s="16">
        <v>3.9746964562060644E-2</v>
      </c>
      <c r="F123" s="16">
        <v>-0.16126104519655152</v>
      </c>
      <c r="G123" s="29">
        <v>0</v>
      </c>
      <c r="H123" s="16">
        <v>0</v>
      </c>
      <c r="I123" s="16">
        <f t="shared" si="13"/>
        <v>-0.14729399350631173</v>
      </c>
      <c r="J123" s="17">
        <f t="shared" si="14"/>
        <v>1.0528448219253103E-2</v>
      </c>
      <c r="K123" s="19">
        <f t="shared" si="15"/>
        <v>-9.565513615520262E-4</v>
      </c>
      <c r="L123" s="18">
        <f t="shared" si="16"/>
        <v>1519.9508485540882</v>
      </c>
      <c r="M123" s="31"/>
      <c r="N123" s="35"/>
      <c r="O123" s="37"/>
      <c r="P123" s="36"/>
      <c r="Q123" s="36"/>
      <c r="R123" s="36"/>
      <c r="S123" s="36"/>
      <c r="T123" s="36">
        <f t="shared" si="17"/>
        <v>99</v>
      </c>
      <c r="U123" s="53">
        <v>41190</v>
      </c>
      <c r="V123">
        <v>1455.88</v>
      </c>
      <c r="W123" s="58"/>
      <c r="X123" s="39"/>
      <c r="Y123" s="39"/>
      <c r="Z123" s="43"/>
      <c r="AA123" s="43"/>
      <c r="AB123" s="43"/>
      <c r="AC123" s="43"/>
      <c r="AD123" s="43"/>
    </row>
    <row r="124" spans="1:30" x14ac:dyDescent="0.2">
      <c r="A124" s="11">
        <f t="shared" si="11"/>
        <v>121</v>
      </c>
      <c r="B124" s="15">
        <f t="shared" si="12"/>
        <v>0.4801587301587289</v>
      </c>
      <c r="C124" s="17">
        <v>4.3038789552882371E-3</v>
      </c>
      <c r="D124" s="17">
        <v>2.0950313006112661E-2</v>
      </c>
      <c r="E124" s="16">
        <v>0.12735796602977589</v>
      </c>
      <c r="F124" s="16">
        <v>0.79539977302482823</v>
      </c>
      <c r="G124" s="29">
        <v>0</v>
      </c>
      <c r="H124" s="16">
        <v>0</v>
      </c>
      <c r="I124" s="16">
        <f t="shared" si="13"/>
        <v>0.51278029029409034</v>
      </c>
      <c r="J124" s="17">
        <f t="shared" si="14"/>
        <v>1.0659733463800615E-2</v>
      </c>
      <c r="K124" s="19">
        <f t="shared" si="15"/>
        <v>3.3265405997915916E-3</v>
      </c>
      <c r="L124" s="18">
        <f t="shared" si="16"/>
        <v>1525.0154458854652</v>
      </c>
      <c r="M124" s="31"/>
      <c r="N124" s="35"/>
      <c r="O124" s="37"/>
      <c r="P124" s="36"/>
      <c r="Q124" s="36"/>
      <c r="R124" s="36"/>
      <c r="S124" s="36"/>
      <c r="T124" s="36">
        <f t="shared" si="17"/>
        <v>100</v>
      </c>
      <c r="U124" s="53">
        <v>41191</v>
      </c>
      <c r="V124">
        <v>1441.48</v>
      </c>
      <c r="W124" s="58"/>
      <c r="X124" s="39"/>
      <c r="Y124" s="39"/>
      <c r="Z124" s="43"/>
      <c r="AA124" s="43"/>
      <c r="AB124" s="43"/>
      <c r="AC124" s="43"/>
      <c r="AD124" s="43"/>
    </row>
    <row r="125" spans="1:30" x14ac:dyDescent="0.2">
      <c r="A125" s="11">
        <f t="shared" si="11"/>
        <v>122</v>
      </c>
      <c r="B125" s="15">
        <f t="shared" si="12"/>
        <v>0.48412698412698285</v>
      </c>
      <c r="C125" s="17">
        <v>4.3038789552882371E-3</v>
      </c>
      <c r="D125" s="17">
        <v>2.0950313006112661E-2</v>
      </c>
      <c r="E125" s="16">
        <v>0.51349279510714763</v>
      </c>
      <c r="F125" s="16">
        <v>-0.7344496486719555</v>
      </c>
      <c r="G125" s="29">
        <v>0</v>
      </c>
      <c r="H125" s="16">
        <v>0</v>
      </c>
      <c r="I125" s="16">
        <f t="shared" si="13"/>
        <v>-0.89055665541695261</v>
      </c>
      <c r="J125" s="17">
        <f t="shared" si="14"/>
        <v>1.3084481512070929E-2</v>
      </c>
      <c r="K125" s="19">
        <f t="shared" si="15"/>
        <v>-5.7802620772154463E-3</v>
      </c>
      <c r="L125" s="18">
        <f t="shared" si="16"/>
        <v>1516.2258843935667</v>
      </c>
      <c r="M125" s="31"/>
      <c r="N125" s="35"/>
      <c r="O125" s="37"/>
      <c r="P125" s="36"/>
      <c r="Q125" s="36"/>
      <c r="R125" s="36"/>
      <c r="S125" s="36"/>
      <c r="T125" s="36">
        <f t="shared" si="17"/>
        <v>101</v>
      </c>
      <c r="U125" s="53">
        <v>41192</v>
      </c>
      <c r="V125">
        <v>1432.56</v>
      </c>
      <c r="W125" s="58"/>
      <c r="X125" s="39"/>
      <c r="Y125" s="39"/>
      <c r="Z125" s="43"/>
      <c r="AA125" s="43"/>
      <c r="AB125" s="43"/>
      <c r="AC125" s="43"/>
      <c r="AD125" s="43"/>
    </row>
    <row r="126" spans="1:30" x14ac:dyDescent="0.2">
      <c r="A126" s="11">
        <f t="shared" si="11"/>
        <v>123</v>
      </c>
      <c r="B126" s="15">
        <f t="shared" si="12"/>
        <v>0.48809523809523681</v>
      </c>
      <c r="C126" s="17">
        <v>4.3038789552882371E-3</v>
      </c>
      <c r="D126" s="17">
        <v>2.0950313006112661E-2</v>
      </c>
      <c r="E126" s="16">
        <v>0.9328820692098897</v>
      </c>
      <c r="F126" s="16">
        <v>-0.78702555973965871</v>
      </c>
      <c r="G126" s="29">
        <v>0</v>
      </c>
      <c r="H126" s="16">
        <v>0</v>
      </c>
      <c r="I126" s="16">
        <f t="shared" si="13"/>
        <v>-1.2071769099704954</v>
      </c>
      <c r="J126" s="17">
        <f t="shared" si="14"/>
        <v>1.8776518095310221E-2</v>
      </c>
      <c r="K126" s="19">
        <f t="shared" si="15"/>
        <v>-8.6915853069902786E-3</v>
      </c>
      <c r="L126" s="18">
        <f t="shared" si="16"/>
        <v>1503.104582833105</v>
      </c>
      <c r="M126" s="31"/>
      <c r="N126" s="35"/>
      <c r="O126" s="37"/>
      <c r="P126" s="36"/>
      <c r="Q126" s="36"/>
      <c r="R126" s="36"/>
      <c r="S126" s="36"/>
      <c r="T126" s="36">
        <f t="shared" si="17"/>
        <v>102</v>
      </c>
      <c r="U126" s="53">
        <v>41193</v>
      </c>
      <c r="V126">
        <v>1432.84</v>
      </c>
      <c r="W126" s="58"/>
      <c r="X126" s="39"/>
      <c r="Y126" s="39"/>
      <c r="Z126" s="43"/>
      <c r="AA126" s="43"/>
      <c r="AB126" s="43"/>
      <c r="AC126" s="43"/>
      <c r="AD126" s="43"/>
    </row>
    <row r="127" spans="1:30" x14ac:dyDescent="0.2">
      <c r="A127" s="11">
        <f t="shared" si="11"/>
        <v>124</v>
      </c>
      <c r="B127" s="15">
        <f t="shared" si="12"/>
        <v>0.49206349206349076</v>
      </c>
      <c r="C127" s="17">
        <v>4.3038789552882371E-3</v>
      </c>
      <c r="D127" s="17">
        <v>2.0950313006112661E-2</v>
      </c>
      <c r="E127" s="16">
        <v>0.94785868754493097</v>
      </c>
      <c r="F127" s="16">
        <v>-1.1538527393528537</v>
      </c>
      <c r="G127" s="29">
        <v>0</v>
      </c>
      <c r="H127" s="16">
        <v>0</v>
      </c>
      <c r="I127" s="16">
        <f t="shared" si="13"/>
        <v>-1.4923782669017376</v>
      </c>
      <c r="J127" s="17">
        <f t="shared" si="14"/>
        <v>2.5697220762900801E-2</v>
      </c>
      <c r="K127" s="19">
        <f t="shared" si="15"/>
        <v>-1.2886373532620149E-2</v>
      </c>
      <c r="L127" s="18">
        <f t="shared" si="16"/>
        <v>1483.8592831006017</v>
      </c>
      <c r="M127" s="31"/>
      <c r="N127" s="35"/>
      <c r="O127" s="37"/>
      <c r="P127" s="36"/>
      <c r="Q127" s="36"/>
      <c r="R127" s="36"/>
      <c r="S127" s="36"/>
      <c r="T127" s="36">
        <f t="shared" si="17"/>
        <v>103</v>
      </c>
      <c r="U127" s="53">
        <v>41194</v>
      </c>
      <c r="V127">
        <v>1428.59</v>
      </c>
      <c r="W127" s="58"/>
      <c r="X127" s="39"/>
      <c r="Y127" s="39"/>
      <c r="Z127" s="43"/>
      <c r="AA127" s="43"/>
      <c r="AB127" s="43"/>
      <c r="AC127" s="43"/>
      <c r="AD127" s="43"/>
    </row>
    <row r="128" spans="1:30" x14ac:dyDescent="0.2">
      <c r="A128" s="11">
        <f t="shared" si="11"/>
        <v>125</v>
      </c>
      <c r="B128" s="15">
        <f t="shared" si="12"/>
        <v>0.49603174603174471</v>
      </c>
      <c r="C128" s="17">
        <v>4.3038789552882371E-3</v>
      </c>
      <c r="D128" s="17">
        <v>2.0950313006112661E-2</v>
      </c>
      <c r="E128" s="16">
        <v>-0.63876521079723714</v>
      </c>
      <c r="F128" s="16">
        <v>-0.36257306650809479</v>
      </c>
      <c r="G128" s="29">
        <v>0</v>
      </c>
      <c r="H128" s="16">
        <v>0</v>
      </c>
      <c r="I128" s="16">
        <f t="shared" si="13"/>
        <v>0.15003010766736607</v>
      </c>
      <c r="J128" s="17">
        <f t="shared" si="14"/>
        <v>1.9922108283167091E-2</v>
      </c>
      <c r="K128" s="19">
        <f t="shared" si="15"/>
        <v>1.4970103482607126E-3</v>
      </c>
      <c r="L128" s="18">
        <f t="shared" si="16"/>
        <v>1486.0822993267579</v>
      </c>
      <c r="M128" s="31"/>
      <c r="N128" s="35"/>
      <c r="O128" s="37"/>
      <c r="P128" s="36"/>
      <c r="Q128" s="36"/>
      <c r="R128" s="36"/>
      <c r="S128" s="36"/>
      <c r="T128" s="36">
        <f t="shared" si="17"/>
        <v>104</v>
      </c>
      <c r="U128" s="53">
        <v>41197</v>
      </c>
      <c r="V128">
        <v>1440.13</v>
      </c>
      <c r="W128" s="58"/>
      <c r="X128" s="39"/>
      <c r="Y128" s="39"/>
      <c r="Z128" s="43"/>
      <c r="AA128" s="43"/>
      <c r="AB128" s="43"/>
      <c r="AC128" s="43"/>
      <c r="AD128" s="43"/>
    </row>
    <row r="129" spans="1:30" x14ac:dyDescent="0.2">
      <c r="A129" s="11">
        <f t="shared" si="11"/>
        <v>126</v>
      </c>
      <c r="B129" s="15">
        <f t="shared" si="12"/>
        <v>0.49999999999999867</v>
      </c>
      <c r="C129" s="17">
        <v>4.3038789552882371E-3</v>
      </c>
      <c r="D129" s="17">
        <v>2.0950313006112661E-2</v>
      </c>
      <c r="E129" s="16">
        <v>-0.74097276277125113</v>
      </c>
      <c r="F129" s="16">
        <v>0.4236488113530662</v>
      </c>
      <c r="G129" s="29">
        <v>0</v>
      </c>
      <c r="H129" s="16">
        <v>0</v>
      </c>
      <c r="I129" s="16">
        <f t="shared" si="13"/>
        <v>0.80763548990709133</v>
      </c>
      <c r="J129" s="17">
        <f t="shared" si="14"/>
        <v>1.4151187190154979E-2</v>
      </c>
      <c r="K129" s="19">
        <f t="shared" si="15"/>
        <v>7.1744033024998309E-3</v>
      </c>
      <c r="L129" s="18">
        <f t="shared" si="16"/>
        <v>1496.7823905715416</v>
      </c>
      <c r="M129" s="31"/>
      <c r="N129" s="35"/>
      <c r="O129" s="37"/>
      <c r="P129" s="36"/>
      <c r="Q129" s="36"/>
      <c r="R129" s="36"/>
      <c r="S129" s="36"/>
      <c r="T129" s="36">
        <f t="shared" si="17"/>
        <v>105</v>
      </c>
      <c r="U129" s="53">
        <v>41198</v>
      </c>
      <c r="V129">
        <v>1454.92</v>
      </c>
      <c r="W129" s="58"/>
      <c r="X129" s="39"/>
      <c r="Y129" s="39"/>
      <c r="Z129" s="43"/>
      <c r="AA129" s="43"/>
      <c r="AB129" s="43"/>
      <c r="AC129" s="43"/>
      <c r="AD129" s="43"/>
    </row>
    <row r="130" spans="1:30" x14ac:dyDescent="0.2">
      <c r="A130" s="11">
        <f t="shared" si="11"/>
        <v>127</v>
      </c>
      <c r="B130" s="15">
        <f t="shared" si="12"/>
        <v>0.50396825396825262</v>
      </c>
      <c r="C130" s="17">
        <v>4.3038789552882371E-3</v>
      </c>
      <c r="D130" s="17">
        <v>2.0950313006112661E-2</v>
      </c>
      <c r="E130" s="16">
        <v>7.5051938385436695E-2</v>
      </c>
      <c r="F130" s="16">
        <v>0.55316213528214653</v>
      </c>
      <c r="G130" s="29">
        <v>0</v>
      </c>
      <c r="H130" s="16">
        <v>0</v>
      </c>
      <c r="I130" s="16">
        <f t="shared" si="13"/>
        <v>0.36554849066177736</v>
      </c>
      <c r="J130" s="17">
        <f t="shared" si="14"/>
        <v>1.4042129084273831E-2</v>
      </c>
      <c r="K130" s="19">
        <f t="shared" si="15"/>
        <v>2.7441990317744963E-3</v>
      </c>
      <c r="L130" s="18">
        <f t="shared" si="16"/>
        <v>1500.8955003733013</v>
      </c>
      <c r="M130" s="31"/>
      <c r="N130" s="35"/>
      <c r="O130" s="37"/>
      <c r="P130" s="36"/>
      <c r="Q130" s="36"/>
      <c r="R130" s="36"/>
      <c r="S130" s="36"/>
      <c r="T130" s="36">
        <f t="shared" si="17"/>
        <v>106</v>
      </c>
      <c r="U130" s="53">
        <v>41199</v>
      </c>
      <c r="V130">
        <v>1460.91</v>
      </c>
      <c r="W130" s="58"/>
      <c r="X130" s="39"/>
      <c r="Y130" s="39"/>
      <c r="Z130" s="43"/>
      <c r="AA130" s="43"/>
      <c r="AB130" s="43"/>
      <c r="AC130" s="43"/>
      <c r="AD130" s="43"/>
    </row>
    <row r="131" spans="1:30" x14ac:dyDescent="0.2">
      <c r="A131" s="11">
        <f t="shared" si="11"/>
        <v>128</v>
      </c>
      <c r="B131" s="15">
        <f t="shared" si="12"/>
        <v>0.50793650793650658</v>
      </c>
      <c r="C131" s="17">
        <v>4.3038789552882371E-3</v>
      </c>
      <c r="D131" s="17">
        <v>2.0950313006112661E-2</v>
      </c>
      <c r="E131" s="16">
        <v>-1.7051498773881015</v>
      </c>
      <c r="F131" s="16">
        <v>1.3767487217565839</v>
      </c>
      <c r="G131" s="29">
        <v>0</v>
      </c>
      <c r="H131" s="16">
        <v>0</v>
      </c>
      <c r="I131" s="16">
        <f t="shared" si="13"/>
        <v>2.160133153643685</v>
      </c>
      <c r="J131" s="17">
        <f t="shared" si="14"/>
        <v>4.7805855191370037E-3</v>
      </c>
      <c r="K131" s="19">
        <f t="shared" si="15"/>
        <v>1.6129994504009468E-2</v>
      </c>
      <c r="L131" s="81">
        <f t="shared" si="16"/>
        <v>1525.3012396172071</v>
      </c>
      <c r="M131" s="31"/>
      <c r="N131" s="35"/>
      <c r="O131" s="37"/>
      <c r="P131" s="36"/>
      <c r="Q131" s="36"/>
      <c r="R131" s="36"/>
      <c r="S131" s="36"/>
      <c r="T131" s="36">
        <f t="shared" si="17"/>
        <v>107</v>
      </c>
      <c r="U131" s="53">
        <v>41200</v>
      </c>
      <c r="V131">
        <v>1457.34</v>
      </c>
      <c r="W131" s="58"/>
      <c r="X131" s="39"/>
      <c r="Y131" s="39"/>
      <c r="Z131" s="43"/>
      <c r="AA131" s="43"/>
      <c r="AB131" s="43"/>
      <c r="AC131" s="43"/>
      <c r="AD131" s="43"/>
    </row>
    <row r="132" spans="1:30" x14ac:dyDescent="0.2">
      <c r="A132" s="11">
        <f t="shared" ref="A132:A195" si="18">A131+1</f>
        <v>129</v>
      </c>
      <c r="B132" s="15">
        <f t="shared" ref="B132:B195" si="19">B131+dt</f>
        <v>0.51190476190476053</v>
      </c>
      <c r="C132" s="17">
        <v>4.3038789552882371E-3</v>
      </c>
      <c r="D132" s="17">
        <v>2.0950313006112661E-2</v>
      </c>
      <c r="E132" s="16">
        <v>-0.31490209749543818</v>
      </c>
      <c r="F132" s="16">
        <v>7.5956181590784655E-2</v>
      </c>
      <c r="G132" s="29">
        <v>0</v>
      </c>
      <c r="H132" s="16">
        <v>0</v>
      </c>
      <c r="I132" s="16">
        <f t="shared" ref="I132:I195" si="20">Rho*E132+F132*(1-Rho^2)^0.5</f>
        <v>0.26511464167468363</v>
      </c>
      <c r="J132" s="17">
        <f t="shared" ref="J132:J195" si="21">MAX((SQRT(J131)+Eta*SQRT(dt)*E132/2)^2+Kappa*(Theta-J131)*dt-Eta*Eta*dt/4,0)</f>
        <v>3.1424742861028668E-3</v>
      </c>
      <c r="K132" s="19">
        <f t="shared" ref="K132:K195" si="22">(C132-D132-Lambda*(EXP(Alpha+Delta^2/2)-1)-MAX((SQRT($J131)-0),0)^2/2)*dt+SQRT(MAX((SQRT($J131)-0),0)^2*dt)*I132</f>
        <v>1.178194447483235E-3</v>
      </c>
      <c r="L132" s="18">
        <f t="shared" ref="L132:L195" si="23">EXP(K132)*EXP(H132)*L131</f>
        <v>1527.0994001518336</v>
      </c>
      <c r="M132" s="31"/>
      <c r="N132" s="35"/>
      <c r="O132" s="37"/>
      <c r="P132" s="36"/>
      <c r="Q132" s="36"/>
      <c r="R132" s="36"/>
      <c r="S132" s="36"/>
      <c r="T132" s="36">
        <f t="shared" si="17"/>
        <v>108</v>
      </c>
      <c r="U132" s="53">
        <v>41201</v>
      </c>
      <c r="V132">
        <v>1433.19</v>
      </c>
      <c r="W132" s="58"/>
      <c r="X132" s="39"/>
      <c r="Y132" s="39"/>
      <c r="Z132" s="43"/>
      <c r="AA132" s="43"/>
      <c r="AB132" s="43"/>
      <c r="AC132" s="43"/>
      <c r="AD132" s="43"/>
    </row>
    <row r="133" spans="1:30" x14ac:dyDescent="0.2">
      <c r="A133" s="11">
        <f t="shared" si="18"/>
        <v>130</v>
      </c>
      <c r="B133" s="15">
        <f t="shared" si="19"/>
        <v>0.51587301587301448</v>
      </c>
      <c r="C133" s="17">
        <v>4.3038789552882371E-3</v>
      </c>
      <c r="D133" s="17">
        <v>2.0950313006112661E-2</v>
      </c>
      <c r="E133" s="16">
        <v>0.66110843525430829</v>
      </c>
      <c r="F133" s="16">
        <v>1.7471539748319371</v>
      </c>
      <c r="G133" s="29">
        <v>0</v>
      </c>
      <c r="H133" s="16">
        <v>0</v>
      </c>
      <c r="I133" s="16">
        <f t="shared" si="20"/>
        <v>0.87433170246562564</v>
      </c>
      <c r="J133" s="17">
        <f t="shared" si="21"/>
        <v>4.8700407011990588E-3</v>
      </c>
      <c r="K133" s="19">
        <f t="shared" si="22"/>
        <v>3.1142663633687666E-3</v>
      </c>
      <c r="L133" s="18">
        <f t="shared" si="23"/>
        <v>1531.8626075458069</v>
      </c>
      <c r="M133" s="31"/>
      <c r="N133" s="35"/>
      <c r="O133" s="37"/>
      <c r="P133" s="36"/>
      <c r="Q133" s="36"/>
      <c r="R133" s="36"/>
      <c r="S133" s="36"/>
      <c r="T133" s="36">
        <f t="shared" si="17"/>
        <v>109</v>
      </c>
      <c r="U133" s="53">
        <v>41204</v>
      </c>
      <c r="V133">
        <v>1433.82</v>
      </c>
      <c r="W133" s="58"/>
      <c r="X133" s="39"/>
      <c r="Y133" s="39"/>
      <c r="Z133" s="43"/>
      <c r="AA133" s="43"/>
      <c r="AB133" s="43"/>
      <c r="AC133" s="43"/>
      <c r="AD133" s="43"/>
    </row>
    <row r="134" spans="1:30" x14ac:dyDescent="0.2">
      <c r="A134" s="11">
        <f t="shared" si="18"/>
        <v>131</v>
      </c>
      <c r="B134" s="15">
        <f t="shared" si="19"/>
        <v>0.51984126984126844</v>
      </c>
      <c r="C134" s="17">
        <v>4.3038789552882371E-3</v>
      </c>
      <c r="D134" s="17">
        <v>2.0950313006112661E-2</v>
      </c>
      <c r="E134" s="16">
        <v>-1.146912283904175</v>
      </c>
      <c r="F134" s="16">
        <v>-0.39780091307714954</v>
      </c>
      <c r="G134" s="29">
        <v>0</v>
      </c>
      <c r="H134" s="16">
        <v>0</v>
      </c>
      <c r="I134" s="16">
        <f t="shared" si="20"/>
        <v>0.45941107328854469</v>
      </c>
      <c r="J134" s="17">
        <f t="shared" si="21"/>
        <v>9.960253322832892E-4</v>
      </c>
      <c r="K134" s="19">
        <f t="shared" si="22"/>
        <v>2.0429140007814568E-3</v>
      </c>
      <c r="L134" s="18">
        <f t="shared" si="23"/>
        <v>1534.9952699044188</v>
      </c>
      <c r="M134" s="31"/>
      <c r="N134" s="35"/>
      <c r="O134" s="37"/>
      <c r="P134" s="36"/>
      <c r="Q134" s="36"/>
      <c r="R134" s="36"/>
      <c r="S134" s="36"/>
      <c r="T134" s="36">
        <f t="shared" si="17"/>
        <v>110</v>
      </c>
      <c r="U134" s="53">
        <v>41205</v>
      </c>
      <c r="V134">
        <v>1413.11</v>
      </c>
      <c r="W134" s="58"/>
      <c r="X134" s="39"/>
      <c r="Y134" s="39"/>
      <c r="Z134" s="43"/>
      <c r="AA134" s="43"/>
      <c r="AB134" s="43"/>
      <c r="AC134" s="43"/>
      <c r="AD134" s="43"/>
    </row>
    <row r="135" spans="1:30" x14ac:dyDescent="0.2">
      <c r="A135" s="11">
        <f t="shared" si="18"/>
        <v>132</v>
      </c>
      <c r="B135" s="15">
        <f t="shared" si="19"/>
        <v>0.52380952380952239</v>
      </c>
      <c r="C135" s="17">
        <v>4.3038789552882371E-3</v>
      </c>
      <c r="D135" s="17">
        <v>2.0950313006112661E-2</v>
      </c>
      <c r="E135" s="16">
        <v>0.34661744740484546</v>
      </c>
      <c r="F135" s="16">
        <v>-0.2734610740241219</v>
      </c>
      <c r="G135" s="29">
        <v>0</v>
      </c>
      <c r="H135" s="16">
        <v>0</v>
      </c>
      <c r="I135" s="16">
        <f t="shared" si="20"/>
        <v>-0.4343017798071232</v>
      </c>
      <c r="J135" s="17">
        <f t="shared" si="21"/>
        <v>1.1222827953566356E-3</v>
      </c>
      <c r="K135" s="19">
        <f t="shared" si="22"/>
        <v>-8.3243812860894274E-4</v>
      </c>
      <c r="L135" s="18">
        <f t="shared" si="23"/>
        <v>1533.7180130069435</v>
      </c>
      <c r="M135" s="31"/>
      <c r="N135" s="35"/>
      <c r="O135" s="37"/>
      <c r="P135" s="36"/>
      <c r="Q135" s="36"/>
      <c r="R135" s="36"/>
      <c r="S135" s="36"/>
      <c r="T135" s="36">
        <f t="shared" si="17"/>
        <v>111</v>
      </c>
      <c r="U135" s="53">
        <v>41206</v>
      </c>
      <c r="V135">
        <v>1408.75</v>
      </c>
      <c r="W135" s="58"/>
      <c r="X135" s="39"/>
      <c r="Y135" s="39"/>
      <c r="Z135" s="43"/>
      <c r="AA135" s="43"/>
      <c r="AB135" s="43"/>
      <c r="AC135" s="43"/>
      <c r="AD135" s="43"/>
    </row>
    <row r="136" spans="1:30" x14ac:dyDescent="0.2">
      <c r="A136" s="11">
        <f t="shared" si="18"/>
        <v>133</v>
      </c>
      <c r="B136" s="15">
        <f t="shared" si="19"/>
        <v>0.52777777777777635</v>
      </c>
      <c r="C136" s="17">
        <v>4.3038789552882371E-3</v>
      </c>
      <c r="D136" s="17">
        <v>2.0950313006112661E-2</v>
      </c>
      <c r="E136" s="16">
        <v>-0.91301180319938502</v>
      </c>
      <c r="F136" s="16">
        <v>-0.13381592896852162</v>
      </c>
      <c r="G136" s="29">
        <v>0</v>
      </c>
      <c r="H136" s="16">
        <v>0</v>
      </c>
      <c r="I136" s="16">
        <f t="shared" si="20"/>
        <v>0.50295381881001167</v>
      </c>
      <c r="J136" s="17">
        <f t="shared" si="21"/>
        <v>0</v>
      </c>
      <c r="K136" s="19">
        <f t="shared" si="22"/>
        <v>1.0921399383440244E-3</v>
      </c>
      <c r="L136" s="18">
        <f t="shared" si="23"/>
        <v>1535.3939627223303</v>
      </c>
      <c r="M136" s="31"/>
      <c r="N136" s="35"/>
      <c r="O136" s="37"/>
      <c r="P136" s="36"/>
      <c r="Q136" s="36"/>
      <c r="R136" s="36"/>
      <c r="S136" s="36"/>
      <c r="T136" s="36">
        <f t="shared" si="17"/>
        <v>112</v>
      </c>
      <c r="U136" s="53">
        <v>41207</v>
      </c>
      <c r="V136">
        <v>1412.97</v>
      </c>
      <c r="W136" s="58"/>
      <c r="X136" s="39"/>
      <c r="Y136" s="39"/>
      <c r="Z136" s="43"/>
      <c r="AA136" s="43"/>
      <c r="AB136" s="43"/>
      <c r="AC136" s="43"/>
      <c r="AD136" s="43"/>
    </row>
    <row r="137" spans="1:30" x14ac:dyDescent="0.2">
      <c r="A137" s="11">
        <f t="shared" si="18"/>
        <v>134</v>
      </c>
      <c r="B137" s="15">
        <f t="shared" si="19"/>
        <v>0.5317460317460303</v>
      </c>
      <c r="C137" s="17">
        <v>4.3038789552882371E-3</v>
      </c>
      <c r="D137" s="17">
        <v>2.0950313006112661E-2</v>
      </c>
      <c r="E137" s="16">
        <v>-0.40436048055157764</v>
      </c>
      <c r="F137" s="16">
        <v>0.9353095286206301</v>
      </c>
      <c r="G137" s="29">
        <v>0</v>
      </c>
      <c r="H137" s="16">
        <v>0</v>
      </c>
      <c r="I137" s="16">
        <f t="shared" si="20"/>
        <v>0.96917963105957572</v>
      </c>
      <c r="J137" s="17">
        <f t="shared" si="21"/>
        <v>0</v>
      </c>
      <c r="K137" s="19">
        <f t="shared" si="22"/>
        <v>3.2966912526529989E-5</v>
      </c>
      <c r="L137" s="18">
        <f t="shared" si="23"/>
        <v>1535.4445807551488</v>
      </c>
      <c r="M137" s="31"/>
      <c r="N137" s="35"/>
      <c r="O137" s="37"/>
      <c r="P137" s="36"/>
      <c r="Q137" s="36"/>
      <c r="R137" s="36"/>
      <c r="S137" s="36"/>
      <c r="T137" s="36">
        <f t="shared" si="17"/>
        <v>113</v>
      </c>
      <c r="U137" s="53">
        <v>41208</v>
      </c>
      <c r="V137">
        <v>1411.94</v>
      </c>
      <c r="W137" s="58"/>
      <c r="X137" s="39"/>
      <c r="Y137" s="39"/>
      <c r="Z137" s="43"/>
      <c r="AA137" s="43"/>
      <c r="AB137" s="43"/>
      <c r="AC137" s="43"/>
      <c r="AD137" s="43"/>
    </row>
    <row r="138" spans="1:30" x14ac:dyDescent="0.2">
      <c r="A138" s="11">
        <f t="shared" si="18"/>
        <v>135</v>
      </c>
      <c r="B138" s="15">
        <f t="shared" si="19"/>
        <v>0.53571428571428426</v>
      </c>
      <c r="C138" s="17">
        <v>4.3038789552882371E-3</v>
      </c>
      <c r="D138" s="17">
        <v>2.0950313006112661E-2</v>
      </c>
      <c r="E138" s="16">
        <v>5.543166093043489E-2</v>
      </c>
      <c r="F138" s="16">
        <v>-0.27525880203230413</v>
      </c>
      <c r="G138" s="29">
        <v>0</v>
      </c>
      <c r="H138" s="16">
        <v>0</v>
      </c>
      <c r="I138" s="16">
        <f t="shared" si="20"/>
        <v>-0.24321484973236357</v>
      </c>
      <c r="J138" s="17">
        <f t="shared" si="21"/>
        <v>0</v>
      </c>
      <c r="K138" s="19">
        <f t="shared" si="22"/>
        <v>3.2966912526529989E-5</v>
      </c>
      <c r="L138" s="18">
        <f t="shared" si="23"/>
        <v>1535.4952004567149</v>
      </c>
      <c r="M138" s="31"/>
      <c r="N138" s="35"/>
      <c r="O138" s="37"/>
      <c r="P138" s="36"/>
      <c r="Q138" s="36"/>
      <c r="R138" s="36"/>
      <c r="S138" s="36"/>
      <c r="T138" s="36">
        <f t="shared" si="17"/>
        <v>114</v>
      </c>
      <c r="U138" s="53">
        <v>41213</v>
      </c>
      <c r="V138">
        <v>1412.16</v>
      </c>
      <c r="W138" s="58"/>
      <c r="X138" s="39"/>
      <c r="Y138" s="39"/>
      <c r="Z138" s="43"/>
      <c r="AA138" s="43"/>
      <c r="AB138" s="43"/>
      <c r="AC138" s="43"/>
      <c r="AD138" s="43"/>
    </row>
    <row r="139" spans="1:30" x14ac:dyDescent="0.2">
      <c r="A139" s="11">
        <f t="shared" si="18"/>
        <v>136</v>
      </c>
      <c r="B139" s="15">
        <f t="shared" si="19"/>
        <v>0.53968253968253821</v>
      </c>
      <c r="C139" s="17">
        <v>4.3038789552882371E-3</v>
      </c>
      <c r="D139" s="17">
        <v>2.0950313006112661E-2</v>
      </c>
      <c r="E139" s="16">
        <v>-0.45240747105073614</v>
      </c>
      <c r="F139" s="16">
        <v>-0.28990446070877918</v>
      </c>
      <c r="G139" s="29">
        <v>0</v>
      </c>
      <c r="H139" s="16">
        <v>0</v>
      </c>
      <c r="I139" s="16">
        <f t="shared" si="20"/>
        <v>8.1409535968858388E-2</v>
      </c>
      <c r="J139" s="17">
        <f t="shared" si="21"/>
        <v>0</v>
      </c>
      <c r="K139" s="19">
        <f t="shared" si="22"/>
        <v>3.2966912526529989E-5</v>
      </c>
      <c r="L139" s="18">
        <f t="shared" si="23"/>
        <v>1535.5458218270837</v>
      </c>
      <c r="M139" s="31"/>
      <c r="N139" s="35"/>
      <c r="O139" s="37"/>
      <c r="P139" s="36"/>
      <c r="Q139" s="36"/>
      <c r="R139" s="36"/>
      <c r="S139" s="36"/>
      <c r="T139" s="36">
        <f t="shared" si="17"/>
        <v>115</v>
      </c>
      <c r="U139" s="53">
        <v>41214</v>
      </c>
      <c r="V139">
        <v>1427.59</v>
      </c>
      <c r="W139" s="58"/>
      <c r="X139" s="39"/>
      <c r="Y139" s="39"/>
      <c r="Z139" s="43"/>
      <c r="AA139" s="43"/>
      <c r="AB139" s="43"/>
      <c r="AC139" s="43"/>
      <c r="AD139" s="43"/>
    </row>
    <row r="140" spans="1:30" x14ac:dyDescent="0.2">
      <c r="A140" s="11">
        <f t="shared" si="18"/>
        <v>137</v>
      </c>
      <c r="B140" s="15">
        <f t="shared" si="19"/>
        <v>0.54365079365079216</v>
      </c>
      <c r="C140" s="17">
        <v>4.3038789552882371E-3</v>
      </c>
      <c r="D140" s="17">
        <v>2.0950313006112661E-2</v>
      </c>
      <c r="E140" s="16">
        <v>-0.8090450779588072</v>
      </c>
      <c r="F140" s="16">
        <v>6.257342329098344E-3</v>
      </c>
      <c r="G140" s="29">
        <v>0</v>
      </c>
      <c r="H140" s="16">
        <v>0</v>
      </c>
      <c r="I140" s="16">
        <f t="shared" si="20"/>
        <v>0.53937023872418399</v>
      </c>
      <c r="J140" s="17">
        <f t="shared" si="21"/>
        <v>0</v>
      </c>
      <c r="K140" s="19">
        <f t="shared" si="22"/>
        <v>3.2966912526529989E-5</v>
      </c>
      <c r="L140" s="18">
        <f t="shared" si="23"/>
        <v>1535.5964448663105</v>
      </c>
      <c r="M140" s="31"/>
      <c r="N140" s="35"/>
      <c r="O140" s="37"/>
      <c r="P140" s="36"/>
      <c r="Q140" s="36"/>
      <c r="R140" s="36"/>
      <c r="S140" s="36"/>
      <c r="T140" s="36">
        <f t="shared" si="17"/>
        <v>116</v>
      </c>
      <c r="U140" s="53">
        <v>41215</v>
      </c>
      <c r="V140">
        <v>1414.2</v>
      </c>
      <c r="W140" s="58"/>
      <c r="X140" s="39"/>
      <c r="Y140" s="39"/>
      <c r="Z140" s="43"/>
      <c r="AA140" s="43"/>
      <c r="AB140" s="43"/>
      <c r="AC140" s="43"/>
      <c r="AD140" s="43"/>
    </row>
    <row r="141" spans="1:30" x14ac:dyDescent="0.2">
      <c r="A141" s="11">
        <f t="shared" si="18"/>
        <v>138</v>
      </c>
      <c r="B141" s="15">
        <f t="shared" si="19"/>
        <v>0.54761904761904612</v>
      </c>
      <c r="C141" s="17">
        <v>4.3038789552882371E-3</v>
      </c>
      <c r="D141" s="17">
        <v>2.0950313006112661E-2</v>
      </c>
      <c r="E141" s="16">
        <v>-0.3351741065487413</v>
      </c>
      <c r="F141" s="16">
        <v>-0.78034806490302999</v>
      </c>
      <c r="G141" s="29">
        <v>0</v>
      </c>
      <c r="H141" s="16">
        <v>0</v>
      </c>
      <c r="I141" s="16">
        <f t="shared" si="20"/>
        <v>-0.36414440835331408</v>
      </c>
      <c r="J141" s="17">
        <f t="shared" si="21"/>
        <v>0</v>
      </c>
      <c r="K141" s="19">
        <f t="shared" si="22"/>
        <v>3.2966912526529989E-5</v>
      </c>
      <c r="L141" s="18">
        <f t="shared" si="23"/>
        <v>1535.6470695744501</v>
      </c>
      <c r="M141" s="31"/>
      <c r="N141" s="35"/>
      <c r="O141" s="37"/>
      <c r="P141" s="36"/>
      <c r="Q141" s="36"/>
      <c r="R141" s="36"/>
      <c r="S141" s="36"/>
      <c r="T141" s="36">
        <f t="shared" si="17"/>
        <v>117</v>
      </c>
      <c r="U141" s="53">
        <v>41218</v>
      </c>
      <c r="V141">
        <v>1417.26</v>
      </c>
      <c r="W141" s="58"/>
      <c r="X141" s="39"/>
      <c r="Y141" s="39"/>
      <c r="Z141" s="43"/>
      <c r="AA141" s="43"/>
      <c r="AB141" s="43"/>
      <c r="AC141" s="43"/>
      <c r="AD141" s="43"/>
    </row>
    <row r="142" spans="1:30" x14ac:dyDescent="0.2">
      <c r="A142" s="11">
        <f t="shared" si="18"/>
        <v>139</v>
      </c>
      <c r="B142" s="15">
        <f t="shared" si="19"/>
        <v>0.55158730158730007</v>
      </c>
      <c r="C142" s="17">
        <v>4.3038789552882371E-3</v>
      </c>
      <c r="D142" s="17">
        <v>2.0950313006112661E-2</v>
      </c>
      <c r="E142" s="16">
        <v>1.1712501764202929</v>
      </c>
      <c r="F142" s="16">
        <v>-0.33724593047148232</v>
      </c>
      <c r="G142" s="29">
        <v>0</v>
      </c>
      <c r="H142" s="16">
        <v>0</v>
      </c>
      <c r="I142" s="16">
        <f t="shared" si="20"/>
        <v>-1.0271478306058157</v>
      </c>
      <c r="J142" s="17">
        <f t="shared" si="21"/>
        <v>4.3050404323415916E-4</v>
      </c>
      <c r="K142" s="19">
        <f t="shared" si="22"/>
        <v>3.2966912526529989E-5</v>
      </c>
      <c r="L142" s="18">
        <f t="shared" si="23"/>
        <v>1535.6976959515575</v>
      </c>
      <c r="M142" s="31"/>
      <c r="N142" s="35"/>
      <c r="O142" s="37"/>
      <c r="P142" s="36"/>
      <c r="Q142" s="36"/>
      <c r="R142" s="36"/>
      <c r="S142" s="36"/>
      <c r="T142" s="36">
        <f t="shared" si="17"/>
        <v>118</v>
      </c>
      <c r="U142" s="53">
        <v>41219</v>
      </c>
      <c r="V142">
        <v>1428.39</v>
      </c>
      <c r="W142" s="58"/>
      <c r="X142" s="39"/>
      <c r="Y142" s="39"/>
      <c r="Z142" s="43"/>
      <c r="AA142" s="43"/>
      <c r="AB142" s="43"/>
      <c r="AC142" s="43"/>
      <c r="AD142" s="43"/>
    </row>
    <row r="143" spans="1:30" x14ac:dyDescent="0.2">
      <c r="A143" s="11">
        <f t="shared" si="18"/>
        <v>140</v>
      </c>
      <c r="B143" s="15">
        <f t="shared" si="19"/>
        <v>0.55555555555555403</v>
      </c>
      <c r="C143" s="17">
        <v>4.3038789552882371E-3</v>
      </c>
      <c r="D143" s="17">
        <v>2.0950313006112661E-2</v>
      </c>
      <c r="E143" s="16">
        <v>-1.3624954404968714</v>
      </c>
      <c r="F143" s="16">
        <v>2.0300063380324085</v>
      </c>
      <c r="G143" s="29">
        <v>0</v>
      </c>
      <c r="H143" s="16">
        <v>0</v>
      </c>
      <c r="I143" s="16">
        <f t="shared" si="20"/>
        <v>2.423952666575568</v>
      </c>
      <c r="J143" s="17">
        <f t="shared" si="21"/>
        <v>0</v>
      </c>
      <c r="K143" s="19">
        <f t="shared" si="22"/>
        <v>3.2003119517574645E-3</v>
      </c>
      <c r="L143" s="18">
        <f t="shared" si="23"/>
        <v>1540.6202803436058</v>
      </c>
      <c r="M143" s="31"/>
      <c r="N143" s="35"/>
      <c r="O143" s="37"/>
      <c r="P143" s="36"/>
      <c r="Q143" s="36"/>
      <c r="R143" s="36"/>
      <c r="S143" s="36"/>
      <c r="T143" s="36">
        <f t="shared" si="17"/>
        <v>119</v>
      </c>
      <c r="U143" s="53">
        <v>41220</v>
      </c>
      <c r="V143">
        <v>1394.53</v>
      </c>
      <c r="W143" s="58"/>
      <c r="X143" s="39"/>
      <c r="Y143" s="39"/>
      <c r="Z143" s="43"/>
      <c r="AA143" s="43"/>
      <c r="AB143" s="43"/>
      <c r="AC143" s="43"/>
      <c r="AD143" s="43"/>
    </row>
    <row r="144" spans="1:30" x14ac:dyDescent="0.2">
      <c r="A144" s="11">
        <f t="shared" si="18"/>
        <v>141</v>
      </c>
      <c r="B144" s="15">
        <f t="shared" si="19"/>
        <v>0.55952380952380798</v>
      </c>
      <c r="C144" s="17">
        <v>4.3038789552882371E-3</v>
      </c>
      <c r="D144" s="17">
        <v>2.0950313006112661E-2</v>
      </c>
      <c r="E144" s="16">
        <v>-0.68252484095441046</v>
      </c>
      <c r="F144" s="16">
        <v>-0.40708990116680521</v>
      </c>
      <c r="G144" s="29">
        <v>0</v>
      </c>
      <c r="H144" s="16">
        <v>0</v>
      </c>
      <c r="I144" s="16">
        <f t="shared" si="20"/>
        <v>0.14553968202157946</v>
      </c>
      <c r="J144" s="17">
        <f t="shared" si="21"/>
        <v>0</v>
      </c>
      <c r="K144" s="19">
        <f t="shared" si="22"/>
        <v>3.2966912526529989E-5</v>
      </c>
      <c r="L144" s="18">
        <f t="shared" si="23"/>
        <v>1540.6710706748202</v>
      </c>
      <c r="M144" s="31"/>
      <c r="N144" s="35"/>
      <c r="O144" s="37"/>
      <c r="P144" s="36"/>
      <c r="Q144" s="36"/>
      <c r="R144" s="36"/>
      <c r="S144" s="36"/>
      <c r="T144" s="36">
        <f t="shared" si="17"/>
        <v>120</v>
      </c>
      <c r="U144" s="53">
        <v>41221</v>
      </c>
      <c r="V144">
        <v>1377.51</v>
      </c>
      <c r="W144" s="58"/>
      <c r="X144" s="39"/>
      <c r="Y144" s="39"/>
      <c r="Z144" s="43"/>
      <c r="AA144" s="43"/>
      <c r="AB144" s="43"/>
      <c r="AC144" s="43"/>
      <c r="AD144" s="43"/>
    </row>
    <row r="145" spans="1:30" x14ac:dyDescent="0.2">
      <c r="A145" s="11">
        <f t="shared" si="18"/>
        <v>142</v>
      </c>
      <c r="B145" s="15">
        <f t="shared" si="19"/>
        <v>0.56349206349206193</v>
      </c>
      <c r="C145" s="17">
        <v>4.3038789552882371E-3</v>
      </c>
      <c r="D145" s="17">
        <v>2.0950313006112661E-2</v>
      </c>
      <c r="E145" s="16">
        <v>-0.2000927871800956</v>
      </c>
      <c r="F145" s="16">
        <v>-0.40171148535056961</v>
      </c>
      <c r="G145" s="29">
        <v>0</v>
      </c>
      <c r="H145" s="16">
        <v>0</v>
      </c>
      <c r="I145" s="16">
        <f t="shared" si="20"/>
        <v>-0.16924897727476812</v>
      </c>
      <c r="J145" s="17">
        <f t="shared" si="21"/>
        <v>0</v>
      </c>
      <c r="K145" s="19">
        <f t="shared" si="22"/>
        <v>3.2966912526529989E-5</v>
      </c>
      <c r="L145" s="18">
        <f t="shared" si="23"/>
        <v>1540.7218626804624</v>
      </c>
      <c r="M145" s="31"/>
      <c r="N145" s="35"/>
      <c r="O145" s="37"/>
      <c r="P145" s="36"/>
      <c r="Q145" s="36"/>
      <c r="R145" s="36"/>
      <c r="S145" s="36"/>
      <c r="T145" s="36">
        <f t="shared" si="17"/>
        <v>121</v>
      </c>
      <c r="U145" s="53">
        <v>41222</v>
      </c>
      <c r="V145">
        <v>1379.85</v>
      </c>
      <c r="W145" s="58"/>
      <c r="X145" s="39"/>
      <c r="Y145" s="39"/>
      <c r="Z145" s="43"/>
      <c r="AA145" s="43"/>
      <c r="AB145" s="43"/>
      <c r="AC145" s="43"/>
      <c r="AD145" s="43"/>
    </row>
    <row r="146" spans="1:30" x14ac:dyDescent="0.2">
      <c r="A146" s="11">
        <f t="shared" si="18"/>
        <v>143</v>
      </c>
      <c r="B146" s="15">
        <f t="shared" si="19"/>
        <v>0.56746031746031589</v>
      </c>
      <c r="C146" s="17">
        <v>4.3038789552882371E-3</v>
      </c>
      <c r="D146" s="17">
        <v>2.0950313006112661E-2</v>
      </c>
      <c r="E146" s="16">
        <v>0.27231398766877313</v>
      </c>
      <c r="F146" s="16">
        <v>-1.7045319589318311</v>
      </c>
      <c r="G146" s="29">
        <v>0</v>
      </c>
      <c r="H146" s="16">
        <v>0</v>
      </c>
      <c r="I146" s="16">
        <f t="shared" si="20"/>
        <v>-1.4592153195348849</v>
      </c>
      <c r="J146" s="17">
        <f t="shared" si="21"/>
        <v>0</v>
      </c>
      <c r="K146" s="19">
        <f t="shared" si="22"/>
        <v>3.2966912526529989E-5</v>
      </c>
      <c r="L146" s="18">
        <f t="shared" si="23"/>
        <v>1540.7726563605879</v>
      </c>
      <c r="M146" s="31"/>
      <c r="N146" s="35"/>
      <c r="O146" s="37"/>
      <c r="P146" s="36"/>
      <c r="Q146" s="36"/>
      <c r="R146" s="36"/>
      <c r="S146" s="36"/>
      <c r="T146" s="36">
        <f t="shared" si="17"/>
        <v>122</v>
      </c>
      <c r="U146" s="53">
        <v>41225</v>
      </c>
      <c r="V146">
        <v>1380.03</v>
      </c>
      <c r="W146" s="58"/>
      <c r="X146" s="39"/>
      <c r="Y146" s="39"/>
      <c r="Z146" s="43"/>
      <c r="AA146" s="43"/>
      <c r="AB146" s="43"/>
      <c r="AC146" s="43"/>
      <c r="AD146" s="43"/>
    </row>
    <row r="147" spans="1:30" x14ac:dyDescent="0.2">
      <c r="A147" s="11">
        <f t="shared" si="18"/>
        <v>144</v>
      </c>
      <c r="B147" s="15">
        <f t="shared" si="19"/>
        <v>0.57142857142856984</v>
      </c>
      <c r="C147" s="17">
        <v>4.3038789552882371E-3</v>
      </c>
      <c r="D147" s="17">
        <v>2.0950313006112661E-2</v>
      </c>
      <c r="E147" s="16">
        <v>-1.0744252904458709</v>
      </c>
      <c r="F147" s="16">
        <v>7.3014203041584626E-3</v>
      </c>
      <c r="G147" s="29">
        <v>0</v>
      </c>
      <c r="H147" s="16">
        <v>0</v>
      </c>
      <c r="I147" s="16">
        <f t="shared" si="20"/>
        <v>0.7155357987154326</v>
      </c>
      <c r="J147" s="17">
        <f t="shared" si="21"/>
        <v>2.7744703813877664E-4</v>
      </c>
      <c r="K147" s="19">
        <f t="shared" si="22"/>
        <v>3.2966912526529989E-5</v>
      </c>
      <c r="L147" s="18">
        <f t="shared" si="23"/>
        <v>1540.8234517152518</v>
      </c>
      <c r="M147" s="31"/>
      <c r="N147" s="35"/>
      <c r="O147" s="37"/>
      <c r="P147" s="36"/>
      <c r="Q147" s="36"/>
      <c r="R147" s="36"/>
      <c r="S147" s="36"/>
      <c r="T147" s="36">
        <f t="shared" si="17"/>
        <v>123</v>
      </c>
      <c r="U147" s="53">
        <v>41226</v>
      </c>
      <c r="V147">
        <v>1374.53</v>
      </c>
      <c r="W147" s="58"/>
      <c r="X147" s="39"/>
      <c r="Y147" s="39"/>
      <c r="Z147" s="43"/>
      <c r="AA147" s="43"/>
      <c r="AB147" s="43"/>
      <c r="AC147" s="43"/>
      <c r="AD147" s="43"/>
    </row>
    <row r="148" spans="1:30" x14ac:dyDescent="0.2">
      <c r="A148" s="11">
        <f t="shared" si="18"/>
        <v>145</v>
      </c>
      <c r="B148" s="15">
        <f t="shared" si="19"/>
        <v>0.5753968253968238</v>
      </c>
      <c r="C148" s="17">
        <v>4.3038789552882371E-3</v>
      </c>
      <c r="D148" s="17">
        <v>2.0950313006112661E-2</v>
      </c>
      <c r="E148" s="16">
        <v>-0.43880532332375133</v>
      </c>
      <c r="F148" s="16">
        <v>1.079104151506781</v>
      </c>
      <c r="G148" s="29">
        <v>0</v>
      </c>
      <c r="H148" s="16">
        <v>0</v>
      </c>
      <c r="I148" s="16">
        <f t="shared" si="20"/>
        <v>1.0998610605154759</v>
      </c>
      <c r="J148" s="17">
        <f t="shared" si="21"/>
        <v>0</v>
      </c>
      <c r="K148" s="19">
        <f t="shared" si="22"/>
        <v>1.1864743339352166E-3</v>
      </c>
      <c r="L148" s="18">
        <f t="shared" si="23"/>
        <v>1542.6526841479163</v>
      </c>
      <c r="M148" s="31"/>
      <c r="N148" s="35"/>
      <c r="O148" s="37"/>
      <c r="P148" s="36"/>
      <c r="Q148" s="36"/>
      <c r="R148" s="36"/>
      <c r="S148" s="36"/>
      <c r="T148" s="36">
        <f t="shared" si="17"/>
        <v>124</v>
      </c>
      <c r="U148" s="53">
        <v>41227</v>
      </c>
      <c r="V148">
        <v>1355.49</v>
      </c>
      <c r="W148" s="58"/>
      <c r="X148" s="39"/>
      <c r="Y148" s="39"/>
      <c r="Z148" s="43"/>
      <c r="AA148" s="43"/>
      <c r="AB148" s="43"/>
      <c r="AC148" s="43"/>
      <c r="AD148" s="43"/>
    </row>
    <row r="149" spans="1:30" x14ac:dyDescent="0.2">
      <c r="A149" s="11">
        <f t="shared" si="18"/>
        <v>146</v>
      </c>
      <c r="B149" s="15">
        <f t="shared" si="19"/>
        <v>0.57936507936507775</v>
      </c>
      <c r="C149" s="17">
        <v>4.3038789552882371E-3</v>
      </c>
      <c r="D149" s="17">
        <v>2.0950313006112661E-2</v>
      </c>
      <c r="E149" s="16">
        <v>-0.3947831393205844</v>
      </c>
      <c r="F149" s="16">
        <v>0.41596545873448471</v>
      </c>
      <c r="G149" s="29">
        <v>0</v>
      </c>
      <c r="H149" s="16">
        <v>0</v>
      </c>
      <c r="I149" s="16">
        <f t="shared" si="20"/>
        <v>0.57308259145377938</v>
      </c>
      <c r="J149" s="17">
        <f t="shared" si="21"/>
        <v>0</v>
      </c>
      <c r="K149" s="19">
        <f t="shared" si="22"/>
        <v>3.2966912526529989E-5</v>
      </c>
      <c r="L149" s="18">
        <f t="shared" si="23"/>
        <v>1542.7035414823135</v>
      </c>
      <c r="M149" s="31"/>
      <c r="N149" s="35"/>
      <c r="O149" s="37"/>
      <c r="P149" s="36"/>
      <c r="Q149" s="36"/>
      <c r="R149" s="36"/>
      <c r="S149" s="36"/>
      <c r="T149" s="36">
        <f t="shared" si="17"/>
        <v>125</v>
      </c>
      <c r="U149" s="53">
        <v>41228</v>
      </c>
      <c r="V149">
        <v>1353.32</v>
      </c>
      <c r="W149" s="58"/>
      <c r="X149" s="39"/>
      <c r="Y149" s="39"/>
      <c r="Z149" s="43"/>
      <c r="AA149" s="43"/>
      <c r="AB149" s="43"/>
      <c r="AC149" s="43"/>
      <c r="AD149" s="43"/>
    </row>
    <row r="150" spans="1:30" x14ac:dyDescent="0.2">
      <c r="A150" s="11">
        <f t="shared" si="18"/>
        <v>147</v>
      </c>
      <c r="B150" s="15">
        <f t="shared" si="19"/>
        <v>0.58333333333333171</v>
      </c>
      <c r="C150" s="17">
        <v>4.3038789552882371E-3</v>
      </c>
      <c r="D150" s="17">
        <v>2.0950313006112661E-2</v>
      </c>
      <c r="E150" s="16">
        <v>-0.34130920733234649</v>
      </c>
      <c r="F150" s="16">
        <v>-0.15194461581098889</v>
      </c>
      <c r="G150" s="29">
        <v>0</v>
      </c>
      <c r="H150" s="16">
        <v>0</v>
      </c>
      <c r="I150" s="16">
        <f t="shared" si="20"/>
        <v>0.11152680555157067</v>
      </c>
      <c r="J150" s="17">
        <f t="shared" si="21"/>
        <v>0</v>
      </c>
      <c r="K150" s="19">
        <f t="shared" si="22"/>
        <v>3.2966912526529989E-5</v>
      </c>
      <c r="L150" s="18">
        <f t="shared" si="23"/>
        <v>1542.7544004933477</v>
      </c>
      <c r="M150" s="31"/>
      <c r="N150" s="35"/>
      <c r="O150" s="37"/>
      <c r="P150" s="36"/>
      <c r="Q150" s="36"/>
      <c r="R150" s="36"/>
      <c r="S150" s="36"/>
      <c r="T150" s="36">
        <f t="shared" si="17"/>
        <v>126</v>
      </c>
      <c r="U150" s="53">
        <v>41229</v>
      </c>
      <c r="V150">
        <v>1359.88</v>
      </c>
      <c r="W150" s="58"/>
      <c r="X150" s="39"/>
      <c r="Y150" s="39"/>
      <c r="Z150" s="43"/>
      <c r="AA150" s="43"/>
      <c r="AB150" s="43"/>
      <c r="AC150" s="43"/>
      <c r="AD150" s="43"/>
    </row>
    <row r="151" spans="1:30" x14ac:dyDescent="0.2">
      <c r="A151" s="11">
        <f t="shared" si="18"/>
        <v>148</v>
      </c>
      <c r="B151" s="15">
        <f t="shared" si="19"/>
        <v>0.58730158730158566</v>
      </c>
      <c r="C151" s="17">
        <v>4.3038789552882371E-3</v>
      </c>
      <c r="D151" s="17">
        <v>2.0950313006112661E-2</v>
      </c>
      <c r="E151" s="16">
        <v>1.7808286773280919</v>
      </c>
      <c r="F151" s="16">
        <v>0.10105906931094728</v>
      </c>
      <c r="G151" s="29">
        <v>0</v>
      </c>
      <c r="H151" s="16">
        <v>0</v>
      </c>
      <c r="I151" s="16">
        <f t="shared" si="20"/>
        <v>-1.1010524938708142</v>
      </c>
      <c r="J151" s="17">
        <f t="shared" si="21"/>
        <v>1.6972129311886557E-3</v>
      </c>
      <c r="K151" s="19">
        <f t="shared" si="22"/>
        <v>3.2966912526529989E-5</v>
      </c>
      <c r="L151" s="18">
        <f t="shared" si="23"/>
        <v>1542.805261181074</v>
      </c>
      <c r="M151" s="31"/>
      <c r="N151" s="35"/>
      <c r="O151" s="37"/>
      <c r="P151" s="36"/>
      <c r="Q151" s="36"/>
      <c r="R151" s="36"/>
      <c r="S151" s="36"/>
      <c r="T151" s="36">
        <f t="shared" si="17"/>
        <v>127</v>
      </c>
      <c r="U151" s="53">
        <v>41232</v>
      </c>
      <c r="V151">
        <v>1386.89</v>
      </c>
      <c r="W151" s="58"/>
      <c r="X151" s="39"/>
      <c r="Y151" s="39"/>
      <c r="Z151" s="43"/>
      <c r="AA151" s="43"/>
      <c r="AB151" s="43"/>
      <c r="AC151" s="43"/>
      <c r="AD151" s="43"/>
    </row>
    <row r="152" spans="1:30" x14ac:dyDescent="0.2">
      <c r="A152" s="11">
        <f t="shared" si="18"/>
        <v>149</v>
      </c>
      <c r="B152" s="15">
        <f t="shared" si="19"/>
        <v>0.59126984126983961</v>
      </c>
      <c r="C152" s="17">
        <v>4.3038789552882371E-3</v>
      </c>
      <c r="D152" s="17">
        <v>2.0950313006112661E-2</v>
      </c>
      <c r="E152" s="16">
        <v>0.65337912038810142</v>
      </c>
      <c r="F152" s="16">
        <v>-0.84054064761978386</v>
      </c>
      <c r="G152" s="29">
        <v>0</v>
      </c>
      <c r="H152" s="16">
        <v>0</v>
      </c>
      <c r="I152" s="16">
        <f t="shared" si="20"/>
        <v>-1.0626246956021843</v>
      </c>
      <c r="J152" s="17">
        <f t="shared" si="21"/>
        <v>2.8846930244613208E-3</v>
      </c>
      <c r="K152" s="19">
        <f t="shared" si="22"/>
        <v>-2.728105534487863E-3</v>
      </c>
      <c r="L152" s="18">
        <f t="shared" si="23"/>
        <v>1538.6020616023056</v>
      </c>
      <c r="M152" s="31"/>
      <c r="N152" s="35"/>
      <c r="O152" s="37"/>
      <c r="P152" s="36"/>
      <c r="Q152" s="36"/>
      <c r="R152" s="36"/>
      <c r="S152" s="36"/>
      <c r="T152" s="36">
        <f t="shared" si="17"/>
        <v>128</v>
      </c>
      <c r="U152" s="53">
        <v>41233</v>
      </c>
      <c r="V152">
        <v>1387.81</v>
      </c>
      <c r="W152" s="58"/>
      <c r="X152" s="39"/>
      <c r="Y152" s="39"/>
      <c r="Z152" s="43"/>
      <c r="AA152" s="43"/>
      <c r="AB152" s="43"/>
      <c r="AC152" s="43"/>
      <c r="AD152" s="43"/>
    </row>
    <row r="153" spans="1:30" x14ac:dyDescent="0.2">
      <c r="A153" s="11">
        <f t="shared" si="18"/>
        <v>150</v>
      </c>
      <c r="B153" s="15">
        <f t="shared" si="19"/>
        <v>0.59523809523809357</v>
      </c>
      <c r="C153" s="17">
        <v>4.3038789552882371E-3</v>
      </c>
      <c r="D153" s="17">
        <v>2.0950313006112661E-2</v>
      </c>
      <c r="E153" s="16">
        <v>-0.69414540211899134</v>
      </c>
      <c r="F153" s="16">
        <v>1.1582882596256125</v>
      </c>
      <c r="G153" s="29">
        <v>0</v>
      </c>
      <c r="H153" s="16">
        <v>0</v>
      </c>
      <c r="I153" s="16">
        <f t="shared" si="20"/>
        <v>1.3280354737359239</v>
      </c>
      <c r="J153" s="17">
        <f t="shared" si="21"/>
        <v>6.999078850156306E-4</v>
      </c>
      <c r="K153" s="19">
        <f t="shared" si="22"/>
        <v>4.520479085528409E-3</v>
      </c>
      <c r="L153" s="18">
        <f t="shared" si="23"/>
        <v>1545.5730242172749</v>
      </c>
      <c r="M153" s="31"/>
      <c r="N153" s="35"/>
      <c r="O153" s="37"/>
      <c r="P153" s="36"/>
      <c r="Q153" s="36"/>
      <c r="R153" s="36"/>
      <c r="S153" s="36"/>
      <c r="T153" s="36">
        <f t="shared" si="17"/>
        <v>129</v>
      </c>
      <c r="U153" s="53">
        <v>41234</v>
      </c>
      <c r="V153">
        <v>1391.03</v>
      </c>
      <c r="W153" s="58"/>
      <c r="X153" s="39"/>
      <c r="Y153" s="39"/>
      <c r="Z153" s="43"/>
      <c r="AA153" s="43"/>
      <c r="AB153" s="43"/>
      <c r="AC153" s="43"/>
      <c r="AD153" s="43"/>
    </row>
    <row r="154" spans="1:30" x14ac:dyDescent="0.2">
      <c r="A154" s="11">
        <f t="shared" si="18"/>
        <v>151</v>
      </c>
      <c r="B154" s="15">
        <f t="shared" si="19"/>
        <v>0.59920634920634752</v>
      </c>
      <c r="C154" s="17">
        <v>4.3038789552882371E-3</v>
      </c>
      <c r="D154" s="17">
        <v>2.0950313006112661E-2</v>
      </c>
      <c r="E154" s="16">
        <v>-1.5001771316028087</v>
      </c>
      <c r="F154" s="16">
        <v>0.93040896051831778</v>
      </c>
      <c r="G154" s="29">
        <v>0</v>
      </c>
      <c r="H154" s="16">
        <v>0</v>
      </c>
      <c r="I154" s="16">
        <f t="shared" si="20"/>
        <v>1.689694760341123</v>
      </c>
      <c r="J154" s="17">
        <f t="shared" si="21"/>
        <v>0</v>
      </c>
      <c r="K154" s="19">
        <f t="shared" si="22"/>
        <v>2.8475508411082246E-3</v>
      </c>
      <c r="L154" s="81">
        <f t="shared" si="23"/>
        <v>1549.9803941091873</v>
      </c>
      <c r="M154" s="31"/>
      <c r="N154" s="35"/>
      <c r="O154" s="37"/>
      <c r="P154" s="36"/>
      <c r="Q154" s="36"/>
      <c r="R154" s="36"/>
      <c r="S154" s="36"/>
      <c r="T154" s="36">
        <f t="shared" si="17"/>
        <v>130</v>
      </c>
      <c r="U154" s="53">
        <v>41236</v>
      </c>
      <c r="V154">
        <v>1409.15</v>
      </c>
      <c r="W154" s="58"/>
      <c r="X154" s="39"/>
      <c r="Y154" s="39"/>
      <c r="Z154" s="43"/>
      <c r="AA154" s="43"/>
      <c r="AB154" s="43"/>
      <c r="AC154" s="43"/>
      <c r="AD154" s="43"/>
    </row>
    <row r="155" spans="1:30" x14ac:dyDescent="0.2">
      <c r="A155" s="11">
        <f t="shared" si="18"/>
        <v>152</v>
      </c>
      <c r="B155" s="15">
        <f t="shared" si="19"/>
        <v>0.60317460317460148</v>
      </c>
      <c r="C155" s="17">
        <v>4.3038789552882371E-3</v>
      </c>
      <c r="D155" s="17">
        <v>2.0950313006112661E-2</v>
      </c>
      <c r="E155" s="16">
        <v>-0.60431172045909121</v>
      </c>
      <c r="F155" s="16">
        <v>1.4245717872826267</v>
      </c>
      <c r="G155" s="29">
        <v>0</v>
      </c>
      <c r="H155" s="16">
        <v>0</v>
      </c>
      <c r="I155" s="16">
        <f t="shared" si="20"/>
        <v>1.4685127874630335</v>
      </c>
      <c r="J155" s="17">
        <f t="shared" si="21"/>
        <v>0</v>
      </c>
      <c r="K155" s="19">
        <f t="shared" si="22"/>
        <v>3.2966912526529989E-5</v>
      </c>
      <c r="L155" s="18">
        <f t="shared" si="23"/>
        <v>1550.0314930195398</v>
      </c>
      <c r="M155" s="31"/>
      <c r="N155" s="35"/>
      <c r="O155" s="37"/>
      <c r="P155" s="36"/>
      <c r="Q155" s="36"/>
      <c r="R155" s="36"/>
      <c r="S155" s="36"/>
      <c r="T155" s="36">
        <f t="shared" ref="T155:T218" si="24">T154+1</f>
        <v>131</v>
      </c>
      <c r="U155" s="53">
        <v>41239</v>
      </c>
      <c r="V155">
        <v>1406.29</v>
      </c>
      <c r="W155" s="58"/>
      <c r="X155" s="39"/>
      <c r="Y155" s="39"/>
      <c r="Z155" s="43"/>
      <c r="AA155" s="43"/>
      <c r="AB155" s="43"/>
      <c r="AC155" s="43"/>
      <c r="AD155" s="43"/>
    </row>
    <row r="156" spans="1:30" x14ac:dyDescent="0.2">
      <c r="A156" s="11">
        <f t="shared" si="18"/>
        <v>153</v>
      </c>
      <c r="B156" s="15">
        <f t="shared" si="19"/>
        <v>0.60714285714285543</v>
      </c>
      <c r="C156" s="17">
        <v>4.3038789552882371E-3</v>
      </c>
      <c r="D156" s="17">
        <v>2.0950313006112661E-2</v>
      </c>
      <c r="E156" s="16">
        <v>-2.0307915554771783</v>
      </c>
      <c r="F156" s="16">
        <v>0.70059520041034262</v>
      </c>
      <c r="G156" s="29">
        <v>0</v>
      </c>
      <c r="H156" s="16">
        <v>0</v>
      </c>
      <c r="I156" s="16">
        <f t="shared" si="20"/>
        <v>1.8678870348814518</v>
      </c>
      <c r="J156" s="17">
        <f t="shared" si="21"/>
        <v>2.3678759548694528E-3</v>
      </c>
      <c r="K156" s="19">
        <f t="shared" si="22"/>
        <v>3.2966912526529989E-5</v>
      </c>
      <c r="L156" s="18">
        <f t="shared" si="23"/>
        <v>1550.0825936144934</v>
      </c>
      <c r="M156" s="31"/>
      <c r="N156" s="35"/>
      <c r="O156" s="37"/>
      <c r="P156" s="36"/>
      <c r="Q156" s="36"/>
      <c r="R156" s="36"/>
      <c r="S156" s="36"/>
      <c r="T156" s="36">
        <f t="shared" si="24"/>
        <v>132</v>
      </c>
      <c r="U156" s="53">
        <v>41240</v>
      </c>
      <c r="V156">
        <v>1398.94</v>
      </c>
      <c r="W156" s="58"/>
      <c r="X156" s="39"/>
      <c r="Y156" s="39"/>
      <c r="Z156" s="43"/>
      <c r="AA156" s="43"/>
      <c r="AB156" s="43"/>
      <c r="AC156" s="43"/>
      <c r="AD156" s="43"/>
    </row>
    <row r="157" spans="1:30" x14ac:dyDescent="0.2">
      <c r="A157" s="11">
        <f t="shared" si="18"/>
        <v>154</v>
      </c>
      <c r="B157" s="15">
        <f t="shared" si="19"/>
        <v>0.61111111111110938</v>
      </c>
      <c r="C157" s="17">
        <v>4.3038789552882371E-3</v>
      </c>
      <c r="D157" s="17">
        <v>2.0950313006112661E-2</v>
      </c>
      <c r="E157" s="16">
        <v>-9.9823083919600514E-2</v>
      </c>
      <c r="F157" s="16">
        <v>1.6165541534693575</v>
      </c>
      <c r="G157" s="29">
        <v>0</v>
      </c>
      <c r="H157" s="16">
        <v>0</v>
      </c>
      <c r="I157" s="16">
        <f t="shared" si="20"/>
        <v>1.2791938214308731</v>
      </c>
      <c r="J157" s="17">
        <f t="shared" si="21"/>
        <v>1.5733572285942959E-3</v>
      </c>
      <c r="K157" s="19">
        <f t="shared" si="22"/>
        <v>3.9494377085709026E-3</v>
      </c>
      <c r="L157" s="18">
        <f t="shared" si="23"/>
        <v>1556.2166533312068</v>
      </c>
      <c r="M157" s="31"/>
      <c r="N157" s="35"/>
      <c r="O157" s="37"/>
      <c r="P157" s="36"/>
      <c r="Q157" s="36"/>
      <c r="R157" s="36"/>
      <c r="S157" s="36"/>
      <c r="T157" s="36">
        <f t="shared" si="24"/>
        <v>133</v>
      </c>
      <c r="U157" s="53">
        <v>41241</v>
      </c>
      <c r="V157">
        <v>1409.93</v>
      </c>
      <c r="W157" s="58"/>
      <c r="X157" s="39"/>
      <c r="Y157" s="39"/>
      <c r="Z157" s="43"/>
      <c r="AA157" s="43"/>
      <c r="AB157" s="43"/>
      <c r="AC157" s="43"/>
      <c r="AD157" s="43"/>
    </row>
    <row r="158" spans="1:30" x14ac:dyDescent="0.2">
      <c r="A158" s="11">
        <f t="shared" si="18"/>
        <v>155</v>
      </c>
      <c r="B158" s="15">
        <f t="shared" si="19"/>
        <v>0.61507936507936334</v>
      </c>
      <c r="C158" s="17">
        <v>4.3038789552882371E-3</v>
      </c>
      <c r="D158" s="17">
        <v>2.0950313006112661E-2</v>
      </c>
      <c r="E158" s="16">
        <v>1.1193872275699288</v>
      </c>
      <c r="F158" s="16">
        <v>0.57273261972610212</v>
      </c>
      <c r="G158" s="29">
        <v>0</v>
      </c>
      <c r="H158" s="16">
        <v>0</v>
      </c>
      <c r="I158" s="16">
        <f t="shared" si="20"/>
        <v>-0.30993434994778662</v>
      </c>
      <c r="J158" s="17">
        <f t="shared" si="21"/>
        <v>4.2705420014292669E-3</v>
      </c>
      <c r="K158" s="19">
        <f t="shared" si="22"/>
        <v>-7.445865091282646E-4</v>
      </c>
      <c r="L158" s="18">
        <f t="shared" si="23"/>
        <v>1555.0583466891198</v>
      </c>
      <c r="M158" s="31"/>
      <c r="N158" s="35"/>
      <c r="O158" s="37"/>
      <c r="P158" s="36"/>
      <c r="Q158" s="36"/>
      <c r="R158" s="36"/>
      <c r="S158" s="36"/>
      <c r="T158" s="36">
        <f t="shared" si="24"/>
        <v>134</v>
      </c>
      <c r="U158" s="53">
        <v>41242</v>
      </c>
      <c r="V158">
        <v>1415.95</v>
      </c>
      <c r="W158" s="58"/>
      <c r="X158" s="39"/>
      <c r="Y158" s="39"/>
      <c r="Z158" s="43"/>
      <c r="AA158" s="43"/>
      <c r="AB158" s="43"/>
      <c r="AC158" s="43"/>
      <c r="AD158" s="43"/>
    </row>
    <row r="159" spans="1:30" x14ac:dyDescent="0.2">
      <c r="A159" s="11">
        <f t="shared" si="18"/>
        <v>156</v>
      </c>
      <c r="B159" s="15">
        <f t="shared" si="19"/>
        <v>0.61904761904761729</v>
      </c>
      <c r="C159" s="17">
        <v>4.3038789552882371E-3</v>
      </c>
      <c r="D159" s="17">
        <v>2.0950313006112661E-2</v>
      </c>
      <c r="E159" s="16">
        <v>-1.6971135863971296</v>
      </c>
      <c r="F159" s="16">
        <v>0.62123621766619097</v>
      </c>
      <c r="G159" s="29">
        <v>0</v>
      </c>
      <c r="H159" s="16">
        <v>0</v>
      </c>
      <c r="I159" s="16">
        <f t="shared" si="20"/>
        <v>1.5878101699132501</v>
      </c>
      <c r="J159" s="17">
        <f t="shared" si="21"/>
        <v>0</v>
      </c>
      <c r="K159" s="19">
        <f t="shared" si="22"/>
        <v>6.5609114701812585E-3</v>
      </c>
      <c r="L159" s="18">
        <f t="shared" si="23"/>
        <v>1565.2944893271883</v>
      </c>
      <c r="M159" s="31"/>
      <c r="N159" s="35"/>
      <c r="O159" s="37"/>
      <c r="P159" s="36"/>
      <c r="Q159" s="36"/>
      <c r="R159" s="36"/>
      <c r="S159" s="36"/>
      <c r="T159" s="36">
        <f t="shared" si="24"/>
        <v>135</v>
      </c>
      <c r="U159" s="53">
        <v>41243</v>
      </c>
      <c r="V159">
        <v>1416.18</v>
      </c>
      <c r="W159" s="58"/>
      <c r="X159" s="39"/>
      <c r="Y159" s="39"/>
      <c r="Z159" s="43"/>
      <c r="AA159" s="43"/>
      <c r="AB159" s="43"/>
      <c r="AC159" s="43"/>
      <c r="AD159" s="43"/>
    </row>
    <row r="160" spans="1:30" x14ac:dyDescent="0.2">
      <c r="A160" s="11">
        <f t="shared" si="18"/>
        <v>157</v>
      </c>
      <c r="B160" s="15">
        <f t="shared" si="19"/>
        <v>0.62301587301587125</v>
      </c>
      <c r="C160" s="17">
        <v>4.3038789552882371E-3</v>
      </c>
      <c r="D160" s="17">
        <v>2.0950313006112661E-2</v>
      </c>
      <c r="E160" s="16">
        <v>1.6375252055146201</v>
      </c>
      <c r="F160" s="16">
        <v>-0.92294050102951397</v>
      </c>
      <c r="G160" s="29">
        <v>0</v>
      </c>
      <c r="H160" s="16">
        <v>0</v>
      </c>
      <c r="I160" s="16">
        <f t="shared" si="20"/>
        <v>-1.7748589861538742</v>
      </c>
      <c r="J160" s="17">
        <f t="shared" si="21"/>
        <v>1.352392527991156E-3</v>
      </c>
      <c r="K160" s="19">
        <f t="shared" si="22"/>
        <v>3.2966912526529989E-5</v>
      </c>
      <c r="L160" s="18">
        <f t="shared" si="23"/>
        <v>1565.3460931043003</v>
      </c>
      <c r="M160" s="31"/>
      <c r="N160" s="35"/>
      <c r="O160" s="37"/>
      <c r="P160" s="36"/>
      <c r="Q160" s="36"/>
      <c r="R160" s="36"/>
      <c r="S160" s="36"/>
      <c r="T160" s="36">
        <f t="shared" si="24"/>
        <v>136</v>
      </c>
      <c r="U160" s="53">
        <v>41246</v>
      </c>
      <c r="V160">
        <v>1409.46</v>
      </c>
      <c r="W160" s="58"/>
      <c r="X160" s="39"/>
      <c r="Y160" s="39"/>
      <c r="Z160" s="43"/>
      <c r="AA160" s="43"/>
      <c r="AB160" s="43"/>
      <c r="AC160" s="43"/>
      <c r="AD160" s="43"/>
    </row>
    <row r="161" spans="1:30" x14ac:dyDescent="0.2">
      <c r="A161" s="11">
        <f t="shared" si="18"/>
        <v>158</v>
      </c>
      <c r="B161" s="15">
        <f t="shared" si="19"/>
        <v>0.6269841269841252</v>
      </c>
      <c r="C161" s="17">
        <v>4.3038789552882371E-3</v>
      </c>
      <c r="D161" s="17">
        <v>2.0950313006112661E-2</v>
      </c>
      <c r="E161" s="16">
        <v>0.23655336640041058</v>
      </c>
      <c r="F161" s="16">
        <v>-1.4086360322044771</v>
      </c>
      <c r="G161" s="29">
        <v>0</v>
      </c>
      <c r="H161" s="16">
        <v>0</v>
      </c>
      <c r="I161" s="16">
        <f t="shared" si="20"/>
        <v>-1.2135123221597899</v>
      </c>
      <c r="J161" s="17">
        <f t="shared" si="21"/>
        <v>1.3133090324576211E-3</v>
      </c>
      <c r="K161" s="19">
        <f t="shared" si="22"/>
        <v>-2.7809394328049551E-3</v>
      </c>
      <c r="L161" s="18">
        <f t="shared" si="23"/>
        <v>1560.9990077201408</v>
      </c>
      <c r="M161" s="31"/>
      <c r="N161" s="35"/>
      <c r="O161" s="37"/>
      <c r="P161" s="36"/>
      <c r="Q161" s="36"/>
      <c r="R161" s="36"/>
      <c r="S161" s="36"/>
      <c r="T161" s="36">
        <f t="shared" si="24"/>
        <v>137</v>
      </c>
      <c r="U161" s="53">
        <v>41247</v>
      </c>
      <c r="V161">
        <v>1407.05</v>
      </c>
      <c r="W161" s="58"/>
      <c r="X161" s="39"/>
      <c r="Y161" s="39"/>
      <c r="Z161" s="43"/>
      <c r="AA161" s="43"/>
      <c r="AB161" s="43"/>
      <c r="AC161" s="43"/>
      <c r="AD161" s="43"/>
    </row>
    <row r="162" spans="1:30" x14ac:dyDescent="0.2">
      <c r="A162" s="11">
        <f t="shared" si="18"/>
        <v>159</v>
      </c>
      <c r="B162" s="15">
        <f t="shared" si="19"/>
        <v>0.63095238095237915</v>
      </c>
      <c r="C162" s="17">
        <v>4.3038789552882371E-3</v>
      </c>
      <c r="D162" s="17">
        <v>2.0950313006112661E-2</v>
      </c>
      <c r="E162" s="16">
        <v>-0.90861609300000945</v>
      </c>
      <c r="F162" s="16">
        <v>1.2114943956926869</v>
      </c>
      <c r="G162" s="29">
        <v>0</v>
      </c>
      <c r="H162" s="16">
        <v>0</v>
      </c>
      <c r="I162" s="16">
        <f t="shared" si="20"/>
        <v>1.5097040455233279</v>
      </c>
      <c r="J162" s="17">
        <f t="shared" si="21"/>
        <v>0</v>
      </c>
      <c r="K162" s="19">
        <f t="shared" si="22"/>
        <v>3.4768351999611008E-3</v>
      </c>
      <c r="L162" s="18">
        <f t="shared" si="23"/>
        <v>1566.4357899383576</v>
      </c>
      <c r="M162" s="31"/>
      <c r="N162" s="35"/>
      <c r="O162" s="37"/>
      <c r="P162" s="36"/>
      <c r="Q162" s="36"/>
      <c r="R162" s="36"/>
      <c r="S162" s="36"/>
      <c r="T162" s="36">
        <f t="shared" si="24"/>
        <v>138</v>
      </c>
      <c r="U162" s="53">
        <v>41248</v>
      </c>
      <c r="V162">
        <v>1409.28</v>
      </c>
      <c r="W162" s="58"/>
      <c r="X162" s="39"/>
      <c r="Y162" s="39"/>
      <c r="Z162" s="43"/>
      <c r="AA162" s="43"/>
      <c r="AB162" s="43"/>
      <c r="AC162" s="43"/>
      <c r="AD162" s="43"/>
    </row>
    <row r="163" spans="1:30" x14ac:dyDescent="0.2">
      <c r="A163" s="11">
        <f t="shared" si="18"/>
        <v>160</v>
      </c>
      <c r="B163" s="15">
        <f t="shared" si="19"/>
        <v>0.63492063492063311</v>
      </c>
      <c r="C163" s="17">
        <v>4.3038789552882371E-3</v>
      </c>
      <c r="D163" s="17">
        <v>2.0950313006112661E-2</v>
      </c>
      <c r="E163" s="16">
        <v>3.1187202587398149E-3</v>
      </c>
      <c r="F163" s="16">
        <v>-0.51855750095241293</v>
      </c>
      <c r="G163" s="29">
        <v>0</v>
      </c>
      <c r="H163" s="16">
        <v>0</v>
      </c>
      <c r="I163" s="16">
        <f t="shared" si="20"/>
        <v>-0.39123840702275137</v>
      </c>
      <c r="J163" s="17">
        <f t="shared" si="21"/>
        <v>0</v>
      </c>
      <c r="K163" s="19">
        <f t="shared" si="22"/>
        <v>3.2966912526529989E-5</v>
      </c>
      <c r="L163" s="18">
        <f t="shared" si="23"/>
        <v>1566.4874313412472</v>
      </c>
      <c r="M163" s="31"/>
      <c r="N163" s="35"/>
      <c r="O163" s="37"/>
      <c r="P163" s="36"/>
      <c r="Q163" s="36"/>
      <c r="R163" s="36"/>
      <c r="S163" s="36"/>
      <c r="T163" s="36">
        <f t="shared" si="24"/>
        <v>139</v>
      </c>
      <c r="U163" s="53">
        <v>41249</v>
      </c>
      <c r="V163">
        <v>1413.94</v>
      </c>
      <c r="W163" s="58"/>
      <c r="X163" s="39"/>
      <c r="Y163" s="39"/>
      <c r="Z163" s="43"/>
      <c r="AA163" s="43"/>
      <c r="AB163" s="43"/>
      <c r="AC163" s="43"/>
      <c r="AD163" s="43"/>
    </row>
    <row r="164" spans="1:30" x14ac:dyDescent="0.2">
      <c r="A164" s="11">
        <f t="shared" si="18"/>
        <v>161</v>
      </c>
      <c r="B164" s="15">
        <f t="shared" si="19"/>
        <v>0.63888888888888706</v>
      </c>
      <c r="C164" s="17">
        <v>4.3038789552882371E-3</v>
      </c>
      <c r="D164" s="17">
        <v>2.0950313006112661E-2</v>
      </c>
      <c r="E164" s="16">
        <v>0.15783076126873549</v>
      </c>
      <c r="F164" s="16">
        <v>-0.37393929179292495</v>
      </c>
      <c r="G164" s="29">
        <v>0</v>
      </c>
      <c r="H164" s="16">
        <v>0</v>
      </c>
      <c r="I164" s="16">
        <f t="shared" si="20"/>
        <v>-0.3849470989949888</v>
      </c>
      <c r="J164" s="17">
        <f t="shared" si="21"/>
        <v>0</v>
      </c>
      <c r="K164" s="19">
        <f t="shared" si="22"/>
        <v>3.2966912526529989E-5</v>
      </c>
      <c r="L164" s="18">
        <f t="shared" si="23"/>
        <v>1566.5390744466224</v>
      </c>
      <c r="M164" s="31"/>
      <c r="N164" s="35"/>
      <c r="O164" s="37"/>
      <c r="P164" s="36"/>
      <c r="Q164" s="36"/>
      <c r="R164" s="36"/>
      <c r="S164" s="36"/>
      <c r="T164" s="36">
        <f t="shared" si="24"/>
        <v>140</v>
      </c>
      <c r="U164" s="53">
        <v>41250</v>
      </c>
      <c r="V164">
        <v>1418.07</v>
      </c>
      <c r="W164" s="58"/>
      <c r="X164" s="39"/>
      <c r="Y164" s="39"/>
      <c r="Z164" s="43"/>
      <c r="AA164" s="43"/>
      <c r="AB164" s="43"/>
      <c r="AC164" s="43"/>
      <c r="AD164" s="43"/>
    </row>
    <row r="165" spans="1:30" x14ac:dyDescent="0.2">
      <c r="A165" s="11">
        <f t="shared" si="18"/>
        <v>162</v>
      </c>
      <c r="B165" s="15">
        <f t="shared" si="19"/>
        <v>0.64285714285714102</v>
      </c>
      <c r="C165" s="17">
        <v>4.3038789552882371E-3</v>
      </c>
      <c r="D165" s="17">
        <v>2.0950313006112661E-2</v>
      </c>
      <c r="E165" s="16">
        <v>-2.2010876364462782E-2</v>
      </c>
      <c r="F165" s="16">
        <v>0.61594351577083506</v>
      </c>
      <c r="G165" s="29">
        <v>0</v>
      </c>
      <c r="H165" s="16">
        <v>0</v>
      </c>
      <c r="I165" s="16">
        <f t="shared" si="20"/>
        <v>0.47681186887524285</v>
      </c>
      <c r="J165" s="17">
        <f t="shared" si="21"/>
        <v>0</v>
      </c>
      <c r="K165" s="19">
        <f t="shared" si="22"/>
        <v>3.2966912526529989E-5</v>
      </c>
      <c r="L165" s="18">
        <f t="shared" si="23"/>
        <v>1566.5907192545394</v>
      </c>
      <c r="M165" s="31"/>
      <c r="N165" s="35"/>
      <c r="O165" s="37"/>
      <c r="P165" s="36"/>
      <c r="Q165" s="36"/>
      <c r="R165" s="36"/>
      <c r="S165" s="36"/>
      <c r="T165" s="36">
        <f t="shared" si="24"/>
        <v>141</v>
      </c>
      <c r="U165" s="53">
        <v>41253</v>
      </c>
      <c r="V165">
        <v>1418.55</v>
      </c>
      <c r="W165" s="58"/>
      <c r="X165" s="39"/>
      <c r="Y165" s="39"/>
      <c r="Z165" s="43"/>
      <c r="AA165" s="43"/>
      <c r="AB165" s="43"/>
      <c r="AC165" s="43"/>
      <c r="AD165" s="43"/>
    </row>
    <row r="166" spans="1:30" x14ac:dyDescent="0.2">
      <c r="A166" s="11">
        <f t="shared" si="18"/>
        <v>163</v>
      </c>
      <c r="B166" s="15">
        <f t="shared" si="19"/>
        <v>0.64682539682539497</v>
      </c>
      <c r="C166" s="17">
        <v>4.3038789552882371E-3</v>
      </c>
      <c r="D166" s="17">
        <v>2.0950313006112661E-2</v>
      </c>
      <c r="E166" s="16">
        <v>0.43090751919931602</v>
      </c>
      <c r="F166" s="16">
        <v>-0.37150367694678382</v>
      </c>
      <c r="G166" s="29">
        <v>0</v>
      </c>
      <c r="H166" s="16">
        <v>0</v>
      </c>
      <c r="I166" s="16">
        <f t="shared" si="20"/>
        <v>-0.56358757056641084</v>
      </c>
      <c r="J166" s="17">
        <f t="shared" si="21"/>
        <v>0</v>
      </c>
      <c r="K166" s="19">
        <f t="shared" si="22"/>
        <v>3.2966912526529989E-5</v>
      </c>
      <c r="L166" s="18">
        <f t="shared" si="23"/>
        <v>1566.6423657650544</v>
      </c>
      <c r="M166" s="31"/>
      <c r="N166" s="35"/>
      <c r="O166" s="37"/>
      <c r="P166" s="36"/>
      <c r="Q166" s="36"/>
      <c r="R166" s="36"/>
      <c r="S166" s="36"/>
      <c r="T166" s="36">
        <f t="shared" si="24"/>
        <v>142</v>
      </c>
      <c r="U166" s="53">
        <v>41254</v>
      </c>
      <c r="V166">
        <v>1427.84</v>
      </c>
      <c r="W166" s="58"/>
      <c r="X166" s="39"/>
      <c r="Y166" s="39"/>
      <c r="Z166" s="43"/>
      <c r="AA166" s="43"/>
      <c r="AB166" s="43"/>
      <c r="AC166" s="43"/>
      <c r="AD166" s="43"/>
    </row>
    <row r="167" spans="1:30" x14ac:dyDescent="0.2">
      <c r="A167" s="11">
        <f t="shared" si="18"/>
        <v>164</v>
      </c>
      <c r="B167" s="15">
        <f t="shared" si="19"/>
        <v>0.65079365079364893</v>
      </c>
      <c r="C167" s="17">
        <v>4.3038789552882371E-3</v>
      </c>
      <c r="D167" s="17">
        <v>2.0950313006112661E-2</v>
      </c>
      <c r="E167" s="16">
        <v>-1.201935612375181</v>
      </c>
      <c r="F167" s="16">
        <v>-0.79722189006766819</v>
      </c>
      <c r="G167" s="29">
        <v>0</v>
      </c>
      <c r="H167" s="16">
        <v>0</v>
      </c>
      <c r="I167" s="16">
        <f t="shared" si="20"/>
        <v>0.19600898237253439</v>
      </c>
      <c r="J167" s="17">
        <f t="shared" si="21"/>
        <v>4.8176459294584377E-4</v>
      </c>
      <c r="K167" s="19">
        <f t="shared" si="22"/>
        <v>3.2966912526529989E-5</v>
      </c>
      <c r="L167" s="18">
        <f t="shared" si="23"/>
        <v>1566.6940139782232</v>
      </c>
      <c r="M167" s="31"/>
      <c r="N167" s="35"/>
      <c r="O167" s="37"/>
      <c r="P167" s="36"/>
      <c r="Q167" s="36"/>
      <c r="R167" s="36"/>
      <c r="S167" s="36"/>
      <c r="T167" s="36">
        <f t="shared" si="24"/>
        <v>143</v>
      </c>
      <c r="U167" s="53">
        <v>41255</v>
      </c>
      <c r="V167">
        <v>1428.48</v>
      </c>
      <c r="W167" s="58"/>
      <c r="X167" s="39"/>
      <c r="Y167" s="39"/>
      <c r="Z167" s="43"/>
      <c r="AA167" s="43"/>
      <c r="AB167" s="43"/>
      <c r="AC167" s="43"/>
      <c r="AD167" s="43"/>
    </row>
    <row r="168" spans="1:30" x14ac:dyDescent="0.2">
      <c r="A168" s="11">
        <f t="shared" si="18"/>
        <v>165</v>
      </c>
      <c r="B168" s="15">
        <f t="shared" si="19"/>
        <v>0.65476190476190288</v>
      </c>
      <c r="C168" s="17">
        <v>4.3038789552882371E-3</v>
      </c>
      <c r="D168" s="17">
        <v>2.0950313006112661E-2</v>
      </c>
      <c r="E168" s="16">
        <v>-1.0507346027797759</v>
      </c>
      <c r="F168" s="16">
        <v>-0.17288650945220102</v>
      </c>
      <c r="G168" s="29">
        <v>0</v>
      </c>
      <c r="H168" s="16">
        <v>0</v>
      </c>
      <c r="I168" s="16">
        <f t="shared" si="20"/>
        <v>0.56464830213445483</v>
      </c>
      <c r="J168" s="17">
        <f t="shared" si="21"/>
        <v>0</v>
      </c>
      <c r="K168" s="19">
        <f t="shared" si="22"/>
        <v>8.1273083352036146E-4</v>
      </c>
      <c r="L168" s="18">
        <f t="shared" si="23"/>
        <v>1567.9678320755806</v>
      </c>
      <c r="M168" s="31"/>
      <c r="N168" s="35"/>
      <c r="O168" s="37"/>
      <c r="P168" s="36"/>
      <c r="Q168" s="36"/>
      <c r="R168" s="36"/>
      <c r="S168" s="36"/>
      <c r="T168" s="36">
        <f t="shared" si="24"/>
        <v>144</v>
      </c>
      <c r="U168" s="53">
        <v>41256</v>
      </c>
      <c r="V168">
        <v>1419.45</v>
      </c>
      <c r="W168" s="58"/>
      <c r="X168" s="39"/>
      <c r="Y168" s="39"/>
      <c r="Z168" s="43"/>
      <c r="AA168" s="43"/>
      <c r="AB168" s="43"/>
      <c r="AC168" s="43"/>
      <c r="AD168" s="43"/>
    </row>
    <row r="169" spans="1:30" x14ac:dyDescent="0.2">
      <c r="A169" s="11">
        <f t="shared" si="18"/>
        <v>166</v>
      </c>
      <c r="B169" s="15">
        <f t="shared" si="19"/>
        <v>0.65873015873015683</v>
      </c>
      <c r="C169" s="17">
        <v>4.3038789552882371E-3</v>
      </c>
      <c r="D169" s="17">
        <v>2.0950313006112661E-2</v>
      </c>
      <c r="E169" s="16">
        <v>-0.67114992541491258</v>
      </c>
      <c r="F169" s="16">
        <v>0.2760158263093917</v>
      </c>
      <c r="G169" s="29">
        <v>0</v>
      </c>
      <c r="H169" s="16">
        <v>0</v>
      </c>
      <c r="I169" s="16">
        <f t="shared" si="20"/>
        <v>0.65069309373360351</v>
      </c>
      <c r="J169" s="17">
        <f t="shared" si="21"/>
        <v>0</v>
      </c>
      <c r="K169" s="19">
        <f t="shared" si="22"/>
        <v>3.2966912526529989E-5</v>
      </c>
      <c r="L169" s="18">
        <f t="shared" si="23"/>
        <v>1568.0195239860018</v>
      </c>
      <c r="M169" s="31"/>
      <c r="N169" s="35"/>
      <c r="O169" s="37"/>
      <c r="P169" s="36"/>
      <c r="Q169" s="36"/>
      <c r="R169" s="36"/>
      <c r="S169" s="36"/>
      <c r="T169" s="36">
        <f t="shared" si="24"/>
        <v>145</v>
      </c>
      <c r="U169" s="53">
        <v>41257</v>
      </c>
      <c r="V169">
        <v>1413.58</v>
      </c>
      <c r="W169" s="58"/>
      <c r="X169" s="39"/>
      <c r="Y169" s="39"/>
      <c r="Z169" s="43"/>
      <c r="AA169" s="43"/>
      <c r="AB169" s="43"/>
      <c r="AC169" s="43"/>
      <c r="AD169" s="43"/>
    </row>
    <row r="170" spans="1:30" x14ac:dyDescent="0.2">
      <c r="A170" s="11">
        <f t="shared" si="18"/>
        <v>167</v>
      </c>
      <c r="B170" s="15">
        <f t="shared" si="19"/>
        <v>0.66269841269841079</v>
      </c>
      <c r="C170" s="17">
        <v>4.3038789552882371E-3</v>
      </c>
      <c r="D170" s="17">
        <v>2.0950313006112661E-2</v>
      </c>
      <c r="E170" s="16">
        <v>-0.72725093580128297</v>
      </c>
      <c r="F170" s="16">
        <v>-0.27913405448126866</v>
      </c>
      <c r="G170" s="29">
        <v>0</v>
      </c>
      <c r="H170" s="16">
        <v>0</v>
      </c>
      <c r="I170" s="16">
        <f t="shared" si="20"/>
        <v>0.27112868921708178</v>
      </c>
      <c r="J170" s="17">
        <f t="shared" si="21"/>
        <v>0</v>
      </c>
      <c r="K170" s="19">
        <f t="shared" si="22"/>
        <v>3.2966912526529989E-5</v>
      </c>
      <c r="L170" s="18">
        <f t="shared" si="23"/>
        <v>1568.0712176005736</v>
      </c>
      <c r="M170" s="31"/>
      <c r="N170" s="35"/>
      <c r="O170" s="37"/>
      <c r="P170" s="36"/>
      <c r="Q170" s="36"/>
      <c r="R170" s="36"/>
      <c r="S170" s="36"/>
      <c r="T170" s="36">
        <f t="shared" si="24"/>
        <v>146</v>
      </c>
      <c r="U170" s="53">
        <v>41260</v>
      </c>
      <c r="V170">
        <v>1430.36</v>
      </c>
      <c r="W170" s="58"/>
      <c r="X170" s="39"/>
      <c r="Y170" s="39"/>
      <c r="Z170" s="43"/>
      <c r="AA170" s="43"/>
      <c r="AB170" s="43"/>
      <c r="AC170" s="43"/>
      <c r="AD170" s="43"/>
    </row>
    <row r="171" spans="1:30" x14ac:dyDescent="0.2">
      <c r="A171" s="11">
        <f t="shared" si="18"/>
        <v>168</v>
      </c>
      <c r="B171" s="15">
        <f t="shared" si="19"/>
        <v>0.66666666666666474</v>
      </c>
      <c r="C171" s="17">
        <v>4.3038789552882371E-3</v>
      </c>
      <c r="D171" s="17">
        <v>2.0950313006112661E-2</v>
      </c>
      <c r="E171" s="16">
        <v>0.27370412196740129</v>
      </c>
      <c r="F171" s="16">
        <v>-0.53394909217800657</v>
      </c>
      <c r="G171" s="29">
        <v>0</v>
      </c>
      <c r="H171" s="16">
        <v>0</v>
      </c>
      <c r="I171" s="16">
        <f t="shared" si="20"/>
        <v>-0.58161173033942248</v>
      </c>
      <c r="J171" s="17">
        <f t="shared" si="21"/>
        <v>0</v>
      </c>
      <c r="K171" s="19">
        <f t="shared" si="22"/>
        <v>3.2966912526529989E-5</v>
      </c>
      <c r="L171" s="18">
        <f t="shared" si="23"/>
        <v>1568.1229129193525</v>
      </c>
      <c r="M171" s="31"/>
      <c r="N171" s="35"/>
      <c r="O171" s="37"/>
      <c r="P171" s="36"/>
      <c r="Q171" s="36"/>
      <c r="R171" s="36"/>
      <c r="S171" s="36"/>
      <c r="T171" s="36">
        <f t="shared" si="24"/>
        <v>147</v>
      </c>
      <c r="U171" s="53">
        <v>41261</v>
      </c>
      <c r="V171">
        <v>1446.79</v>
      </c>
      <c r="W171" s="58"/>
      <c r="X171" s="39"/>
      <c r="Y171" s="39"/>
      <c r="Z171" s="43"/>
      <c r="AA171" s="43"/>
      <c r="AB171" s="43"/>
      <c r="AC171" s="43"/>
      <c r="AD171" s="43"/>
    </row>
    <row r="172" spans="1:30" x14ac:dyDescent="0.2">
      <c r="A172" s="11">
        <f t="shared" si="18"/>
        <v>169</v>
      </c>
      <c r="B172" s="15">
        <f t="shared" si="19"/>
        <v>0.6706349206349187</v>
      </c>
      <c r="C172" s="17">
        <v>4.3038789552882371E-3</v>
      </c>
      <c r="D172" s="17">
        <v>2.0950313006112661E-2</v>
      </c>
      <c r="E172" s="16">
        <v>-0.71808691888952614</v>
      </c>
      <c r="F172" s="16">
        <v>0.85594929179962331</v>
      </c>
      <c r="G172" s="29">
        <v>0</v>
      </c>
      <c r="H172" s="16">
        <v>0</v>
      </c>
      <c r="I172" s="16">
        <f t="shared" si="20"/>
        <v>1.1169523625023126</v>
      </c>
      <c r="J172" s="17">
        <f t="shared" si="21"/>
        <v>0</v>
      </c>
      <c r="K172" s="19">
        <f t="shared" si="22"/>
        <v>3.2966912526529989E-5</v>
      </c>
      <c r="L172" s="18">
        <f t="shared" si="23"/>
        <v>1568.1746099423945</v>
      </c>
      <c r="M172" s="31"/>
      <c r="N172" s="35"/>
      <c r="O172" s="37"/>
      <c r="P172" s="36"/>
      <c r="Q172" s="36"/>
      <c r="R172" s="36"/>
      <c r="S172" s="36"/>
      <c r="T172" s="36">
        <f t="shared" si="24"/>
        <v>148</v>
      </c>
      <c r="U172" s="53">
        <v>41262</v>
      </c>
      <c r="V172">
        <v>1435.81</v>
      </c>
      <c r="W172" s="58"/>
      <c r="X172" s="39"/>
      <c r="Y172" s="39"/>
      <c r="Z172" s="43"/>
      <c r="AA172" s="43"/>
      <c r="AB172" s="43"/>
      <c r="AC172" s="43"/>
      <c r="AD172" s="43"/>
    </row>
    <row r="173" spans="1:30" x14ac:dyDescent="0.2">
      <c r="A173" s="11">
        <f t="shared" si="18"/>
        <v>170</v>
      </c>
      <c r="B173" s="15">
        <f t="shared" si="19"/>
        <v>0.67460317460317265</v>
      </c>
      <c r="C173" s="17">
        <v>4.3038789552882371E-3</v>
      </c>
      <c r="D173" s="17">
        <v>2.0950313006112661E-2</v>
      </c>
      <c r="E173" s="16">
        <v>-0.76988782920565801</v>
      </c>
      <c r="F173" s="16">
        <v>0.4387992366095822</v>
      </c>
      <c r="G173" s="29">
        <v>0</v>
      </c>
      <c r="H173" s="16">
        <v>0</v>
      </c>
      <c r="I173" s="16">
        <f t="shared" si="20"/>
        <v>0.83811499930955446</v>
      </c>
      <c r="J173" s="17">
        <f t="shared" si="21"/>
        <v>0</v>
      </c>
      <c r="K173" s="19">
        <f t="shared" si="22"/>
        <v>3.2966912526529989E-5</v>
      </c>
      <c r="L173" s="81">
        <f t="shared" si="23"/>
        <v>1568.2263086697558</v>
      </c>
      <c r="M173" s="31"/>
      <c r="N173" s="35"/>
      <c r="O173" s="37"/>
      <c r="P173" s="36"/>
      <c r="Q173" s="36"/>
      <c r="R173" s="36"/>
      <c r="S173" s="36"/>
      <c r="T173" s="36">
        <f t="shared" si="24"/>
        <v>149</v>
      </c>
      <c r="U173" s="53">
        <v>41263</v>
      </c>
      <c r="V173">
        <v>1443.69</v>
      </c>
      <c r="W173" s="58"/>
      <c r="X173" s="39"/>
      <c r="Y173" s="39"/>
      <c r="Z173" s="43"/>
      <c r="AA173" s="43"/>
      <c r="AB173" s="43"/>
      <c r="AC173" s="43"/>
      <c r="AD173" s="43"/>
    </row>
    <row r="174" spans="1:30" x14ac:dyDescent="0.2">
      <c r="A174" s="11">
        <f t="shared" si="18"/>
        <v>171</v>
      </c>
      <c r="B174" s="15">
        <f t="shared" si="19"/>
        <v>0.6785714285714266</v>
      </c>
      <c r="C174" s="17">
        <v>4.3038789552882371E-3</v>
      </c>
      <c r="D174" s="17">
        <v>2.0950313006112661E-2</v>
      </c>
      <c r="E174" s="16">
        <v>-1.724104931997972</v>
      </c>
      <c r="F174" s="16">
        <v>2.8824092689275837E-2</v>
      </c>
      <c r="G174" s="29">
        <v>0</v>
      </c>
      <c r="H174" s="16">
        <v>0</v>
      </c>
      <c r="I174" s="16">
        <f t="shared" si="20"/>
        <v>1.1610427344569196</v>
      </c>
      <c r="J174" s="17">
        <f t="shared" si="21"/>
        <v>1.5572658268476021E-3</v>
      </c>
      <c r="K174" s="19">
        <f t="shared" si="22"/>
        <v>3.2966912526529989E-5</v>
      </c>
      <c r="L174" s="18">
        <f t="shared" si="23"/>
        <v>1568.2780091014927</v>
      </c>
      <c r="M174" s="31"/>
      <c r="N174" s="35"/>
      <c r="O174" s="37"/>
      <c r="P174" s="36"/>
      <c r="Q174" s="36"/>
      <c r="R174" s="36"/>
      <c r="S174" s="36"/>
      <c r="T174" s="36">
        <f t="shared" si="24"/>
        <v>150</v>
      </c>
      <c r="U174" s="53">
        <v>41264</v>
      </c>
      <c r="V174">
        <v>1430.15</v>
      </c>
      <c r="W174" s="58"/>
      <c r="X174" s="39"/>
      <c r="Y174" s="39"/>
      <c r="Z174" s="43"/>
      <c r="AA174" s="43"/>
      <c r="AB174" s="43"/>
      <c r="AC174" s="43"/>
      <c r="AD174" s="43"/>
    </row>
    <row r="175" spans="1:30" x14ac:dyDescent="0.2">
      <c r="A175" s="11">
        <f t="shared" si="18"/>
        <v>172</v>
      </c>
      <c r="B175" s="15">
        <f t="shared" si="19"/>
        <v>0.68253968253968056</v>
      </c>
      <c r="C175" s="17">
        <v>4.0870053892759261E-3</v>
      </c>
      <c r="D175" s="17">
        <v>1.5977558870727267E-2</v>
      </c>
      <c r="E175" s="16">
        <v>1.6782383340890861</v>
      </c>
      <c r="F175" s="16">
        <v>0.34818080043944644</v>
      </c>
      <c r="G175" s="29">
        <v>0</v>
      </c>
      <c r="H175" s="16">
        <v>0</v>
      </c>
      <c r="I175" s="16">
        <f t="shared" si="20"/>
        <v>-0.84778872560649832</v>
      </c>
      <c r="J175" s="17">
        <f t="shared" si="21"/>
        <v>6.5131867748345436E-3</v>
      </c>
      <c r="K175" s="19">
        <f t="shared" si="22"/>
        <v>-2.0587559867526915E-3</v>
      </c>
      <c r="L175" s="18">
        <f t="shared" si="23"/>
        <v>1565.0526286362583</v>
      </c>
      <c r="M175" s="31"/>
      <c r="N175" s="35"/>
      <c r="O175" s="37"/>
      <c r="P175" s="36"/>
      <c r="Q175" s="36"/>
      <c r="R175" s="36"/>
      <c r="S175" s="36"/>
      <c r="T175" s="36">
        <f t="shared" si="24"/>
        <v>151</v>
      </c>
      <c r="U175" s="53">
        <v>41267</v>
      </c>
      <c r="V175">
        <v>1426.66</v>
      </c>
      <c r="W175" s="58"/>
      <c r="X175" s="39"/>
      <c r="Y175" s="39"/>
      <c r="Z175" s="43"/>
      <c r="AA175" s="43"/>
      <c r="AB175" s="43"/>
      <c r="AC175" s="43"/>
      <c r="AD175" s="43"/>
    </row>
    <row r="176" spans="1:30" x14ac:dyDescent="0.2">
      <c r="A176" s="11">
        <f t="shared" si="18"/>
        <v>173</v>
      </c>
      <c r="B176" s="15">
        <f t="shared" si="19"/>
        <v>0.68650793650793451</v>
      </c>
      <c r="C176" s="17">
        <v>4.0870053892759261E-3</v>
      </c>
      <c r="D176" s="17">
        <v>1.5977558870727267E-2</v>
      </c>
      <c r="E176" s="16">
        <v>0.29720753542844841</v>
      </c>
      <c r="F176" s="16">
        <v>-1.1921240956906114</v>
      </c>
      <c r="G176" s="29">
        <v>0</v>
      </c>
      <c r="H176" s="16">
        <v>0</v>
      </c>
      <c r="I176" s="16">
        <f t="shared" si="20"/>
        <v>-1.0911046991128355</v>
      </c>
      <c r="J176" s="17">
        <f t="shared" si="21"/>
        <v>7.2892184425298479E-3</v>
      </c>
      <c r="K176" s="19">
        <f t="shared" si="22"/>
        <v>-5.508144282316726E-3</v>
      </c>
      <c r="L176" s="18">
        <f t="shared" si="23"/>
        <v>1556.4557909947732</v>
      </c>
      <c r="M176" s="31"/>
      <c r="N176" s="35"/>
      <c r="O176" s="37"/>
      <c r="P176" s="36"/>
      <c r="Q176" s="36"/>
      <c r="R176" s="36"/>
      <c r="S176" s="36"/>
      <c r="T176" s="36">
        <f t="shared" si="24"/>
        <v>152</v>
      </c>
      <c r="U176" s="53">
        <v>41269</v>
      </c>
      <c r="V176">
        <v>1419.83</v>
      </c>
      <c r="W176" s="58"/>
      <c r="X176" s="39"/>
      <c r="Y176" s="39"/>
      <c r="Z176" s="43"/>
      <c r="AA176" s="43"/>
      <c r="AB176" s="43"/>
      <c r="AC176" s="43"/>
      <c r="AD176" s="43"/>
    </row>
    <row r="177" spans="1:30" x14ac:dyDescent="0.2">
      <c r="A177" s="11">
        <f t="shared" si="18"/>
        <v>174</v>
      </c>
      <c r="B177" s="15">
        <f t="shared" si="19"/>
        <v>0.69047619047618847</v>
      </c>
      <c r="C177" s="17">
        <v>4.0870053892759261E-3</v>
      </c>
      <c r="D177" s="17">
        <v>1.5977558870727267E-2</v>
      </c>
      <c r="E177" s="16">
        <v>2.8391074136056318</v>
      </c>
      <c r="F177" s="16">
        <v>-1.1717003277736797</v>
      </c>
      <c r="G177" s="29">
        <v>0</v>
      </c>
      <c r="H177" s="16">
        <v>0</v>
      </c>
      <c r="I177" s="16">
        <f t="shared" si="20"/>
        <v>-2.7556435554050207</v>
      </c>
      <c r="J177" s="17">
        <f t="shared" si="21"/>
        <v>2.5263498054069349E-2</v>
      </c>
      <c r="K177" s="19">
        <f t="shared" si="22"/>
        <v>-1.4783136831974979E-2</v>
      </c>
      <c r="L177" s="18">
        <f t="shared" si="23"/>
        <v>1533.6157318793423</v>
      </c>
      <c r="M177" s="31"/>
      <c r="N177" s="35"/>
      <c r="O177" s="37"/>
      <c r="P177" s="36"/>
      <c r="Q177" s="36"/>
      <c r="R177" s="36"/>
      <c r="S177" s="36"/>
      <c r="T177" s="36">
        <f t="shared" si="24"/>
        <v>153</v>
      </c>
      <c r="U177" s="53">
        <v>41270</v>
      </c>
      <c r="V177">
        <v>1418.1</v>
      </c>
      <c r="W177" s="58"/>
      <c r="X177" s="39"/>
      <c r="Y177" s="39"/>
      <c r="Z177" s="43"/>
      <c r="AA177" s="43"/>
      <c r="AB177" s="43"/>
      <c r="AC177" s="43"/>
      <c r="AD177" s="43"/>
    </row>
    <row r="178" spans="1:30" x14ac:dyDescent="0.2">
      <c r="A178" s="11">
        <f t="shared" si="18"/>
        <v>175</v>
      </c>
      <c r="B178" s="15">
        <f t="shared" si="19"/>
        <v>0.69444444444444242</v>
      </c>
      <c r="C178" s="17">
        <v>4.0870053892759261E-3</v>
      </c>
      <c r="D178" s="17">
        <v>1.5977558870727267E-2</v>
      </c>
      <c r="E178" s="16">
        <v>8.3056132703154106E-3</v>
      </c>
      <c r="F178" s="16">
        <v>-2.7721329433449751E-2</v>
      </c>
      <c r="G178" s="29">
        <v>0</v>
      </c>
      <c r="H178" s="16">
        <v>0</v>
      </c>
      <c r="I178" s="16">
        <f t="shared" si="20"/>
        <v>-2.6293789711680834E-2</v>
      </c>
      <c r="J178" s="17">
        <f t="shared" si="21"/>
        <v>2.4706283339968646E-2</v>
      </c>
      <c r="K178" s="19">
        <f t="shared" si="22"/>
        <v>-2.6155549316263856E-4</v>
      </c>
      <c r="L178" s="18">
        <f t="shared" si="23"/>
        <v>1533.2146587139998</v>
      </c>
      <c r="M178" s="31"/>
      <c r="N178" s="35"/>
      <c r="O178" s="37"/>
      <c r="P178" s="36"/>
      <c r="Q178" s="36"/>
      <c r="R178" s="36"/>
      <c r="S178" s="36"/>
      <c r="T178" s="36">
        <f t="shared" si="24"/>
        <v>154</v>
      </c>
      <c r="U178" s="53">
        <v>41271</v>
      </c>
      <c r="V178">
        <v>1402.43</v>
      </c>
      <c r="W178" s="58"/>
      <c r="X178" s="39"/>
      <c r="Y178" s="39"/>
      <c r="Z178" s="43"/>
      <c r="AA178" s="43"/>
      <c r="AB178" s="43"/>
      <c r="AC178" s="43"/>
      <c r="AD178" s="43"/>
    </row>
    <row r="179" spans="1:30" x14ac:dyDescent="0.2">
      <c r="A179" s="11">
        <f t="shared" si="18"/>
        <v>176</v>
      </c>
      <c r="B179" s="15">
        <f t="shared" si="19"/>
        <v>0.69841269841269638</v>
      </c>
      <c r="C179" s="17">
        <v>4.0870053892759261E-3</v>
      </c>
      <c r="D179" s="17">
        <v>1.5977558870727267E-2</v>
      </c>
      <c r="E179" s="16">
        <v>-0.32162703281399146</v>
      </c>
      <c r="F179" s="16">
        <v>0.15875892743826156</v>
      </c>
      <c r="G179" s="29">
        <v>0</v>
      </c>
      <c r="H179" s="16">
        <v>0</v>
      </c>
      <c r="I179" s="16">
        <f t="shared" si="20"/>
        <v>0.33170240360348802</v>
      </c>
      <c r="J179" s="17">
        <f t="shared" si="21"/>
        <v>2.1471280713356473E-2</v>
      </c>
      <c r="K179" s="19">
        <f t="shared" si="22"/>
        <v>3.287188903329295E-3</v>
      </c>
      <c r="L179" s="18">
        <f t="shared" si="23"/>
        <v>1538.2629176711662</v>
      </c>
      <c r="M179" s="31"/>
      <c r="N179" s="35"/>
      <c r="O179" s="37"/>
      <c r="P179" s="36"/>
      <c r="Q179" s="36"/>
      <c r="R179" s="36"/>
      <c r="S179" s="36"/>
      <c r="T179" s="36">
        <f t="shared" si="24"/>
        <v>155</v>
      </c>
      <c r="U179" s="53">
        <v>41274</v>
      </c>
      <c r="V179">
        <v>1426.19</v>
      </c>
      <c r="W179" s="58"/>
      <c r="X179" s="39"/>
      <c r="Y179" s="39"/>
      <c r="Z179" s="43"/>
      <c r="AA179" s="43"/>
      <c r="AB179" s="43"/>
      <c r="AC179" s="43"/>
      <c r="AD179" s="43"/>
    </row>
    <row r="180" spans="1:30" x14ac:dyDescent="0.2">
      <c r="A180" s="11">
        <f t="shared" si="18"/>
        <v>177</v>
      </c>
      <c r="B180" s="15">
        <f t="shared" si="19"/>
        <v>0.70238095238095033</v>
      </c>
      <c r="C180" s="17">
        <v>4.0870053892759261E-3</v>
      </c>
      <c r="D180" s="17">
        <v>1.5977558870727267E-2</v>
      </c>
      <c r="E180" s="16">
        <v>-0.45841028303118408</v>
      </c>
      <c r="F180" s="16">
        <v>-0.63179874837244154</v>
      </c>
      <c r="G180" s="29">
        <v>0</v>
      </c>
      <c r="H180" s="16">
        <v>0</v>
      </c>
      <c r="I180" s="16">
        <f t="shared" si="20"/>
        <v>-0.171215000172873</v>
      </c>
      <c r="J180" s="17">
        <f t="shared" si="21"/>
        <v>1.7441433932320369E-2</v>
      </c>
      <c r="K180" s="19">
        <f t="shared" si="22"/>
        <v>-1.5711750083028169E-3</v>
      </c>
      <c r="L180" s="18">
        <f t="shared" si="23"/>
        <v>1535.8479350956566</v>
      </c>
      <c r="M180" s="31"/>
      <c r="N180" s="35"/>
      <c r="O180" s="37"/>
      <c r="P180" s="36"/>
      <c r="Q180" s="36"/>
      <c r="R180" s="36"/>
      <c r="S180" s="36"/>
      <c r="T180" s="36">
        <f t="shared" si="24"/>
        <v>156</v>
      </c>
      <c r="U180" s="53">
        <v>41276</v>
      </c>
      <c r="V180">
        <v>1462.42</v>
      </c>
      <c r="W180" s="58"/>
      <c r="X180" s="39"/>
      <c r="Y180" s="39"/>
      <c r="Z180" s="43"/>
      <c r="AA180" s="43"/>
      <c r="AB180" s="43"/>
      <c r="AC180" s="43"/>
      <c r="AD180" s="43"/>
    </row>
    <row r="181" spans="1:30" x14ac:dyDescent="0.2">
      <c r="A181" s="11">
        <f t="shared" si="18"/>
        <v>178</v>
      </c>
      <c r="B181" s="15">
        <f t="shared" si="19"/>
        <v>0.70634920634920428</v>
      </c>
      <c r="C181" s="17">
        <v>4.0870053892759261E-3</v>
      </c>
      <c r="D181" s="17">
        <v>1.5977558870727267E-2</v>
      </c>
      <c r="E181" s="16">
        <v>-0.17667173361341634</v>
      </c>
      <c r="F181" s="16">
        <v>-0.20458061236295649</v>
      </c>
      <c r="G181" s="29">
        <v>0</v>
      </c>
      <c r="H181" s="16">
        <v>0</v>
      </c>
      <c r="I181" s="16">
        <f t="shared" si="20"/>
        <v>-3.6780568600058045E-2</v>
      </c>
      <c r="J181" s="17">
        <f t="shared" si="21"/>
        <v>1.5626552105330951E-2</v>
      </c>
      <c r="K181" s="19">
        <f t="shared" si="22"/>
        <v>-2.8875799439813214E-4</v>
      </c>
      <c r="L181" s="18">
        <f t="shared" si="23"/>
        <v>1535.4045107504612</v>
      </c>
      <c r="M181" s="31"/>
      <c r="N181" s="35"/>
      <c r="O181" s="37"/>
      <c r="P181" s="36"/>
      <c r="Q181" s="36"/>
      <c r="R181" s="36"/>
      <c r="S181" s="36"/>
      <c r="T181" s="36">
        <f t="shared" si="24"/>
        <v>157</v>
      </c>
      <c r="U181" s="53">
        <v>41277</v>
      </c>
      <c r="V181">
        <v>1459.37</v>
      </c>
      <c r="W181" s="58"/>
      <c r="X181" s="39"/>
      <c r="Y181" s="39"/>
      <c r="Z181" s="43"/>
      <c r="AA181" s="43"/>
      <c r="AB181" s="43"/>
      <c r="AC181" s="43"/>
      <c r="AD181" s="43"/>
    </row>
    <row r="182" spans="1:30" x14ac:dyDescent="0.2">
      <c r="A182" s="11">
        <f t="shared" si="18"/>
        <v>179</v>
      </c>
      <c r="B182" s="15">
        <f t="shared" si="19"/>
        <v>0.71031746031745824</v>
      </c>
      <c r="C182" s="17">
        <v>4.0870053892759261E-3</v>
      </c>
      <c r="D182" s="17">
        <v>1.5977558870727267E-2</v>
      </c>
      <c r="E182" s="16">
        <v>-0.59297396503277144</v>
      </c>
      <c r="F182" s="16">
        <v>-0.40718469440981914</v>
      </c>
      <c r="G182" s="29">
        <v>0</v>
      </c>
      <c r="H182" s="16">
        <v>0</v>
      </c>
      <c r="I182" s="16">
        <f t="shared" si="20"/>
        <v>8.6286998822469652E-2</v>
      </c>
      <c r="J182" s="17">
        <f t="shared" si="21"/>
        <v>1.134860877457311E-2</v>
      </c>
      <c r="K182" s="19">
        <f t="shared" si="22"/>
        <v>7.003143870190499E-4</v>
      </c>
      <c r="L182" s="18">
        <f t="shared" si="23"/>
        <v>1536.4801532192203</v>
      </c>
      <c r="M182" s="31"/>
      <c r="N182" s="35"/>
      <c r="O182" s="37"/>
      <c r="P182" s="36"/>
      <c r="Q182" s="36"/>
      <c r="R182" s="36"/>
      <c r="S182" s="36"/>
      <c r="T182" s="36">
        <f t="shared" si="24"/>
        <v>158</v>
      </c>
      <c r="U182" s="53">
        <v>41278</v>
      </c>
      <c r="V182">
        <v>1466.47</v>
      </c>
      <c r="W182" s="58"/>
      <c r="X182" s="39"/>
      <c r="Y182" s="39"/>
      <c r="Z182" s="43"/>
      <c r="AA182" s="43"/>
      <c r="AB182" s="43"/>
      <c r="AC182" s="43"/>
      <c r="AD182" s="43"/>
    </row>
    <row r="183" spans="1:30" x14ac:dyDescent="0.2">
      <c r="A183" s="11">
        <f t="shared" si="18"/>
        <v>180</v>
      </c>
      <c r="B183" s="15">
        <f t="shared" si="19"/>
        <v>0.71428571428571219</v>
      </c>
      <c r="C183" s="17">
        <v>4.0870053892759261E-3</v>
      </c>
      <c r="D183" s="17">
        <v>1.5977558870727267E-2</v>
      </c>
      <c r="E183" s="16">
        <v>-0.40686380807764916</v>
      </c>
      <c r="F183" s="16">
        <v>0.41106625190048307</v>
      </c>
      <c r="G183" s="29">
        <v>0</v>
      </c>
      <c r="H183" s="16">
        <v>0</v>
      </c>
      <c r="I183" s="16">
        <f t="shared" si="20"/>
        <v>0.57738949614740553</v>
      </c>
      <c r="J183" s="17">
        <f t="shared" si="21"/>
        <v>8.5886809142591228E-3</v>
      </c>
      <c r="K183" s="19">
        <f t="shared" si="22"/>
        <v>3.9040387731420893E-3</v>
      </c>
      <c r="L183" s="18">
        <f t="shared" si="23"/>
        <v>1542.4903557096141</v>
      </c>
      <c r="M183" s="31"/>
      <c r="N183" s="35"/>
      <c r="O183" s="37"/>
      <c r="P183" s="36"/>
      <c r="Q183" s="36"/>
      <c r="R183" s="36"/>
      <c r="S183" s="36"/>
      <c r="T183" s="36">
        <f t="shared" si="24"/>
        <v>159</v>
      </c>
      <c r="U183" s="53">
        <v>41281</v>
      </c>
      <c r="V183">
        <v>1461.89</v>
      </c>
      <c r="W183" s="58"/>
      <c r="X183" s="39"/>
      <c r="Y183" s="39"/>
      <c r="Z183" s="43"/>
      <c r="AA183" s="43"/>
      <c r="AB183" s="43"/>
      <c r="AC183" s="43"/>
      <c r="AD183" s="43"/>
    </row>
    <row r="184" spans="1:30" x14ac:dyDescent="0.2">
      <c r="A184" s="11">
        <f t="shared" si="18"/>
        <v>181</v>
      </c>
      <c r="B184" s="15">
        <f t="shared" si="19"/>
        <v>0.71825396825396615</v>
      </c>
      <c r="C184" s="17">
        <v>4.0870053892759261E-3</v>
      </c>
      <c r="D184" s="17">
        <v>1.5977558870727267E-2</v>
      </c>
      <c r="E184" s="16">
        <v>0.36101734464157864</v>
      </c>
      <c r="F184" s="16">
        <v>-0.27937888203930578</v>
      </c>
      <c r="G184" s="29">
        <v>0</v>
      </c>
      <c r="H184" s="16">
        <v>0</v>
      </c>
      <c r="I184" s="16">
        <f t="shared" si="20"/>
        <v>-0.4482595626386105</v>
      </c>
      <c r="J184" s="17">
        <f t="shared" si="21"/>
        <v>9.8892840634081675E-3</v>
      </c>
      <c r="K184" s="19">
        <f t="shared" si="22"/>
        <v>-2.5821341150751519E-3</v>
      </c>
      <c r="L184" s="18">
        <f t="shared" si="23"/>
        <v>1538.5125765297487</v>
      </c>
      <c r="M184" s="31"/>
      <c r="N184" s="35"/>
      <c r="O184" s="37"/>
      <c r="P184" s="36"/>
      <c r="Q184" s="36"/>
      <c r="R184" s="36"/>
      <c r="S184" s="36"/>
      <c r="T184" s="36">
        <f t="shared" si="24"/>
        <v>160</v>
      </c>
      <c r="U184" s="53">
        <v>41282</v>
      </c>
      <c r="V184">
        <v>1457.15</v>
      </c>
      <c r="W184" s="58"/>
      <c r="X184" s="39"/>
      <c r="Y184" s="39"/>
      <c r="Z184" s="43"/>
      <c r="AA184" s="43"/>
      <c r="AB184" s="43"/>
      <c r="AC184" s="43"/>
      <c r="AD184" s="43"/>
    </row>
    <row r="185" spans="1:30" x14ac:dyDescent="0.2">
      <c r="A185" s="11">
        <f t="shared" si="18"/>
        <v>182</v>
      </c>
      <c r="B185" s="15">
        <f t="shared" si="19"/>
        <v>0.7222222222222201</v>
      </c>
      <c r="C185" s="17">
        <v>4.0870053892759261E-3</v>
      </c>
      <c r="D185" s="17">
        <v>1.5977558870727267E-2</v>
      </c>
      <c r="E185" s="16">
        <v>0.29178586456230127</v>
      </c>
      <c r="F185" s="16">
        <v>-0.60827858063234952</v>
      </c>
      <c r="G185" s="29">
        <v>0</v>
      </c>
      <c r="H185" s="16">
        <v>0</v>
      </c>
      <c r="I185" s="16">
        <f t="shared" si="20"/>
        <v>-0.64934569371633055</v>
      </c>
      <c r="J185" s="17">
        <f t="shared" si="21"/>
        <v>1.0917692312184557E-2</v>
      </c>
      <c r="K185" s="19">
        <f t="shared" si="22"/>
        <v>-4.0355683566392891E-3</v>
      </c>
      <c r="L185" s="18">
        <f t="shared" si="23"/>
        <v>1532.3163149873787</v>
      </c>
      <c r="M185" s="31"/>
      <c r="N185" s="35"/>
      <c r="O185" s="37"/>
      <c r="P185" s="36"/>
      <c r="Q185" s="36"/>
      <c r="R185" s="36"/>
      <c r="S185" s="36"/>
      <c r="T185" s="36">
        <f t="shared" si="24"/>
        <v>161</v>
      </c>
      <c r="U185" s="53">
        <v>41283</v>
      </c>
      <c r="V185">
        <v>1461.02</v>
      </c>
      <c r="W185" s="58"/>
      <c r="X185" s="39"/>
      <c r="Y185" s="39"/>
      <c r="Z185" s="43"/>
      <c r="AA185" s="43"/>
      <c r="AB185" s="43"/>
      <c r="AC185" s="43"/>
      <c r="AD185" s="43"/>
    </row>
    <row r="186" spans="1:30" x14ac:dyDescent="0.2">
      <c r="A186" s="11">
        <f t="shared" si="18"/>
        <v>183</v>
      </c>
      <c r="B186" s="15">
        <f t="shared" si="19"/>
        <v>0.72619047619047405</v>
      </c>
      <c r="C186" s="17">
        <v>4.0870053892759261E-3</v>
      </c>
      <c r="D186" s="17">
        <v>1.5977558870727267E-2</v>
      </c>
      <c r="E186" s="16">
        <v>-0.60569606636629625</v>
      </c>
      <c r="F186" s="16">
        <v>-0.4124339202607894</v>
      </c>
      <c r="G186" s="29">
        <v>0</v>
      </c>
      <c r="H186" s="16">
        <v>0</v>
      </c>
      <c r="I186" s="16">
        <f t="shared" si="20"/>
        <v>9.0755118219836839E-2</v>
      </c>
      <c r="J186" s="17">
        <f t="shared" si="21"/>
        <v>7.2427356293531826E-3</v>
      </c>
      <c r="K186" s="19">
        <f t="shared" si="22"/>
        <v>6.2753756386132477E-4</v>
      </c>
      <c r="L186" s="18">
        <f t="shared" si="23"/>
        <v>1533.2782028135562</v>
      </c>
      <c r="M186" s="31"/>
      <c r="N186" s="35"/>
      <c r="O186" s="37"/>
      <c r="P186" s="36"/>
      <c r="Q186" s="36"/>
      <c r="R186" s="36"/>
      <c r="S186" s="36"/>
      <c r="T186" s="36">
        <f t="shared" si="24"/>
        <v>162</v>
      </c>
      <c r="U186" s="53">
        <v>41284</v>
      </c>
      <c r="V186">
        <v>1472.12</v>
      </c>
      <c r="W186" s="58"/>
      <c r="X186" s="39"/>
      <c r="Y186" s="39"/>
      <c r="Z186" s="43"/>
      <c r="AA186" s="43"/>
      <c r="AB186" s="43"/>
      <c r="AC186" s="43"/>
      <c r="AD186" s="43"/>
    </row>
    <row r="187" spans="1:30" x14ac:dyDescent="0.2">
      <c r="A187" s="11">
        <f t="shared" si="18"/>
        <v>184</v>
      </c>
      <c r="B187" s="15">
        <f t="shared" si="19"/>
        <v>0.73015873015872801</v>
      </c>
      <c r="C187" s="17">
        <v>4.0870053892759261E-3</v>
      </c>
      <c r="D187" s="17">
        <v>1.5977558870727267E-2</v>
      </c>
      <c r="E187" s="16">
        <v>0.20333933843095756</v>
      </c>
      <c r="F187" s="16">
        <v>0.6980637235708802</v>
      </c>
      <c r="G187" s="29">
        <v>0</v>
      </c>
      <c r="H187" s="16">
        <v>0</v>
      </c>
      <c r="I187" s="16">
        <f t="shared" si="20"/>
        <v>0.38951574295348701</v>
      </c>
      <c r="J187" s="17">
        <f t="shared" si="21"/>
        <v>7.6285258843137027E-3</v>
      </c>
      <c r="K187" s="19">
        <f t="shared" si="22"/>
        <v>2.1256880354520152E-3</v>
      </c>
      <c r="L187" s="18">
        <f t="shared" si="23"/>
        <v>1536.5409404969546</v>
      </c>
      <c r="M187" s="31"/>
      <c r="N187" s="35"/>
      <c r="O187" s="37"/>
      <c r="P187" s="36"/>
      <c r="Q187" s="36"/>
      <c r="R187" s="36"/>
      <c r="S187" s="36"/>
      <c r="T187" s="36">
        <f t="shared" si="24"/>
        <v>163</v>
      </c>
      <c r="U187" s="53">
        <v>41285</v>
      </c>
      <c r="V187">
        <v>1472.05</v>
      </c>
      <c r="W187" s="58"/>
      <c r="X187" s="39"/>
      <c r="Y187" s="39"/>
      <c r="Z187" s="43"/>
      <c r="AA187" s="43"/>
      <c r="AB187" s="43"/>
      <c r="AC187" s="43"/>
      <c r="AD187" s="43"/>
    </row>
    <row r="188" spans="1:30" x14ac:dyDescent="0.2">
      <c r="A188" s="11">
        <f t="shared" si="18"/>
        <v>185</v>
      </c>
      <c r="B188" s="15">
        <f t="shared" si="19"/>
        <v>0.73412698412698196</v>
      </c>
      <c r="C188" s="17">
        <v>4.0870053892759261E-3</v>
      </c>
      <c r="D188" s="17">
        <v>1.5977558870727267E-2</v>
      </c>
      <c r="E188" s="16">
        <v>-1.2541929779920562</v>
      </c>
      <c r="F188" s="16">
        <v>1.2254177641849426</v>
      </c>
      <c r="G188" s="29">
        <v>0</v>
      </c>
      <c r="H188" s="16">
        <v>0</v>
      </c>
      <c r="I188" s="16">
        <f t="shared" si="20"/>
        <v>1.7485351342407069</v>
      </c>
      <c r="J188" s="17">
        <f t="shared" si="21"/>
        <v>2.3601553636554561E-3</v>
      </c>
      <c r="K188" s="19">
        <f t="shared" si="22"/>
        <v>9.657131740453696E-3</v>
      </c>
      <c r="L188" s="18">
        <f t="shared" si="23"/>
        <v>1551.4513990359712</v>
      </c>
      <c r="M188" s="31"/>
      <c r="N188" s="35"/>
      <c r="O188" s="37"/>
      <c r="P188" s="36"/>
      <c r="Q188" s="36"/>
      <c r="R188" s="36"/>
      <c r="S188" s="36"/>
      <c r="T188" s="36">
        <f t="shared" si="24"/>
        <v>164</v>
      </c>
      <c r="U188" s="53">
        <v>41288</v>
      </c>
      <c r="V188">
        <v>1470.68</v>
      </c>
      <c r="W188" s="58"/>
      <c r="X188" s="39"/>
      <c r="Y188" s="39"/>
      <c r="Z188" s="43"/>
      <c r="AA188" s="43"/>
      <c r="AB188" s="43"/>
      <c r="AC188" s="43"/>
      <c r="AD188" s="43"/>
    </row>
    <row r="189" spans="1:30" x14ac:dyDescent="0.2">
      <c r="A189" s="11">
        <f t="shared" si="18"/>
        <v>186</v>
      </c>
      <c r="B189" s="15">
        <f t="shared" si="19"/>
        <v>0.73809523809523592</v>
      </c>
      <c r="C189" s="17">
        <v>4.0870053892759261E-3</v>
      </c>
      <c r="D189" s="17">
        <v>1.5977558870727267E-2</v>
      </c>
      <c r="E189" s="16">
        <v>1.2819468601022064</v>
      </c>
      <c r="F189" s="16">
        <v>0.34604173901166491</v>
      </c>
      <c r="G189" s="29">
        <v>0</v>
      </c>
      <c r="H189" s="16">
        <v>0</v>
      </c>
      <c r="I189" s="16">
        <f t="shared" si="20"/>
        <v>-0.58749670770474394</v>
      </c>
      <c r="J189" s="17">
        <f t="shared" si="21"/>
        <v>6.2778879240349148E-3</v>
      </c>
      <c r="K189" s="19">
        <f t="shared" si="22"/>
        <v>-1.7507845050196559E-3</v>
      </c>
      <c r="L189" s="18">
        <f t="shared" si="23"/>
        <v>1548.7375183695835</v>
      </c>
      <c r="M189" s="31"/>
      <c r="N189" s="35"/>
      <c r="O189" s="37"/>
      <c r="P189" s="36"/>
      <c r="Q189" s="36"/>
      <c r="R189" s="36"/>
      <c r="S189" s="36"/>
      <c r="T189" s="36">
        <f t="shared" si="24"/>
        <v>165</v>
      </c>
      <c r="U189" s="53">
        <v>41289</v>
      </c>
      <c r="V189">
        <v>1472.34</v>
      </c>
      <c r="W189" s="58"/>
      <c r="X189" s="39"/>
      <c r="Y189" s="39"/>
      <c r="Z189" s="43"/>
      <c r="AA189" s="43"/>
      <c r="AB189" s="43"/>
      <c r="AC189" s="43"/>
      <c r="AD189" s="43"/>
    </row>
    <row r="190" spans="1:30" x14ac:dyDescent="0.2">
      <c r="A190" s="11">
        <f t="shared" si="18"/>
        <v>187</v>
      </c>
      <c r="B190" s="15">
        <f t="shared" si="19"/>
        <v>0.74206349206348987</v>
      </c>
      <c r="C190" s="17">
        <v>4.0870053892759261E-3</v>
      </c>
      <c r="D190" s="17">
        <v>1.5977558870727267E-2</v>
      </c>
      <c r="E190" s="16">
        <v>0.38733719379954734</v>
      </c>
      <c r="F190" s="16">
        <v>-2.782505136602857</v>
      </c>
      <c r="G190" s="29">
        <v>0</v>
      </c>
      <c r="H190" s="16">
        <v>0</v>
      </c>
      <c r="I190" s="16">
        <f t="shared" si="20"/>
        <v>-2.3442495030652171</v>
      </c>
      <c r="J190" s="17">
        <f t="shared" si="21"/>
        <v>7.4539407444735566E-3</v>
      </c>
      <c r="K190" s="19">
        <f t="shared" si="22"/>
        <v>-1.1661276176788138E-2</v>
      </c>
      <c r="L190" s="18">
        <f t="shared" si="23"/>
        <v>1530.7821571274023</v>
      </c>
      <c r="M190" s="31"/>
      <c r="N190" s="35"/>
      <c r="O190" s="37"/>
      <c r="P190" s="36"/>
      <c r="Q190" s="36"/>
      <c r="R190" s="36"/>
      <c r="S190" s="36"/>
      <c r="T190" s="36">
        <f t="shared" si="24"/>
        <v>166</v>
      </c>
      <c r="U190" s="53">
        <v>41290</v>
      </c>
      <c r="V190">
        <v>1472.63</v>
      </c>
      <c r="W190" s="58"/>
      <c r="X190" s="39"/>
      <c r="Y190" s="39"/>
      <c r="Z190" s="43"/>
      <c r="AA190" s="43"/>
      <c r="AB190" s="43"/>
      <c r="AC190" s="43"/>
      <c r="AD190" s="43"/>
    </row>
    <row r="191" spans="1:30" x14ac:dyDescent="0.2">
      <c r="A191" s="11">
        <f t="shared" si="18"/>
        <v>188</v>
      </c>
      <c r="B191" s="15">
        <f t="shared" si="19"/>
        <v>0.74603174603174383</v>
      </c>
      <c r="C191" s="17">
        <v>4.0870053892759261E-3</v>
      </c>
      <c r="D191" s="17">
        <v>1.5977558870727267E-2</v>
      </c>
      <c r="E191" s="16">
        <v>-1.5377315137282577</v>
      </c>
      <c r="F191" s="16">
        <v>1.5458679030482796</v>
      </c>
      <c r="G191" s="29">
        <v>0</v>
      </c>
      <c r="H191" s="16">
        <v>0</v>
      </c>
      <c r="I191" s="16">
        <f t="shared" si="20"/>
        <v>2.1764152030030912</v>
      </c>
      <c r="J191" s="17">
        <f t="shared" si="21"/>
        <v>1.5113797725442523E-3</v>
      </c>
      <c r="K191" s="19">
        <f t="shared" si="22"/>
        <v>1.1873853675388965E-2</v>
      </c>
      <c r="L191" s="18">
        <f t="shared" si="23"/>
        <v>1549.0667801128068</v>
      </c>
      <c r="M191" s="31"/>
      <c r="N191" s="35"/>
      <c r="O191" s="37"/>
      <c r="P191" s="36"/>
      <c r="Q191" s="36"/>
      <c r="R191" s="36"/>
      <c r="S191" s="36"/>
      <c r="T191" s="36">
        <f t="shared" si="24"/>
        <v>167</v>
      </c>
      <c r="U191" s="53">
        <v>41291</v>
      </c>
      <c r="V191">
        <v>1480.94</v>
      </c>
      <c r="W191" s="58"/>
      <c r="X191" s="39"/>
      <c r="Y191" s="39"/>
      <c r="Z191" s="43"/>
      <c r="AA191" s="43"/>
      <c r="AB191" s="43"/>
      <c r="AC191" s="43"/>
      <c r="AD191" s="43"/>
    </row>
    <row r="192" spans="1:30" x14ac:dyDescent="0.2">
      <c r="A192" s="11">
        <f t="shared" si="18"/>
        <v>189</v>
      </c>
      <c r="B192" s="15">
        <f t="shared" si="19"/>
        <v>0.74999999999999778</v>
      </c>
      <c r="C192" s="17">
        <v>4.0870053892759261E-3</v>
      </c>
      <c r="D192" s="17">
        <v>1.5977558870727267E-2</v>
      </c>
      <c r="E192" s="16">
        <v>6.8338624361623072E-4</v>
      </c>
      <c r="F192" s="16">
        <v>-0.23338160919335099</v>
      </c>
      <c r="G192" s="29">
        <v>0</v>
      </c>
      <c r="H192" s="16">
        <v>0</v>
      </c>
      <c r="I192" s="16">
        <f t="shared" si="20"/>
        <v>-0.17560449698738978</v>
      </c>
      <c r="J192" s="17">
        <f t="shared" si="21"/>
        <v>9.7213249498537561E-4</v>
      </c>
      <c r="K192" s="19">
        <f t="shared" si="22"/>
        <v>-3.812124973063367E-4</v>
      </c>
      <c r="L192" s="18">
        <f t="shared" si="23"/>
        <v>1548.4763690402553</v>
      </c>
      <c r="M192" s="31"/>
      <c r="N192" s="35"/>
      <c r="O192" s="37"/>
      <c r="P192" s="36"/>
      <c r="Q192" s="36"/>
      <c r="R192" s="36"/>
      <c r="S192" s="36"/>
      <c r="T192" s="36">
        <f t="shared" si="24"/>
        <v>168</v>
      </c>
      <c r="U192" s="53">
        <v>41292</v>
      </c>
      <c r="V192">
        <v>1485.98</v>
      </c>
      <c r="W192" s="58"/>
      <c r="X192" s="39"/>
      <c r="Y192" s="39"/>
      <c r="Z192" s="43"/>
      <c r="AA192" s="43"/>
      <c r="AB192" s="43"/>
      <c r="AC192" s="43"/>
      <c r="AD192" s="43"/>
    </row>
    <row r="193" spans="1:30" x14ac:dyDescent="0.2">
      <c r="A193" s="11">
        <f t="shared" si="18"/>
        <v>190</v>
      </c>
      <c r="B193" s="15">
        <f t="shared" si="19"/>
        <v>0.75396825396825173</v>
      </c>
      <c r="C193" s="17">
        <v>4.0870148115876997E-3</v>
      </c>
      <c r="D193" s="17">
        <v>2.4613299486996615E-2</v>
      </c>
      <c r="E193" s="16">
        <v>1.1922734064572642</v>
      </c>
      <c r="F193" s="16">
        <v>0.5754604802816442</v>
      </c>
      <c r="G193" s="29">
        <v>0</v>
      </c>
      <c r="H193" s="16">
        <v>0</v>
      </c>
      <c r="I193" s="16">
        <f t="shared" si="20"/>
        <v>-0.35605542355375042</v>
      </c>
      <c r="J193" s="17">
        <f t="shared" si="21"/>
        <v>3.4066173350642548E-3</v>
      </c>
      <c r="K193" s="19">
        <f t="shared" si="22"/>
        <v>-6.8368478277420998E-4</v>
      </c>
      <c r="L193" s="81">
        <f t="shared" si="23"/>
        <v>1547.4180611259885</v>
      </c>
      <c r="M193" s="31"/>
      <c r="N193" s="35"/>
      <c r="O193" s="37"/>
      <c r="P193" s="36"/>
      <c r="Q193" s="36"/>
      <c r="R193" s="36"/>
      <c r="S193" s="36"/>
      <c r="T193" s="36">
        <f t="shared" si="24"/>
        <v>169</v>
      </c>
      <c r="U193" s="56">
        <v>41296</v>
      </c>
      <c r="V193" s="57">
        <v>1492.56</v>
      </c>
      <c r="W193" s="58"/>
      <c r="X193" s="39"/>
      <c r="Y193" s="39"/>
      <c r="Z193" s="43"/>
      <c r="AA193" s="43"/>
      <c r="AB193" s="43"/>
      <c r="AC193" s="43"/>
      <c r="AD193" s="43"/>
    </row>
    <row r="194" spans="1:30" x14ac:dyDescent="0.2">
      <c r="A194" s="11">
        <f t="shared" si="18"/>
        <v>191</v>
      </c>
      <c r="B194" s="15">
        <f t="shared" si="19"/>
        <v>0.75793650793650569</v>
      </c>
      <c r="C194" s="17">
        <v>4.0870148115876997E-3</v>
      </c>
      <c r="D194" s="17">
        <v>2.4613299486996615E-2</v>
      </c>
      <c r="E194" s="16">
        <v>0.92270972795312989</v>
      </c>
      <c r="F194" s="16">
        <v>-1.2842544758786743</v>
      </c>
      <c r="G194" s="29">
        <v>0</v>
      </c>
      <c r="H194" s="16">
        <v>0</v>
      </c>
      <c r="I194" s="16">
        <f t="shared" si="20"/>
        <v>-1.5736245451201549</v>
      </c>
      <c r="J194" s="17">
        <f t="shared" si="21"/>
        <v>6.3160509336004107E-3</v>
      </c>
      <c r="K194" s="19">
        <f t="shared" si="22"/>
        <v>-5.774976618084929E-3</v>
      </c>
      <c r="L194" s="18">
        <f t="shared" si="23"/>
        <v>1538.5075118755228</v>
      </c>
      <c r="M194" s="31"/>
      <c r="N194" s="35"/>
      <c r="O194" s="37"/>
      <c r="P194" s="36"/>
      <c r="Q194" s="36"/>
      <c r="R194" s="36"/>
      <c r="S194" s="36"/>
      <c r="T194" s="36">
        <f t="shared" si="24"/>
        <v>170</v>
      </c>
      <c r="U194" s="53">
        <v>41297</v>
      </c>
      <c r="V194">
        <v>1494.81</v>
      </c>
      <c r="W194" s="58"/>
      <c r="X194" s="39"/>
      <c r="Y194" s="39"/>
      <c r="Z194" s="43"/>
      <c r="AA194" s="43"/>
      <c r="AB194" s="43"/>
      <c r="AC194" s="43"/>
      <c r="AD194" s="43"/>
    </row>
    <row r="195" spans="1:30" x14ac:dyDescent="0.2">
      <c r="A195" s="11">
        <f t="shared" si="18"/>
        <v>192</v>
      </c>
      <c r="B195" s="15">
        <f t="shared" si="19"/>
        <v>0.76190476190475964</v>
      </c>
      <c r="C195" s="17">
        <v>4.0870148115876997E-3</v>
      </c>
      <c r="D195" s="17">
        <v>2.4613299486996615E-2</v>
      </c>
      <c r="E195" s="16">
        <v>-2.3580185643888529</v>
      </c>
      <c r="F195" s="16">
        <v>9.0413227030547647E-2</v>
      </c>
      <c r="G195" s="29">
        <v>0</v>
      </c>
      <c r="H195" s="16">
        <v>0</v>
      </c>
      <c r="I195" s="16">
        <f t="shared" si="20"/>
        <v>1.6262002527497554</v>
      </c>
      <c r="J195" s="17">
        <f t="shared" si="21"/>
        <v>0</v>
      </c>
      <c r="K195" s="19">
        <f t="shared" si="22"/>
        <v>8.1463914568441938E-3</v>
      </c>
      <c r="L195" s="18">
        <f t="shared" si="23"/>
        <v>1551.0919857558729</v>
      </c>
      <c r="M195" s="31"/>
      <c r="N195" s="35"/>
      <c r="O195" s="37"/>
      <c r="P195" s="36"/>
      <c r="Q195" s="36"/>
      <c r="R195" s="36"/>
      <c r="S195" s="36"/>
      <c r="T195" s="36">
        <f t="shared" si="24"/>
        <v>171</v>
      </c>
      <c r="U195" s="53">
        <v>41298</v>
      </c>
      <c r="V195">
        <v>1494.82</v>
      </c>
      <c r="W195" s="58"/>
      <c r="X195" s="39"/>
      <c r="Y195" s="39"/>
      <c r="Z195" s="43"/>
      <c r="AA195" s="43"/>
      <c r="AB195" s="43"/>
      <c r="AC195" s="43"/>
      <c r="AD195" s="43"/>
    </row>
    <row r="196" spans="1:30" x14ac:dyDescent="0.2">
      <c r="A196" s="11">
        <f t="shared" ref="A196:A259" si="25">A195+1</f>
        <v>193</v>
      </c>
      <c r="B196" s="15">
        <f t="shared" ref="B196:B259" si="26">B195+dt</f>
        <v>0.7658730158730136</v>
      </c>
      <c r="C196" s="17">
        <v>4.0870148115876997E-3</v>
      </c>
      <c r="D196" s="17">
        <v>2.4613299486996615E-2</v>
      </c>
      <c r="E196" s="16">
        <v>1.0905889228136303</v>
      </c>
      <c r="F196" s="16">
        <v>0.98762859887874599</v>
      </c>
      <c r="G196" s="29">
        <v>0</v>
      </c>
      <c r="H196" s="16">
        <v>0</v>
      </c>
      <c r="I196" s="16">
        <f t="shared" ref="I196:I259" si="27">Rho*E196+F196*(1-Rho^2)^0.5</f>
        <v>2.0476980902379038E-2</v>
      </c>
      <c r="J196" s="17">
        <f t="shared" ref="J196:J255" si="28">MAX((SQRT(J195)+Eta*SQRT(dt)*E196/2)^2+Kappa*(Theta-J195)*dt-Eta*Eta*dt/4,0)</f>
        <v>3.0208013067629621E-4</v>
      </c>
      <c r="K196" s="19">
        <f t="shared" ref="K196:K255" si="29">(C196-D196-Lambda*(EXP(Alpha+Delta^2/2)-1)-MAX((SQRT($J195)-0),0)^2/2)*dt+SQRT(MAX((SQRT($J195)-0),0)^2*dt)*I196</f>
        <v>1.7570679889289941E-5</v>
      </c>
      <c r="L196" s="18">
        <f t="shared" ref="L196:L255" si="30">EXP(K196)*EXP(H196)*L195</f>
        <v>1551.1192397360683</v>
      </c>
      <c r="M196" s="31"/>
      <c r="N196" s="35"/>
      <c r="O196" s="37"/>
      <c r="P196" s="36"/>
      <c r="Q196" s="36"/>
      <c r="R196" s="36"/>
      <c r="S196" s="36"/>
      <c r="T196" s="36">
        <f t="shared" si="24"/>
        <v>172</v>
      </c>
      <c r="U196" s="53">
        <v>41299</v>
      </c>
      <c r="V196">
        <v>1502.96</v>
      </c>
      <c r="W196" s="58"/>
      <c r="X196" s="39"/>
      <c r="Y196" s="39"/>
      <c r="Z196" s="43"/>
      <c r="AA196" s="43"/>
      <c r="AB196" s="43"/>
      <c r="AC196" s="43"/>
      <c r="AD196" s="43"/>
    </row>
    <row r="197" spans="1:30" x14ac:dyDescent="0.2">
      <c r="A197" s="11">
        <f t="shared" si="25"/>
        <v>194</v>
      </c>
      <c r="B197" s="15">
        <f t="shared" si="26"/>
        <v>0.76984126984126755</v>
      </c>
      <c r="C197" s="17">
        <v>4.0870148115876997E-3</v>
      </c>
      <c r="D197" s="17">
        <v>2.4613299486996615E-2</v>
      </c>
      <c r="E197" s="16">
        <v>-0.22113947397565839</v>
      </c>
      <c r="F197" s="16">
        <v>1.9604735472415737</v>
      </c>
      <c r="G197" s="29">
        <v>0</v>
      </c>
      <c r="H197" s="16">
        <v>0</v>
      </c>
      <c r="I197" s="16">
        <f t="shared" si="27"/>
        <v>1.6174797165728101</v>
      </c>
      <c r="J197" s="17">
        <f t="shared" si="28"/>
        <v>0</v>
      </c>
      <c r="K197" s="19">
        <f t="shared" si="29"/>
        <v>1.7878942113957505E-3</v>
      </c>
      <c r="L197" s="18">
        <f t="shared" si="30"/>
        <v>1553.8949574513977</v>
      </c>
      <c r="M197" s="31"/>
      <c r="N197" s="35"/>
      <c r="O197" s="37"/>
      <c r="P197" s="36"/>
      <c r="Q197" s="36"/>
      <c r="R197" s="36"/>
      <c r="S197" s="36"/>
      <c r="T197" s="36">
        <f t="shared" si="24"/>
        <v>173</v>
      </c>
      <c r="U197" s="53">
        <v>41302</v>
      </c>
      <c r="V197">
        <v>1500.18</v>
      </c>
      <c r="W197" s="58"/>
      <c r="X197" s="39"/>
      <c r="Y197" s="39"/>
      <c r="Z197" s="43"/>
      <c r="AA197" s="43"/>
      <c r="AB197" s="43"/>
      <c r="AC197" s="43"/>
      <c r="AD197" s="43"/>
    </row>
    <row r="198" spans="1:30" x14ac:dyDescent="0.2">
      <c r="A198" s="11">
        <f t="shared" si="25"/>
        <v>195</v>
      </c>
      <c r="B198" s="15">
        <f t="shared" si="26"/>
        <v>0.7738095238095215</v>
      </c>
      <c r="C198" s="17">
        <v>4.0870148115876997E-3</v>
      </c>
      <c r="D198" s="17">
        <v>2.4613299486996615E-2</v>
      </c>
      <c r="E198" s="16">
        <v>-0.13568109580327392</v>
      </c>
      <c r="F198" s="16">
        <v>0.38540198981066531</v>
      </c>
      <c r="G198" s="29">
        <v>0</v>
      </c>
      <c r="H198" s="16">
        <v>0</v>
      </c>
      <c r="I198" s="16">
        <f t="shared" si="27"/>
        <v>0.37891178970299449</v>
      </c>
      <c r="J198" s="17">
        <f t="shared" si="28"/>
        <v>0</v>
      </c>
      <c r="K198" s="19">
        <f t="shared" si="29"/>
        <v>1.7570679889289941E-5</v>
      </c>
      <c r="L198" s="18">
        <f t="shared" si="30"/>
        <v>1553.9222606821443</v>
      </c>
      <c r="M198" s="31"/>
      <c r="N198" s="35"/>
      <c r="O198" s="37"/>
      <c r="P198" s="36"/>
      <c r="Q198" s="36"/>
      <c r="R198" s="36"/>
      <c r="S198" s="36"/>
      <c r="T198" s="36">
        <f t="shared" si="24"/>
        <v>174</v>
      </c>
      <c r="U198" s="53">
        <v>41303</v>
      </c>
      <c r="V198">
        <v>1507.84</v>
      </c>
      <c r="W198" s="58"/>
      <c r="X198" s="39"/>
      <c r="Y198" s="39"/>
      <c r="Z198" s="43"/>
      <c r="AA198" s="43"/>
      <c r="AB198" s="43"/>
      <c r="AC198" s="43"/>
      <c r="AD198" s="43"/>
    </row>
    <row r="199" spans="1:30" x14ac:dyDescent="0.2">
      <c r="A199" s="11">
        <f t="shared" si="25"/>
        <v>196</v>
      </c>
      <c r="B199" s="15">
        <f t="shared" si="26"/>
        <v>0.77777777777777546</v>
      </c>
      <c r="C199" s="17">
        <v>4.0870148115876997E-3</v>
      </c>
      <c r="D199" s="17">
        <v>2.4613299486996615E-2</v>
      </c>
      <c r="E199" s="16">
        <v>1.2514185507545625</v>
      </c>
      <c r="F199" s="16">
        <v>-1.1229516271770938</v>
      </c>
      <c r="G199" s="29">
        <v>0</v>
      </c>
      <c r="H199" s="16">
        <v>0</v>
      </c>
      <c r="I199" s="16">
        <f t="shared" si="27"/>
        <v>-1.6698007744593708</v>
      </c>
      <c r="J199" s="17">
        <f t="shared" si="28"/>
        <v>5.6721909545535715E-4</v>
      </c>
      <c r="K199" s="19">
        <f t="shared" si="29"/>
        <v>1.7570679889289941E-5</v>
      </c>
      <c r="L199" s="18">
        <f t="shared" si="30"/>
        <v>1553.9495643926314</v>
      </c>
      <c r="M199" s="31"/>
      <c r="N199" s="35"/>
      <c r="O199" s="37"/>
      <c r="P199" s="36"/>
      <c r="Q199" s="36"/>
      <c r="R199" s="36"/>
      <c r="S199" s="36"/>
      <c r="T199" s="36">
        <f t="shared" si="24"/>
        <v>175</v>
      </c>
      <c r="U199" s="53">
        <v>41304</v>
      </c>
      <c r="V199">
        <v>1501.96</v>
      </c>
      <c r="W199" s="58"/>
      <c r="X199" s="39"/>
      <c r="Y199" s="39"/>
      <c r="Z199" s="43"/>
      <c r="AA199" s="43"/>
      <c r="AB199" s="43"/>
      <c r="AC199" s="43"/>
      <c r="AD199" s="43"/>
    </row>
    <row r="200" spans="1:30" x14ac:dyDescent="0.2">
      <c r="A200" s="11">
        <f t="shared" si="25"/>
        <v>197</v>
      </c>
      <c r="B200" s="15">
        <f t="shared" si="26"/>
        <v>0.78174603174602941</v>
      </c>
      <c r="C200" s="17">
        <v>4.0870148115876997E-3</v>
      </c>
      <c r="D200" s="17">
        <v>2.4613299486996615E-2</v>
      </c>
      <c r="E200" s="16">
        <v>-6.0085970208411749E-2</v>
      </c>
      <c r="F200" s="16">
        <v>-0.45064470529011297</v>
      </c>
      <c r="G200" s="29">
        <v>0</v>
      </c>
      <c r="H200" s="16">
        <v>0</v>
      </c>
      <c r="I200" s="16">
        <f t="shared" si="27"/>
        <v>-0.29849974122113537</v>
      </c>
      <c r="J200" s="17">
        <f t="shared" si="28"/>
        <v>0</v>
      </c>
      <c r="K200" s="19">
        <f t="shared" si="29"/>
        <v>-4.3139086615313324E-4</v>
      </c>
      <c r="L200" s="18">
        <f t="shared" si="30"/>
        <v>1553.2793493168147</v>
      </c>
      <c r="M200" s="31"/>
      <c r="N200" s="35"/>
      <c r="O200" s="37"/>
      <c r="P200" s="36"/>
      <c r="Q200" s="36"/>
      <c r="R200" s="36"/>
      <c r="S200" s="36"/>
      <c r="T200" s="36">
        <f t="shared" si="24"/>
        <v>176</v>
      </c>
      <c r="U200" s="53">
        <v>41305</v>
      </c>
      <c r="V200">
        <v>1498.11</v>
      </c>
      <c r="W200" s="58"/>
      <c r="X200" s="39"/>
      <c r="Y200" s="39"/>
      <c r="Z200" s="43"/>
      <c r="AA200" s="43"/>
      <c r="AB200" s="43"/>
      <c r="AC200" s="43"/>
      <c r="AD200" s="43"/>
    </row>
    <row r="201" spans="1:30" x14ac:dyDescent="0.2">
      <c r="A201" s="11">
        <f t="shared" si="25"/>
        <v>198</v>
      </c>
      <c r="B201" s="15">
        <f t="shared" si="26"/>
        <v>0.78571428571428337</v>
      </c>
      <c r="C201" s="17">
        <v>4.0870148115876997E-3</v>
      </c>
      <c r="D201" s="17">
        <v>2.4613299486996615E-2</v>
      </c>
      <c r="E201" s="16">
        <v>0.21452829151742489</v>
      </c>
      <c r="F201" s="16">
        <v>-1.2006951274894566</v>
      </c>
      <c r="G201" s="29">
        <v>0</v>
      </c>
      <c r="H201" s="16">
        <v>0</v>
      </c>
      <c r="I201" s="16">
        <f t="shared" si="27"/>
        <v>-1.0428969760249731</v>
      </c>
      <c r="J201" s="17">
        <f t="shared" si="28"/>
        <v>0</v>
      </c>
      <c r="K201" s="19">
        <f t="shared" si="29"/>
        <v>1.7570679889289941E-5</v>
      </c>
      <c r="L201" s="18">
        <f t="shared" si="30"/>
        <v>1553.3066417308128</v>
      </c>
      <c r="M201" s="31"/>
      <c r="N201" s="35"/>
      <c r="O201" s="37"/>
      <c r="P201" s="36"/>
      <c r="Q201" s="36"/>
      <c r="R201" s="36"/>
      <c r="S201" s="36"/>
      <c r="T201" s="36">
        <f t="shared" si="24"/>
        <v>177</v>
      </c>
      <c r="U201" s="53">
        <v>41306</v>
      </c>
      <c r="V201">
        <v>1513.17</v>
      </c>
      <c r="W201" s="58"/>
      <c r="X201" s="39"/>
      <c r="Y201" s="39"/>
      <c r="Z201" s="43"/>
      <c r="AA201" s="43"/>
      <c r="AB201" s="43"/>
      <c r="AC201" s="43"/>
      <c r="AD201" s="43"/>
    </row>
    <row r="202" spans="1:30" x14ac:dyDescent="0.2">
      <c r="A202" s="11">
        <f t="shared" si="25"/>
        <v>199</v>
      </c>
      <c r="B202" s="15">
        <f t="shared" si="26"/>
        <v>0.78968253968253732</v>
      </c>
      <c r="C202" s="17">
        <v>4.0870148115876997E-3</v>
      </c>
      <c r="D202" s="17">
        <v>2.4613299486996615E-2</v>
      </c>
      <c r="E202" s="16">
        <v>-0.1681038637852772</v>
      </c>
      <c r="F202" s="16">
        <v>1.4306832558405742</v>
      </c>
      <c r="G202" s="29">
        <v>0</v>
      </c>
      <c r="H202" s="16">
        <v>0</v>
      </c>
      <c r="I202" s="16">
        <f t="shared" si="27"/>
        <v>1.1848224969129579</v>
      </c>
      <c r="J202" s="17">
        <f t="shared" si="28"/>
        <v>0</v>
      </c>
      <c r="K202" s="19">
        <f t="shared" si="29"/>
        <v>1.7570679889289941E-5</v>
      </c>
      <c r="L202" s="18">
        <f t="shared" si="30"/>
        <v>1553.3339346243613</v>
      </c>
      <c r="M202" s="31"/>
      <c r="N202" s="35"/>
      <c r="O202" s="37"/>
      <c r="P202" s="36"/>
      <c r="Q202" s="36"/>
      <c r="R202" s="36"/>
      <c r="S202" s="36"/>
      <c r="T202" s="36">
        <f t="shared" si="24"/>
        <v>178</v>
      </c>
      <c r="U202" s="53">
        <v>41309</v>
      </c>
      <c r="V202">
        <v>1495.71</v>
      </c>
      <c r="W202" s="58"/>
      <c r="X202" s="39"/>
      <c r="Y202" s="39"/>
      <c r="Z202" s="43"/>
      <c r="AA202" s="43"/>
      <c r="AB202" s="43"/>
      <c r="AC202" s="43"/>
      <c r="AD202" s="43"/>
    </row>
    <row r="203" spans="1:30" x14ac:dyDescent="0.2">
      <c r="A203" s="11">
        <f t="shared" si="25"/>
        <v>200</v>
      </c>
      <c r="B203" s="15">
        <f t="shared" si="26"/>
        <v>0.79365079365079128</v>
      </c>
      <c r="C203" s="17">
        <v>4.0870148115876997E-3</v>
      </c>
      <c r="D203" s="17">
        <v>2.4613299486996615E-2</v>
      </c>
      <c r="E203" s="16">
        <v>-0.14848120901871259</v>
      </c>
      <c r="F203" s="16">
        <v>0.13852777806501801</v>
      </c>
      <c r="G203" s="29">
        <v>0</v>
      </c>
      <c r="H203" s="16">
        <v>0</v>
      </c>
      <c r="I203" s="16">
        <f t="shared" si="27"/>
        <v>0.20209194461322083</v>
      </c>
      <c r="J203" s="17">
        <f t="shared" si="28"/>
        <v>0</v>
      </c>
      <c r="K203" s="19">
        <f t="shared" si="29"/>
        <v>1.7570679889289941E-5</v>
      </c>
      <c r="L203" s="18">
        <f t="shared" si="30"/>
        <v>1553.3612279974689</v>
      </c>
      <c r="M203" s="31"/>
      <c r="N203" s="35"/>
      <c r="O203" s="37"/>
      <c r="P203" s="36"/>
      <c r="Q203" s="36"/>
      <c r="R203" s="36"/>
      <c r="S203" s="36"/>
      <c r="T203" s="36">
        <f t="shared" si="24"/>
        <v>179</v>
      </c>
      <c r="U203" s="53">
        <v>41310</v>
      </c>
      <c r="V203">
        <v>1511.29</v>
      </c>
      <c r="W203" s="58"/>
      <c r="X203" s="39"/>
      <c r="Y203" s="39"/>
      <c r="Z203" s="43"/>
      <c r="AA203" s="43"/>
      <c r="AB203" s="43"/>
      <c r="AC203" s="43"/>
      <c r="AD203" s="43"/>
    </row>
    <row r="204" spans="1:30" x14ac:dyDescent="0.2">
      <c r="A204" s="11">
        <f t="shared" si="25"/>
        <v>201</v>
      </c>
      <c r="B204" s="15">
        <f t="shared" si="26"/>
        <v>0.79761904761904523</v>
      </c>
      <c r="C204" s="17">
        <v>4.0870148115876997E-3</v>
      </c>
      <c r="D204" s="17">
        <v>2.4613299486996615E-2</v>
      </c>
      <c r="E204" s="16">
        <v>1.1588451076862563</v>
      </c>
      <c r="F204" s="16">
        <v>-0.62607120372876224</v>
      </c>
      <c r="G204" s="29">
        <v>0</v>
      </c>
      <c r="H204" s="16">
        <v>0</v>
      </c>
      <c r="I204" s="16">
        <f t="shared" si="27"/>
        <v>-1.2357130151443776</v>
      </c>
      <c r="J204" s="17">
        <f t="shared" si="28"/>
        <v>4.1015743241125944E-4</v>
      </c>
      <c r="K204" s="19">
        <f t="shared" si="29"/>
        <v>1.7570679889289941E-5</v>
      </c>
      <c r="L204" s="18">
        <f t="shared" si="30"/>
        <v>1553.3885218501437</v>
      </c>
      <c r="M204" s="31"/>
      <c r="N204" s="35"/>
      <c r="O204" s="37"/>
      <c r="P204" s="36"/>
      <c r="Q204" s="36"/>
      <c r="R204" s="36"/>
      <c r="S204" s="36"/>
      <c r="T204" s="36">
        <f t="shared" si="24"/>
        <v>180</v>
      </c>
      <c r="U204" s="53">
        <v>41311</v>
      </c>
      <c r="V204">
        <v>1512.12</v>
      </c>
      <c r="W204" s="58"/>
      <c r="X204" s="39"/>
      <c r="Y204" s="39"/>
      <c r="Z204" s="43"/>
      <c r="AA204" s="43"/>
      <c r="AB204" s="43"/>
      <c r="AC204" s="43"/>
      <c r="AD204" s="43"/>
    </row>
    <row r="205" spans="1:30" x14ac:dyDescent="0.2">
      <c r="A205" s="11">
        <f t="shared" si="25"/>
        <v>202</v>
      </c>
      <c r="B205" s="15">
        <f t="shared" si="26"/>
        <v>0.80158730158729918</v>
      </c>
      <c r="C205" s="17">
        <v>4.0870148115876997E-3</v>
      </c>
      <c r="D205" s="17">
        <v>2.4613299486996615E-2</v>
      </c>
      <c r="E205" s="16">
        <v>0.6694658072817431</v>
      </c>
      <c r="F205" s="16">
        <v>-1.3149924363195182</v>
      </c>
      <c r="G205" s="29">
        <v>0</v>
      </c>
      <c r="H205" s="16">
        <v>0</v>
      </c>
      <c r="I205" s="16">
        <f t="shared" si="27"/>
        <v>-1.4293319192190617</v>
      </c>
      <c r="J205" s="17">
        <f t="shared" si="28"/>
        <v>9.0843863626888395E-4</v>
      </c>
      <c r="K205" s="19">
        <f t="shared" si="29"/>
        <v>-1.8067529796156917E-3</v>
      </c>
      <c r="L205" s="18">
        <f t="shared" si="30"/>
        <v>1550.5844663903549</v>
      </c>
      <c r="M205" s="31"/>
      <c r="N205" s="35"/>
      <c r="O205" s="37"/>
      <c r="P205" s="36"/>
      <c r="Q205" s="36"/>
      <c r="R205" s="36"/>
      <c r="S205" s="36"/>
      <c r="T205" s="36">
        <f t="shared" si="24"/>
        <v>181</v>
      </c>
      <c r="U205" s="53">
        <v>41312</v>
      </c>
      <c r="V205">
        <v>1509.39</v>
      </c>
      <c r="W205" s="58"/>
      <c r="X205" s="39"/>
      <c r="Y205" s="39"/>
      <c r="Z205" s="43"/>
      <c r="AA205" s="43"/>
      <c r="AB205" s="43"/>
      <c r="AC205" s="43"/>
      <c r="AD205" s="43"/>
    </row>
    <row r="206" spans="1:30" x14ac:dyDescent="0.2">
      <c r="A206" s="11">
        <f t="shared" si="25"/>
        <v>203</v>
      </c>
      <c r="B206" s="15">
        <f t="shared" si="26"/>
        <v>0.80555555555555314</v>
      </c>
      <c r="C206" s="17">
        <v>4.0870148115876997E-3</v>
      </c>
      <c r="D206" s="17">
        <v>2.4613299486996615E-2</v>
      </c>
      <c r="E206" s="16">
        <v>1.5867844832896332</v>
      </c>
      <c r="F206" s="16">
        <v>-0.15049865353992822</v>
      </c>
      <c r="G206" s="29">
        <v>0</v>
      </c>
      <c r="H206" s="16">
        <v>0</v>
      </c>
      <c r="I206" s="16">
        <f t="shared" si="27"/>
        <v>-1.1616084294329097</v>
      </c>
      <c r="J206" s="17">
        <f t="shared" si="28"/>
        <v>4.6801420240436724E-3</v>
      </c>
      <c r="K206" s="19">
        <f t="shared" si="29"/>
        <v>-2.189732898690731E-3</v>
      </c>
      <c r="L206" s="18">
        <f t="shared" si="30"/>
        <v>1547.1928153322799</v>
      </c>
      <c r="M206" s="31"/>
      <c r="N206" s="35"/>
      <c r="O206" s="37"/>
      <c r="P206" s="36"/>
      <c r="Q206" s="36"/>
      <c r="R206" s="36"/>
      <c r="S206" s="36"/>
      <c r="T206" s="36">
        <f t="shared" si="24"/>
        <v>182</v>
      </c>
      <c r="U206" s="53">
        <v>41313</v>
      </c>
      <c r="V206">
        <v>1517.93</v>
      </c>
      <c r="W206" s="58"/>
      <c r="X206" s="39"/>
      <c r="Y206" s="39"/>
      <c r="Z206" s="43"/>
      <c r="AA206" s="43"/>
      <c r="AB206" s="43"/>
      <c r="AC206" s="43"/>
      <c r="AD206" s="43"/>
    </row>
    <row r="207" spans="1:30" x14ac:dyDescent="0.2">
      <c r="A207" s="11">
        <f t="shared" si="25"/>
        <v>204</v>
      </c>
      <c r="B207" s="15">
        <f t="shared" si="26"/>
        <v>0.80952380952380709</v>
      </c>
      <c r="C207" s="17">
        <v>4.0870148115876997E-3</v>
      </c>
      <c r="D207" s="17">
        <v>2.4613299486996615E-2</v>
      </c>
      <c r="E207" s="16">
        <v>0.30800274439825542</v>
      </c>
      <c r="F207" s="16">
        <v>1.2325587991632101</v>
      </c>
      <c r="G207" s="29">
        <v>0</v>
      </c>
      <c r="H207" s="16">
        <v>0</v>
      </c>
      <c r="I207" s="16">
        <f t="shared" si="27"/>
        <v>0.72148525948904352</v>
      </c>
      <c r="J207" s="17">
        <f t="shared" si="28"/>
        <v>5.3127832977760371E-3</v>
      </c>
      <c r="K207" s="19">
        <f t="shared" si="29"/>
        <v>3.1175423110631566E-3</v>
      </c>
      <c r="L207" s="18">
        <f t="shared" si="30"/>
        <v>1552.0237808544532</v>
      </c>
      <c r="M207" s="31"/>
      <c r="N207" s="35"/>
      <c r="O207" s="37"/>
      <c r="P207" s="36"/>
      <c r="Q207" s="36"/>
      <c r="R207" s="36"/>
      <c r="S207" s="36"/>
      <c r="T207" s="36">
        <f t="shared" si="24"/>
        <v>183</v>
      </c>
      <c r="U207" s="53">
        <v>41316</v>
      </c>
      <c r="V207">
        <v>1517.01</v>
      </c>
      <c r="W207" s="58"/>
      <c r="X207" s="39"/>
      <c r="Y207" s="39"/>
      <c r="Z207" s="43"/>
      <c r="AA207" s="43"/>
      <c r="AB207" s="43"/>
      <c r="AC207" s="43"/>
      <c r="AD207" s="43"/>
    </row>
    <row r="208" spans="1:30" x14ac:dyDescent="0.2">
      <c r="A208" s="11">
        <f t="shared" si="25"/>
        <v>205</v>
      </c>
      <c r="B208" s="15">
        <f t="shared" si="26"/>
        <v>0.81349206349206105</v>
      </c>
      <c r="C208" s="17">
        <v>4.0870148115876997E-3</v>
      </c>
      <c r="D208" s="17">
        <v>2.4613299486996615E-2</v>
      </c>
      <c r="E208" s="16">
        <v>1.0343752308614347</v>
      </c>
      <c r="F208" s="16">
        <v>-0.5203843436484048</v>
      </c>
      <c r="G208" s="29">
        <v>0</v>
      </c>
      <c r="H208" s="16">
        <v>0</v>
      </c>
      <c r="I208" s="16">
        <f t="shared" si="27"/>
        <v>-1.074136558629724</v>
      </c>
      <c r="J208" s="17">
        <f t="shared" si="28"/>
        <v>9.5120301758503702E-3</v>
      </c>
      <c r="K208" s="19">
        <f t="shared" si="29"/>
        <v>-4.9249388822969467E-3</v>
      </c>
      <c r="L208" s="18">
        <f t="shared" si="30"/>
        <v>1544.3989499147544</v>
      </c>
      <c r="M208" s="31"/>
      <c r="N208" s="35"/>
      <c r="O208" s="37"/>
      <c r="P208" s="36"/>
      <c r="Q208" s="36"/>
      <c r="R208" s="36"/>
      <c r="S208" s="36"/>
      <c r="T208" s="36">
        <f t="shared" si="24"/>
        <v>184</v>
      </c>
      <c r="U208" s="53">
        <v>41317</v>
      </c>
      <c r="V208">
        <v>1519.43</v>
      </c>
      <c r="W208" s="58"/>
      <c r="X208" s="39"/>
      <c r="Y208" s="39"/>
      <c r="Z208" s="43"/>
      <c r="AA208" s="43"/>
      <c r="AB208" s="43"/>
      <c r="AC208" s="43"/>
      <c r="AD208" s="43"/>
    </row>
    <row r="209" spans="1:30" x14ac:dyDescent="0.2">
      <c r="A209" s="11">
        <f t="shared" si="25"/>
        <v>206</v>
      </c>
      <c r="B209" s="15">
        <f t="shared" si="26"/>
        <v>0.817460317460315</v>
      </c>
      <c r="C209" s="17">
        <v>4.0870148115876997E-3</v>
      </c>
      <c r="D209" s="17">
        <v>2.4613299486996615E-2</v>
      </c>
      <c r="E209" s="16">
        <v>1.3867933215382668E-3</v>
      </c>
      <c r="F209" s="16">
        <v>-1.1748595475785875</v>
      </c>
      <c r="G209" s="29">
        <v>0</v>
      </c>
      <c r="H209" s="16">
        <v>0</v>
      </c>
      <c r="I209" s="16">
        <f t="shared" si="27"/>
        <v>-0.88264842740966709</v>
      </c>
      <c r="J209" s="17">
        <f t="shared" si="28"/>
        <v>8.9493619634726275E-3</v>
      </c>
      <c r="K209" s="19">
        <f t="shared" si="29"/>
        <v>-5.424108685144184E-3</v>
      </c>
      <c r="L209" s="18">
        <f t="shared" si="30"/>
        <v>1536.0446399823636</v>
      </c>
      <c r="M209" s="31"/>
      <c r="N209" s="35"/>
      <c r="O209" s="37"/>
      <c r="P209" s="36"/>
      <c r="Q209" s="36"/>
      <c r="R209" s="36"/>
      <c r="S209" s="36"/>
      <c r="T209" s="36">
        <f t="shared" si="24"/>
        <v>185</v>
      </c>
      <c r="U209" s="53">
        <v>41318</v>
      </c>
      <c r="V209">
        <v>1520.33</v>
      </c>
      <c r="W209" s="58"/>
      <c r="X209" s="39"/>
      <c r="Y209" s="39"/>
      <c r="Z209" s="43"/>
      <c r="AA209" s="43"/>
      <c r="AB209" s="43"/>
      <c r="AC209" s="43"/>
      <c r="AD209" s="43"/>
    </row>
    <row r="210" spans="1:30" x14ac:dyDescent="0.2">
      <c r="A210" s="11">
        <f t="shared" si="25"/>
        <v>207</v>
      </c>
      <c r="B210" s="15">
        <f t="shared" si="26"/>
        <v>0.82142857142856895</v>
      </c>
      <c r="C210" s="17">
        <v>4.0870148115876997E-3</v>
      </c>
      <c r="D210" s="17">
        <v>2.4613299486996615E-2</v>
      </c>
      <c r="E210" s="16">
        <v>-0.28558395922349478</v>
      </c>
      <c r="F210" s="16">
        <v>1.8648643038724739</v>
      </c>
      <c r="G210" s="29">
        <v>0</v>
      </c>
      <c r="H210" s="16">
        <v>0</v>
      </c>
      <c r="I210" s="16">
        <f t="shared" si="27"/>
        <v>1.5883144574304144</v>
      </c>
      <c r="J210" s="17">
        <f t="shared" si="28"/>
        <v>7.0054063787006399E-3</v>
      </c>
      <c r="K210" s="19">
        <f t="shared" si="29"/>
        <v>9.4650676342277942E-3</v>
      </c>
      <c r="L210" s="18">
        <f t="shared" si="30"/>
        <v>1550.6524291892849</v>
      </c>
      <c r="M210" s="31"/>
      <c r="N210" s="35"/>
      <c r="O210" s="37"/>
      <c r="P210" s="36"/>
      <c r="Q210" s="36"/>
      <c r="R210" s="36"/>
      <c r="S210" s="36"/>
      <c r="T210" s="36">
        <f t="shared" si="24"/>
        <v>186</v>
      </c>
      <c r="U210" s="53">
        <v>41319</v>
      </c>
      <c r="V210">
        <v>1521.38</v>
      </c>
      <c r="W210" s="58"/>
      <c r="X210" s="39"/>
      <c r="Y210" s="39"/>
      <c r="Z210" s="43"/>
      <c r="AA210" s="43"/>
      <c r="AB210" s="43"/>
      <c r="AC210" s="43"/>
      <c r="AD210" s="43"/>
    </row>
    <row r="211" spans="1:30" x14ac:dyDescent="0.2">
      <c r="A211" s="11">
        <f t="shared" si="25"/>
        <v>208</v>
      </c>
      <c r="B211" s="15">
        <f t="shared" si="26"/>
        <v>0.82539682539682291</v>
      </c>
      <c r="C211" s="17">
        <v>4.0870148115876997E-3</v>
      </c>
      <c r="D211" s="17">
        <v>2.4613299486996615E-2</v>
      </c>
      <c r="E211" s="16">
        <v>0.40483460705581276</v>
      </c>
      <c r="F211" s="16">
        <v>-7.3046339627207676E-2</v>
      </c>
      <c r="G211" s="29">
        <v>0</v>
      </c>
      <c r="H211" s="16">
        <v>0</v>
      </c>
      <c r="I211" s="16">
        <f t="shared" si="27"/>
        <v>-0.3223645569959212</v>
      </c>
      <c r="J211" s="17">
        <f t="shared" si="28"/>
        <v>8.3580460894107506E-3</v>
      </c>
      <c r="K211" s="19">
        <f t="shared" si="29"/>
        <v>-1.6959953110230585E-3</v>
      </c>
      <c r="L211" s="18">
        <f t="shared" si="30"/>
        <v>1548.0247588285113</v>
      </c>
      <c r="M211" s="31"/>
      <c r="N211" s="35"/>
      <c r="O211" s="37"/>
      <c r="P211" s="36"/>
      <c r="Q211" s="36"/>
      <c r="R211" s="36"/>
      <c r="S211" s="36"/>
      <c r="T211" s="36">
        <f t="shared" si="24"/>
        <v>187</v>
      </c>
      <c r="U211" s="53">
        <v>41320</v>
      </c>
      <c r="V211">
        <v>1519.79</v>
      </c>
      <c r="W211" s="58"/>
      <c r="X211" s="39"/>
      <c r="Y211" s="39"/>
      <c r="Z211" s="43"/>
      <c r="AA211" s="43"/>
      <c r="AB211" s="43"/>
      <c r="AC211" s="43"/>
      <c r="AD211" s="43"/>
    </row>
    <row r="212" spans="1:30" x14ac:dyDescent="0.2">
      <c r="A212" s="11">
        <f t="shared" si="25"/>
        <v>209</v>
      </c>
      <c r="B212" s="15">
        <f t="shared" si="26"/>
        <v>0.82936507936507686</v>
      </c>
      <c r="C212" s="17">
        <v>4.0870148115876997E-3</v>
      </c>
      <c r="D212" s="17">
        <v>2.4613299486996615E-2</v>
      </c>
      <c r="E212" s="16">
        <v>-0.17755138382755103</v>
      </c>
      <c r="F212" s="16">
        <v>-0.44559394663945984</v>
      </c>
      <c r="G212" s="29">
        <v>0</v>
      </c>
      <c r="H212" s="16">
        <v>0</v>
      </c>
      <c r="I212" s="16">
        <f t="shared" si="27"/>
        <v>-0.21707970942427923</v>
      </c>
      <c r="J212" s="17">
        <f t="shared" si="28"/>
        <v>6.9532772402883542E-3</v>
      </c>
      <c r="K212" s="19">
        <f t="shared" si="29"/>
        <v>-1.2491892764514203E-3</v>
      </c>
      <c r="L212" s="18">
        <f t="shared" si="30"/>
        <v>1546.0921902234004</v>
      </c>
      <c r="M212" s="31"/>
      <c r="N212" s="35"/>
      <c r="O212" s="37"/>
      <c r="P212" s="36"/>
      <c r="Q212" s="36"/>
      <c r="R212" s="36"/>
      <c r="S212" s="36"/>
      <c r="T212" s="36">
        <f t="shared" si="24"/>
        <v>188</v>
      </c>
      <c r="U212" s="53">
        <v>41324</v>
      </c>
      <c r="V212">
        <v>1530.94</v>
      </c>
      <c r="W212" s="58"/>
      <c r="X212" s="39"/>
      <c r="Y212" s="39"/>
      <c r="Z212" s="43"/>
      <c r="AA212" s="43"/>
      <c r="AB212" s="43"/>
      <c r="AC212" s="43"/>
      <c r="AD212" s="43"/>
    </row>
    <row r="213" spans="1:30" x14ac:dyDescent="0.2">
      <c r="A213" s="11">
        <f t="shared" si="25"/>
        <v>210</v>
      </c>
      <c r="B213" s="15">
        <f t="shared" si="26"/>
        <v>0.83333333333333082</v>
      </c>
      <c r="C213" s="17">
        <v>4.0870148115876997E-3</v>
      </c>
      <c r="D213" s="17">
        <v>2.4613299486996615E-2</v>
      </c>
      <c r="E213" s="16">
        <v>0.49314809561548961</v>
      </c>
      <c r="F213" s="16">
        <v>0.38336032977999207</v>
      </c>
      <c r="G213" s="29">
        <v>0</v>
      </c>
      <c r="H213" s="16">
        <v>0</v>
      </c>
      <c r="I213" s="16">
        <f t="shared" si="27"/>
        <v>-3.819519938061533E-2</v>
      </c>
      <c r="J213" s="17">
        <f t="shared" si="28"/>
        <v>8.7459893534249326E-3</v>
      </c>
      <c r="K213" s="19">
        <f t="shared" si="29"/>
        <v>-1.9685892868955088E-4</v>
      </c>
      <c r="L213" s="18">
        <f t="shared" si="30"/>
        <v>1545.7878581274058</v>
      </c>
      <c r="M213" s="31"/>
      <c r="N213" s="35"/>
      <c r="O213" s="37"/>
      <c r="P213" s="36"/>
      <c r="Q213" s="36"/>
      <c r="R213" s="36"/>
      <c r="S213" s="36"/>
      <c r="T213" s="36">
        <f t="shared" si="24"/>
        <v>189</v>
      </c>
      <c r="U213" s="53">
        <v>41325</v>
      </c>
      <c r="V213">
        <v>1511.95</v>
      </c>
      <c r="W213" s="58"/>
      <c r="X213" s="39"/>
      <c r="Y213" s="39"/>
      <c r="Z213" s="43"/>
      <c r="AA213" s="43"/>
      <c r="AB213" s="43"/>
      <c r="AC213" s="43"/>
      <c r="AD213" s="43"/>
    </row>
    <row r="214" spans="1:30" x14ac:dyDescent="0.2">
      <c r="A214" s="11">
        <f t="shared" si="25"/>
        <v>211</v>
      </c>
      <c r="B214" s="15">
        <f t="shared" si="26"/>
        <v>0.83730158730158477</v>
      </c>
      <c r="C214" s="17">
        <v>4.0870148115876997E-3</v>
      </c>
      <c r="D214" s="17">
        <v>2.4613299486996615E-2</v>
      </c>
      <c r="E214" s="16">
        <v>-0.18900508067144284</v>
      </c>
      <c r="F214" s="16">
        <v>7.3795089659851973E-2</v>
      </c>
      <c r="G214" s="29">
        <v>0</v>
      </c>
      <c r="H214" s="16">
        <v>0</v>
      </c>
      <c r="I214" s="16">
        <f t="shared" si="27"/>
        <v>0.18029110572384288</v>
      </c>
      <c r="J214" s="17">
        <f t="shared" si="28"/>
        <v>7.2661596890836802E-3</v>
      </c>
      <c r="K214" s="19">
        <f t="shared" si="29"/>
        <v>1.062349552196264E-3</v>
      </c>
      <c r="L214" s="18">
        <f t="shared" si="30"/>
        <v>1547.430897752957</v>
      </c>
      <c r="M214" s="31"/>
      <c r="N214" s="35"/>
      <c r="O214" s="37"/>
      <c r="P214" s="36"/>
      <c r="Q214" s="36"/>
      <c r="R214" s="36"/>
      <c r="S214" s="36"/>
      <c r="T214" s="36">
        <f t="shared" si="24"/>
        <v>190</v>
      </c>
      <c r="U214" s="53">
        <v>41326</v>
      </c>
      <c r="V214">
        <v>1502.42</v>
      </c>
      <c r="W214" s="58"/>
      <c r="X214" s="39"/>
      <c r="Y214" s="39"/>
      <c r="Z214" s="43"/>
      <c r="AA214" s="43"/>
      <c r="AB214" s="43"/>
      <c r="AC214" s="43"/>
      <c r="AD214" s="43"/>
    </row>
    <row r="215" spans="1:30" x14ac:dyDescent="0.2">
      <c r="A215" s="11">
        <f t="shared" si="25"/>
        <v>212</v>
      </c>
      <c r="B215" s="15">
        <f t="shared" si="26"/>
        <v>0.84126984126983873</v>
      </c>
      <c r="C215" s="17">
        <v>4.0870148115876997E-3</v>
      </c>
      <c r="D215" s="17">
        <v>2.4613299486996615E-2</v>
      </c>
      <c r="E215" s="16">
        <v>-2.0072882383002071</v>
      </c>
      <c r="F215" s="16">
        <v>1.1570991814171698</v>
      </c>
      <c r="G215" s="29">
        <v>0</v>
      </c>
      <c r="H215" s="16">
        <v>0</v>
      </c>
      <c r="I215" s="16">
        <f t="shared" si="27"/>
        <v>2.1949605615293937</v>
      </c>
      <c r="J215" s="17">
        <f t="shared" si="28"/>
        <v>4.6143050184364431E-4</v>
      </c>
      <c r="K215" s="19">
        <f t="shared" si="29"/>
        <v>1.1789492476154155E-2</v>
      </c>
      <c r="L215" s="18">
        <f t="shared" si="30"/>
        <v>1565.7822869038102</v>
      </c>
      <c r="M215" s="31"/>
      <c r="N215" s="35"/>
      <c r="O215" s="37"/>
      <c r="P215" s="36"/>
      <c r="Q215" s="36"/>
      <c r="R215" s="36"/>
      <c r="S215" s="36"/>
      <c r="T215" s="36">
        <f t="shared" si="24"/>
        <v>191</v>
      </c>
      <c r="U215" s="53">
        <v>41327</v>
      </c>
      <c r="V215">
        <v>1515.6</v>
      </c>
      <c r="W215" s="58"/>
      <c r="X215" s="39"/>
      <c r="Y215" s="39"/>
      <c r="Z215" s="43"/>
      <c r="AA215" s="43"/>
      <c r="AB215" s="43"/>
      <c r="AC215" s="43"/>
      <c r="AD215" s="43"/>
    </row>
    <row r="216" spans="1:30" x14ac:dyDescent="0.2">
      <c r="A216" s="11">
        <f t="shared" si="25"/>
        <v>213</v>
      </c>
      <c r="B216" s="15">
        <f t="shared" si="26"/>
        <v>0.84523809523809268</v>
      </c>
      <c r="C216" s="17">
        <v>4.0870148115876997E-3</v>
      </c>
      <c r="D216" s="17">
        <v>2.4613299486996615E-2</v>
      </c>
      <c r="E216" s="16">
        <v>1.2927470300784354</v>
      </c>
      <c r="F216" s="16">
        <v>-2.5551174184745128E-2</v>
      </c>
      <c r="G216" s="29">
        <v>0</v>
      </c>
      <c r="H216" s="16">
        <v>0</v>
      </c>
      <c r="I216" s="16">
        <f t="shared" si="27"/>
        <v>-0.87351465514300286</v>
      </c>
      <c r="J216" s="17">
        <f t="shared" si="28"/>
        <v>2.5745010819028294E-3</v>
      </c>
      <c r="K216" s="19">
        <f t="shared" si="29"/>
        <v>-1.1653600935670545E-3</v>
      </c>
      <c r="L216" s="18">
        <f t="shared" si="30"/>
        <v>1563.9586495149422</v>
      </c>
      <c r="M216" s="31"/>
      <c r="N216" s="35"/>
      <c r="O216" s="37"/>
      <c r="P216" s="36"/>
      <c r="Q216" s="36"/>
      <c r="R216" s="36"/>
      <c r="S216" s="36"/>
      <c r="T216" s="36">
        <f t="shared" si="24"/>
        <v>192</v>
      </c>
      <c r="U216" s="53">
        <v>41330</v>
      </c>
      <c r="V216">
        <v>1487.85</v>
      </c>
      <c r="W216" s="58"/>
      <c r="X216" s="39"/>
      <c r="Y216" s="39"/>
      <c r="Z216" s="43"/>
      <c r="AA216" s="43"/>
      <c r="AB216" s="43"/>
      <c r="AC216" s="43"/>
      <c r="AD216" s="43"/>
    </row>
    <row r="217" spans="1:30" x14ac:dyDescent="0.2">
      <c r="A217" s="11">
        <f t="shared" si="25"/>
        <v>214</v>
      </c>
      <c r="B217" s="15">
        <f t="shared" si="26"/>
        <v>0.84920634920634663</v>
      </c>
      <c r="C217" s="17">
        <v>4.0870148115876997E-3</v>
      </c>
      <c r="D217" s="17">
        <v>2.4613299486996615E-2</v>
      </c>
      <c r="E217" s="16">
        <v>-0.2235971717894035</v>
      </c>
      <c r="F217" s="16">
        <v>-0.28184238382946142</v>
      </c>
      <c r="G217" s="29">
        <v>0</v>
      </c>
      <c r="H217" s="16">
        <v>0</v>
      </c>
      <c r="I217" s="16">
        <f t="shared" si="27"/>
        <v>-6.3753875591321035E-2</v>
      </c>
      <c r="J217" s="17">
        <f t="shared" si="28"/>
        <v>1.4631494676435254E-3</v>
      </c>
      <c r="K217" s="19">
        <f t="shared" si="29"/>
        <v>-1.9131337577856674E-4</v>
      </c>
      <c r="L217" s="18">
        <f t="shared" si="30"/>
        <v>1563.6594719253751</v>
      </c>
      <c r="M217" s="31"/>
      <c r="N217" s="35"/>
      <c r="O217" s="37"/>
      <c r="P217" s="36"/>
      <c r="Q217" s="36"/>
      <c r="R217" s="36"/>
      <c r="S217" s="36"/>
      <c r="T217" s="36">
        <f t="shared" si="24"/>
        <v>193</v>
      </c>
      <c r="U217" s="53">
        <v>41331</v>
      </c>
      <c r="V217">
        <v>1496.94</v>
      </c>
      <c r="W217" s="58"/>
      <c r="X217" s="39"/>
      <c r="Y217" s="39"/>
      <c r="Z217" s="43"/>
      <c r="AA217" s="43"/>
      <c r="AB217" s="43"/>
      <c r="AC217" s="43"/>
      <c r="AD217" s="43"/>
    </row>
    <row r="218" spans="1:30" x14ac:dyDescent="0.2">
      <c r="A218" s="11">
        <f t="shared" si="25"/>
        <v>215</v>
      </c>
      <c r="B218" s="15">
        <f t="shared" si="26"/>
        <v>0.85317460317460059</v>
      </c>
      <c r="C218" s="17">
        <v>4.0870148115876997E-3</v>
      </c>
      <c r="D218" s="17">
        <v>2.4613299486996615E-2</v>
      </c>
      <c r="E218" s="16">
        <v>1.8278449021775045</v>
      </c>
      <c r="F218" s="16">
        <v>-0.27604345339044067</v>
      </c>
      <c r="G218" s="29">
        <v>0</v>
      </c>
      <c r="H218" s="16">
        <v>0</v>
      </c>
      <c r="I218" s="16">
        <f t="shared" si="27"/>
        <v>-1.4151395283458863</v>
      </c>
      <c r="J218" s="17">
        <f t="shared" si="28"/>
        <v>6.9844493949451159E-3</v>
      </c>
      <c r="K218" s="19">
        <f t="shared" si="29"/>
        <v>-3.3952457074653188E-3</v>
      </c>
      <c r="L218" s="18">
        <f t="shared" si="30"/>
        <v>1558.3594663174304</v>
      </c>
      <c r="M218" s="31"/>
      <c r="N218" s="35"/>
      <c r="O218" s="37"/>
      <c r="P218" s="36"/>
      <c r="Q218" s="36"/>
      <c r="R218" s="36"/>
      <c r="S218" s="36"/>
      <c r="T218" s="36">
        <f t="shared" si="24"/>
        <v>194</v>
      </c>
      <c r="U218" s="53">
        <v>41332</v>
      </c>
      <c r="V218">
        <v>1515.99</v>
      </c>
      <c r="W218" s="58"/>
      <c r="X218" s="39"/>
      <c r="Y218" s="39"/>
      <c r="Z218" s="43"/>
      <c r="AA218" s="43"/>
      <c r="AB218" s="43"/>
      <c r="AC218" s="43"/>
      <c r="AD218" s="43"/>
    </row>
    <row r="219" spans="1:30" x14ac:dyDescent="0.2">
      <c r="A219" s="11">
        <f t="shared" si="25"/>
        <v>216</v>
      </c>
      <c r="B219" s="15">
        <f t="shared" si="26"/>
        <v>0.85714285714285454</v>
      </c>
      <c r="C219" s="17">
        <v>4.0870148115876997E-3</v>
      </c>
      <c r="D219" s="17">
        <v>2.4613299486996615E-2</v>
      </c>
      <c r="E219" s="16">
        <v>-0.15326859661691999</v>
      </c>
      <c r="F219" s="16">
        <v>1.5519208362460986</v>
      </c>
      <c r="G219" s="29">
        <v>0</v>
      </c>
      <c r="H219" s="16">
        <v>0</v>
      </c>
      <c r="I219" s="16">
        <f t="shared" si="27"/>
        <v>1.2660070932391292</v>
      </c>
      <c r="J219" s="17">
        <f t="shared" si="28"/>
        <v>5.7606733479550597E-3</v>
      </c>
      <c r="K219" s="19">
        <f t="shared" si="29"/>
        <v>6.6687403058273663E-3</v>
      </c>
      <c r="L219" s="18">
        <f t="shared" si="30"/>
        <v>1568.7864898147573</v>
      </c>
      <c r="M219" s="31"/>
      <c r="N219" s="35"/>
      <c r="O219" s="37"/>
      <c r="P219" s="36"/>
      <c r="Q219" s="36"/>
      <c r="R219" s="36"/>
      <c r="S219" s="36"/>
      <c r="T219" s="36">
        <f t="shared" ref="T219:T255" si="31">T218+1</f>
        <v>195</v>
      </c>
      <c r="U219" s="53">
        <v>41333</v>
      </c>
      <c r="V219">
        <v>1514.68</v>
      </c>
      <c r="W219" s="58"/>
      <c r="X219" s="39"/>
      <c r="Y219" s="39"/>
      <c r="Z219" s="43"/>
      <c r="AA219" s="43"/>
      <c r="AB219" s="43"/>
      <c r="AC219" s="43"/>
      <c r="AD219" s="43"/>
    </row>
    <row r="220" spans="1:30" x14ac:dyDescent="0.2">
      <c r="A220" s="11">
        <f t="shared" si="25"/>
        <v>217</v>
      </c>
      <c r="B220" s="15">
        <f t="shared" si="26"/>
        <v>0.8611111111111085</v>
      </c>
      <c r="C220" s="17">
        <v>4.0870148115876997E-3</v>
      </c>
      <c r="D220" s="17">
        <v>2.4613299486996615E-2</v>
      </c>
      <c r="E220" s="16">
        <v>0.84848144647088863</v>
      </c>
      <c r="F220" s="16">
        <v>-0.90960196827221496</v>
      </c>
      <c r="G220" s="29">
        <v>0</v>
      </c>
      <c r="H220" s="16">
        <v>0</v>
      </c>
      <c r="I220" s="16">
        <f t="shared" si="27"/>
        <v>-1.2433925985248591</v>
      </c>
      <c r="J220" s="17">
        <f t="shared" si="28"/>
        <v>9.1284606788646847E-3</v>
      </c>
      <c r="K220" s="19">
        <f t="shared" si="29"/>
        <v>-5.9387603041595955E-3</v>
      </c>
      <c r="L220" s="18">
        <f t="shared" si="30"/>
        <v>1559.49745286643</v>
      </c>
      <c r="M220" s="31"/>
      <c r="N220" s="35"/>
      <c r="O220" s="37"/>
      <c r="P220" s="36"/>
      <c r="Q220" s="36"/>
      <c r="R220" s="36"/>
      <c r="S220" s="36"/>
      <c r="T220" s="36">
        <f t="shared" si="31"/>
        <v>196</v>
      </c>
      <c r="U220" s="53">
        <v>41334</v>
      </c>
      <c r="V220">
        <v>1518.2</v>
      </c>
      <c r="W220" s="58"/>
      <c r="X220" s="39"/>
      <c r="Y220" s="39"/>
      <c r="Z220" s="43"/>
      <c r="AA220" s="43"/>
      <c r="AB220" s="43"/>
      <c r="AC220" s="43"/>
      <c r="AD220" s="43"/>
    </row>
    <row r="221" spans="1:30" x14ac:dyDescent="0.2">
      <c r="A221" s="11">
        <f t="shared" si="25"/>
        <v>218</v>
      </c>
      <c r="B221" s="15">
        <f t="shared" si="26"/>
        <v>0.86507936507936245</v>
      </c>
      <c r="C221" s="17">
        <v>4.0870148115876997E-3</v>
      </c>
      <c r="D221" s="17">
        <v>2.4613299486996615E-2</v>
      </c>
      <c r="E221" s="16">
        <v>-2.1525362601914662</v>
      </c>
      <c r="F221" s="16">
        <v>-0.53497902559067145</v>
      </c>
      <c r="G221" s="29">
        <v>0</v>
      </c>
      <c r="H221" s="16">
        <v>0</v>
      </c>
      <c r="I221" s="16">
        <f t="shared" si="27"/>
        <v>1.0210462359589287</v>
      </c>
      <c r="J221" s="17">
        <f t="shared" si="28"/>
        <v>9.0866767451115704E-4</v>
      </c>
      <c r="K221" s="19">
        <f t="shared" si="29"/>
        <v>6.1447703116779828E-3</v>
      </c>
      <c r="L221" s="18">
        <f t="shared" si="30"/>
        <v>1569.109708823351</v>
      </c>
      <c r="M221" s="31"/>
      <c r="N221" s="35"/>
      <c r="O221" s="37"/>
      <c r="P221" s="36"/>
      <c r="Q221" s="36"/>
      <c r="R221" s="36"/>
      <c r="S221" s="36"/>
      <c r="T221" s="36">
        <f t="shared" si="31"/>
        <v>197</v>
      </c>
      <c r="U221" s="53">
        <v>41337</v>
      </c>
      <c r="V221">
        <v>1525.2</v>
      </c>
      <c r="W221" s="58"/>
      <c r="X221" s="39"/>
      <c r="Y221" s="39"/>
      <c r="Z221" s="43"/>
      <c r="AA221" s="43"/>
      <c r="AB221" s="43"/>
      <c r="AC221" s="43"/>
      <c r="AD221" s="43"/>
    </row>
    <row r="222" spans="1:30" x14ac:dyDescent="0.2">
      <c r="A222" s="11">
        <f t="shared" si="25"/>
        <v>219</v>
      </c>
      <c r="B222" s="15">
        <f t="shared" si="26"/>
        <v>0.8690476190476164</v>
      </c>
      <c r="C222" s="17">
        <v>4.0870148115876997E-3</v>
      </c>
      <c r="D222" s="17">
        <v>2.4613299486996615E-2</v>
      </c>
      <c r="E222" s="16">
        <v>-0.94918940326145473</v>
      </c>
      <c r="F222" s="16">
        <v>-1.4468945857513533</v>
      </c>
      <c r="G222" s="29">
        <v>0</v>
      </c>
      <c r="H222" s="16">
        <v>0</v>
      </c>
      <c r="I222" s="16">
        <f t="shared" si="27"/>
        <v>-0.45860282883967229</v>
      </c>
      <c r="J222" s="17">
        <f t="shared" si="28"/>
        <v>0</v>
      </c>
      <c r="K222" s="19">
        <f t="shared" si="29"/>
        <v>-8.5507349345674501E-4</v>
      </c>
      <c r="L222" s="18">
        <f t="shared" si="30"/>
        <v>1567.7685781673622</v>
      </c>
      <c r="M222" s="31"/>
      <c r="N222" s="35"/>
      <c r="O222" s="37"/>
      <c r="P222" s="36"/>
      <c r="Q222" s="36"/>
      <c r="R222" s="36"/>
      <c r="S222" s="36"/>
      <c r="T222" s="36">
        <f t="shared" si="31"/>
        <v>198</v>
      </c>
      <c r="U222" s="53">
        <v>41338</v>
      </c>
      <c r="V222">
        <v>1539.79</v>
      </c>
      <c r="W222" s="58"/>
      <c r="X222" s="39"/>
      <c r="Y222" s="39"/>
      <c r="Z222" s="43"/>
      <c r="AA222" s="43"/>
      <c r="AB222" s="43"/>
      <c r="AC222" s="43"/>
      <c r="AD222" s="43"/>
    </row>
    <row r="223" spans="1:30" x14ac:dyDescent="0.2">
      <c r="A223" s="11">
        <f t="shared" si="25"/>
        <v>220</v>
      </c>
      <c r="B223" s="15">
        <f t="shared" si="26"/>
        <v>0.87301587301587036</v>
      </c>
      <c r="C223" s="17">
        <v>4.0870148115876997E-3</v>
      </c>
      <c r="D223" s="17">
        <v>2.4613299486996615E-2</v>
      </c>
      <c r="E223" s="16">
        <v>1.1752764374639972</v>
      </c>
      <c r="F223" s="16">
        <v>0.65182164849884838</v>
      </c>
      <c r="G223" s="29">
        <v>0</v>
      </c>
      <c r="H223" s="16">
        <v>0</v>
      </c>
      <c r="I223" s="16">
        <f t="shared" si="27"/>
        <v>-0.28751357975942265</v>
      </c>
      <c r="J223" s="17">
        <f t="shared" si="28"/>
        <v>4.371544259032901E-4</v>
      </c>
      <c r="K223" s="19">
        <f t="shared" si="29"/>
        <v>1.7570679889289941E-5</v>
      </c>
      <c r="L223" s="18">
        <f t="shared" si="30"/>
        <v>1567.7961251691988</v>
      </c>
      <c r="M223" s="31"/>
      <c r="N223" s="35"/>
      <c r="O223" s="37"/>
      <c r="P223" s="36"/>
      <c r="Q223" s="36"/>
      <c r="R223" s="36"/>
      <c r="S223" s="36"/>
      <c r="T223" s="36">
        <f t="shared" si="31"/>
        <v>199</v>
      </c>
      <c r="U223" s="53">
        <v>41339</v>
      </c>
      <c r="V223">
        <v>1541.46</v>
      </c>
      <c r="W223" s="58"/>
      <c r="X223" s="39"/>
      <c r="Y223" s="39"/>
      <c r="Z223" s="43"/>
      <c r="AA223" s="43"/>
      <c r="AB223" s="43"/>
      <c r="AC223" s="43"/>
      <c r="AD223" s="43"/>
    </row>
    <row r="224" spans="1:30" x14ac:dyDescent="0.2">
      <c r="A224" s="11">
        <f t="shared" si="25"/>
        <v>221</v>
      </c>
      <c r="B224" s="15">
        <f t="shared" si="26"/>
        <v>0.87698412698412431</v>
      </c>
      <c r="C224" s="17">
        <v>4.0870148115876997E-3</v>
      </c>
      <c r="D224" s="17">
        <v>2.4613299486996615E-2</v>
      </c>
      <c r="E224" s="16">
        <v>1.3695539058746604</v>
      </c>
      <c r="F224" s="16">
        <v>-1.6685607017004509</v>
      </c>
      <c r="G224" s="29">
        <v>0</v>
      </c>
      <c r="H224" s="16">
        <v>0</v>
      </c>
      <c r="I224" s="16">
        <f t="shared" si="27"/>
        <v>-2.1573524961122357</v>
      </c>
      <c r="J224" s="17">
        <f t="shared" si="28"/>
        <v>2.7401801634337293E-3</v>
      </c>
      <c r="K224" s="19">
        <f t="shared" si="29"/>
        <v>-2.8247353232843169E-3</v>
      </c>
      <c r="L224" s="18">
        <f t="shared" si="30"/>
        <v>1563.3737650137452</v>
      </c>
      <c r="M224" s="31"/>
      <c r="N224" s="35"/>
      <c r="O224" s="37"/>
      <c r="P224" s="36"/>
      <c r="Q224" s="36"/>
      <c r="R224" s="36"/>
      <c r="S224" s="36"/>
      <c r="T224" s="36">
        <f t="shared" si="31"/>
        <v>200</v>
      </c>
      <c r="U224" s="53">
        <v>41340</v>
      </c>
      <c r="V224">
        <v>1544.26</v>
      </c>
      <c r="W224" s="58"/>
      <c r="X224" s="39"/>
      <c r="Y224" s="39"/>
      <c r="Z224" s="43"/>
      <c r="AA224" s="43"/>
      <c r="AB224" s="43"/>
      <c r="AC224" s="43"/>
      <c r="AD224" s="43"/>
    </row>
    <row r="225" spans="1:30" x14ac:dyDescent="0.2">
      <c r="A225" s="11">
        <f t="shared" si="25"/>
        <v>222</v>
      </c>
      <c r="B225" s="15">
        <f t="shared" si="26"/>
        <v>0.88095238095237827</v>
      </c>
      <c r="C225" s="17">
        <v>4.0870148115876997E-3</v>
      </c>
      <c r="D225" s="17">
        <v>2.4613299486996615E-2</v>
      </c>
      <c r="E225" s="16">
        <v>-1.2865313508163614</v>
      </c>
      <c r="F225" s="16">
        <v>0.19730337250717589</v>
      </c>
      <c r="G225" s="29">
        <v>0</v>
      </c>
      <c r="H225" s="16">
        <v>0</v>
      </c>
      <c r="I225" s="16">
        <f t="shared" si="27"/>
        <v>0.9983068978056524</v>
      </c>
      <c r="J225" s="17">
        <f t="shared" si="28"/>
        <v>0</v>
      </c>
      <c r="K225" s="19">
        <f t="shared" si="29"/>
        <v>3.3040848017997729E-3</v>
      </c>
      <c r="L225" s="18">
        <f t="shared" si="30"/>
        <v>1568.5478275739017</v>
      </c>
      <c r="M225" s="31"/>
      <c r="N225" s="35"/>
      <c r="O225" s="37"/>
      <c r="P225" s="36"/>
      <c r="Q225" s="36"/>
      <c r="R225" s="36"/>
      <c r="S225" s="36"/>
      <c r="T225" s="36">
        <f t="shared" si="31"/>
        <v>201</v>
      </c>
      <c r="U225" s="53">
        <v>41341</v>
      </c>
      <c r="V225">
        <v>1551.18</v>
      </c>
      <c r="W225" s="58"/>
      <c r="X225" s="39"/>
      <c r="Y225" s="39"/>
      <c r="Z225" s="43"/>
      <c r="AA225" s="43"/>
      <c r="AB225" s="43"/>
      <c r="AC225" s="43"/>
      <c r="AD225" s="43"/>
    </row>
    <row r="226" spans="1:30" x14ac:dyDescent="0.2">
      <c r="A226" s="11">
        <f t="shared" si="25"/>
        <v>223</v>
      </c>
      <c r="B226" s="15">
        <f t="shared" si="26"/>
        <v>0.88492063492063222</v>
      </c>
      <c r="C226" s="17">
        <v>4.0870148115876997E-3</v>
      </c>
      <c r="D226" s="17">
        <v>2.4613299486996615E-2</v>
      </c>
      <c r="E226" s="16">
        <v>-0.12478634078053794</v>
      </c>
      <c r="F226" s="16">
        <v>-0.39326422128569194</v>
      </c>
      <c r="G226" s="29">
        <v>0</v>
      </c>
      <c r="H226" s="16">
        <v>0</v>
      </c>
      <c r="I226" s="16">
        <f t="shared" si="27"/>
        <v>-0.212677122933636</v>
      </c>
      <c r="J226" s="17">
        <f t="shared" si="28"/>
        <v>0</v>
      </c>
      <c r="K226" s="19">
        <f t="shared" si="29"/>
        <v>1.7570679889289941E-5</v>
      </c>
      <c r="L226" s="18">
        <f t="shared" si="30"/>
        <v>1568.5753882678005</v>
      </c>
      <c r="M226" s="31"/>
      <c r="N226" s="35"/>
      <c r="O226" s="37"/>
      <c r="P226" s="36"/>
      <c r="Q226" s="36"/>
      <c r="R226" s="36"/>
      <c r="S226" s="36"/>
      <c r="T226" s="36">
        <f t="shared" si="31"/>
        <v>202</v>
      </c>
      <c r="U226" s="53">
        <v>41344</v>
      </c>
      <c r="V226">
        <v>1556.22</v>
      </c>
      <c r="W226" s="58"/>
      <c r="X226" s="39"/>
      <c r="Y226" s="39"/>
      <c r="Z226" s="43"/>
      <c r="AA226" s="43"/>
      <c r="AB226" s="43"/>
      <c r="AC226" s="43"/>
      <c r="AD226" s="43"/>
    </row>
    <row r="227" spans="1:30" x14ac:dyDescent="0.2">
      <c r="A227" s="11">
        <f t="shared" si="25"/>
        <v>224</v>
      </c>
      <c r="B227" s="15">
        <f t="shared" si="26"/>
        <v>0.88888888888888618</v>
      </c>
      <c r="C227" s="17">
        <v>4.0870148115876997E-3</v>
      </c>
      <c r="D227" s="17">
        <v>2.4613299486996615E-2</v>
      </c>
      <c r="E227" s="16">
        <v>0.17105524497035751</v>
      </c>
      <c r="F227" s="16">
        <v>0.29934798637587601</v>
      </c>
      <c r="G227" s="29">
        <v>0</v>
      </c>
      <c r="H227" s="16">
        <v>0</v>
      </c>
      <c r="I227" s="16">
        <f t="shared" si="27"/>
        <v>0.11161524258212081</v>
      </c>
      <c r="J227" s="17">
        <f t="shared" si="28"/>
        <v>0</v>
      </c>
      <c r="K227" s="19">
        <f t="shared" si="29"/>
        <v>1.7570679889289941E-5</v>
      </c>
      <c r="L227" s="18">
        <f t="shared" si="30"/>
        <v>1568.6029494459638</v>
      </c>
      <c r="M227" s="31"/>
      <c r="N227" s="35"/>
      <c r="O227" s="37"/>
      <c r="P227" s="36"/>
      <c r="Q227" s="36"/>
      <c r="R227" s="36"/>
      <c r="S227" s="36"/>
      <c r="T227" s="36">
        <f t="shared" si="31"/>
        <v>203</v>
      </c>
      <c r="U227" s="53">
        <v>41345</v>
      </c>
      <c r="V227">
        <v>1552.48</v>
      </c>
      <c r="W227" s="58"/>
      <c r="X227" s="39"/>
      <c r="Y227" s="39"/>
      <c r="Z227" s="43"/>
      <c r="AA227" s="43"/>
      <c r="AB227" s="43"/>
      <c r="AC227" s="43"/>
      <c r="AD227" s="43"/>
    </row>
    <row r="228" spans="1:30" x14ac:dyDescent="0.2">
      <c r="A228" s="11">
        <f t="shared" si="25"/>
        <v>225</v>
      </c>
      <c r="B228" s="15">
        <f t="shared" si="26"/>
        <v>0.89285714285714013</v>
      </c>
      <c r="C228" s="17">
        <v>4.0870148115876997E-3</v>
      </c>
      <c r="D228" s="17">
        <v>2.4613299486996615E-2</v>
      </c>
      <c r="E228" s="16">
        <v>-0.59739296936111641</v>
      </c>
      <c r="F228" s="16">
        <v>2.1106066882765564</v>
      </c>
      <c r="G228" s="29">
        <v>0</v>
      </c>
      <c r="H228" s="16">
        <v>0</v>
      </c>
      <c r="I228" s="16">
        <f t="shared" si="27"/>
        <v>1.9788094915735233</v>
      </c>
      <c r="J228" s="17">
        <f t="shared" si="28"/>
        <v>0</v>
      </c>
      <c r="K228" s="19">
        <f t="shared" si="29"/>
        <v>1.7570679889289941E-5</v>
      </c>
      <c r="L228" s="18">
        <f t="shared" si="30"/>
        <v>1568.6305111083998</v>
      </c>
      <c r="M228" s="31"/>
      <c r="N228" s="35"/>
      <c r="O228" s="37"/>
      <c r="P228" s="36"/>
      <c r="Q228" s="36"/>
      <c r="R228" s="36"/>
      <c r="S228" s="36"/>
      <c r="T228" s="36">
        <f t="shared" si="31"/>
        <v>204</v>
      </c>
      <c r="U228" s="53">
        <v>41346</v>
      </c>
      <c r="V228">
        <v>1554.52</v>
      </c>
      <c r="W228" s="58"/>
      <c r="X228" s="39"/>
      <c r="Y228" s="39"/>
      <c r="Z228" s="43"/>
      <c r="AA228" s="43"/>
      <c r="AB228" s="43"/>
      <c r="AC228" s="43"/>
      <c r="AD228" s="43"/>
    </row>
    <row r="229" spans="1:30" x14ac:dyDescent="0.2">
      <c r="A229" s="11">
        <f t="shared" si="25"/>
        <v>226</v>
      </c>
      <c r="B229" s="15">
        <f t="shared" si="26"/>
        <v>0.89682539682539408</v>
      </c>
      <c r="C229" s="17">
        <v>4.0870148115876997E-3</v>
      </c>
      <c r="D229" s="17">
        <v>2.4613299486996615E-2</v>
      </c>
      <c r="E229" s="16">
        <v>2.3929166903450365E-2</v>
      </c>
      <c r="F229" s="16">
        <v>0.50062277060531302</v>
      </c>
      <c r="G229" s="29">
        <v>0</v>
      </c>
      <c r="H229" s="16">
        <v>0</v>
      </c>
      <c r="I229" s="16">
        <f t="shared" si="27"/>
        <v>0.35990324089610859</v>
      </c>
      <c r="J229" s="17">
        <f t="shared" si="28"/>
        <v>0</v>
      </c>
      <c r="K229" s="19">
        <f t="shared" si="29"/>
        <v>1.7570679889289941E-5</v>
      </c>
      <c r="L229" s="18">
        <f t="shared" si="30"/>
        <v>1568.6580732551174</v>
      </c>
      <c r="M229" s="31"/>
      <c r="N229" s="35"/>
      <c r="O229" s="37"/>
      <c r="P229" s="36"/>
      <c r="Q229" s="36"/>
      <c r="R229" s="36"/>
      <c r="S229" s="36"/>
      <c r="T229" s="36">
        <f t="shared" si="31"/>
        <v>205</v>
      </c>
      <c r="U229" s="53">
        <v>41347</v>
      </c>
      <c r="V229">
        <v>1563.23</v>
      </c>
      <c r="W229" s="58"/>
      <c r="X229" s="39"/>
      <c r="Y229" s="39"/>
      <c r="Z229" s="43"/>
      <c r="AA229" s="43"/>
      <c r="AB229" s="43"/>
      <c r="AC229" s="43"/>
      <c r="AD229" s="43"/>
    </row>
    <row r="230" spans="1:30" x14ac:dyDescent="0.2">
      <c r="A230" s="11">
        <f t="shared" si="25"/>
        <v>227</v>
      </c>
      <c r="B230" s="15">
        <f t="shared" si="26"/>
        <v>0.90079365079364804</v>
      </c>
      <c r="C230" s="17">
        <v>4.0870148115876997E-3</v>
      </c>
      <c r="D230" s="17">
        <v>2.4613299486996615E-2</v>
      </c>
      <c r="E230" s="16">
        <v>-9.1311725064548765E-2</v>
      </c>
      <c r="F230" s="16">
        <v>-0.7385655246633146</v>
      </c>
      <c r="G230" s="29">
        <v>0</v>
      </c>
      <c r="H230" s="16">
        <v>0</v>
      </c>
      <c r="I230" s="16">
        <f t="shared" si="27"/>
        <v>-0.49394809515417204</v>
      </c>
      <c r="J230" s="17">
        <f t="shared" si="28"/>
        <v>0</v>
      </c>
      <c r="K230" s="19">
        <f t="shared" si="29"/>
        <v>1.7570679889289941E-5</v>
      </c>
      <c r="L230" s="18">
        <f t="shared" si="30"/>
        <v>1568.6856358861248</v>
      </c>
      <c r="M230" s="31"/>
      <c r="N230" s="35"/>
      <c r="O230" s="37"/>
      <c r="P230" s="36"/>
      <c r="Q230" s="36"/>
      <c r="R230" s="36"/>
      <c r="S230" s="36"/>
      <c r="T230" s="36">
        <f t="shared" si="31"/>
        <v>206</v>
      </c>
      <c r="U230" s="53">
        <v>41348</v>
      </c>
      <c r="V230">
        <v>1560.7</v>
      </c>
      <c r="W230" s="58"/>
      <c r="X230" s="39"/>
      <c r="Y230" s="39"/>
      <c r="Z230" s="43"/>
      <c r="AA230" s="43"/>
      <c r="AB230" s="43"/>
      <c r="AC230" s="43"/>
      <c r="AD230" s="43"/>
    </row>
    <row r="231" spans="1:30" x14ac:dyDescent="0.2">
      <c r="A231" s="11">
        <f t="shared" si="25"/>
        <v>228</v>
      </c>
      <c r="B231" s="15">
        <f t="shared" si="26"/>
        <v>0.90476190476190199</v>
      </c>
      <c r="C231" s="17">
        <v>4.0870148115876997E-3</v>
      </c>
      <c r="D231" s="17">
        <v>2.4613299486996615E-2</v>
      </c>
      <c r="E231" s="16">
        <v>1.9652129066778599</v>
      </c>
      <c r="F231" s="16">
        <v>-1.051767129279334</v>
      </c>
      <c r="G231" s="29">
        <v>0</v>
      </c>
      <c r="H231" s="16">
        <v>0</v>
      </c>
      <c r="I231" s="16">
        <f t="shared" si="27"/>
        <v>-2.0881025206530173</v>
      </c>
      <c r="J231" s="17">
        <f t="shared" si="28"/>
        <v>2.1834136414490132E-3</v>
      </c>
      <c r="K231" s="19">
        <f t="shared" si="29"/>
        <v>1.7570679889289941E-5</v>
      </c>
      <c r="L231" s="18">
        <f t="shared" si="30"/>
        <v>1568.7131990014307</v>
      </c>
      <c r="M231" s="31"/>
      <c r="N231" s="35"/>
      <c r="O231" s="37"/>
      <c r="P231" s="36"/>
      <c r="Q231" s="36"/>
      <c r="R231" s="36"/>
      <c r="S231" s="36"/>
      <c r="T231" s="36">
        <f t="shared" si="31"/>
        <v>207</v>
      </c>
      <c r="U231" s="53">
        <v>41351</v>
      </c>
      <c r="V231">
        <v>1552.1</v>
      </c>
      <c r="W231" s="58"/>
      <c r="X231" s="39"/>
      <c r="Y231" s="39"/>
      <c r="Z231" s="43"/>
      <c r="AA231" s="43"/>
      <c r="AB231" s="43"/>
      <c r="AC231" s="43"/>
      <c r="AD231" s="43"/>
    </row>
    <row r="232" spans="1:30" x14ac:dyDescent="0.2">
      <c r="A232" s="11">
        <f t="shared" si="25"/>
        <v>229</v>
      </c>
      <c r="B232" s="15">
        <f t="shared" si="26"/>
        <v>0.90873015873015595</v>
      </c>
      <c r="C232" s="17">
        <v>4.0870148115876997E-3</v>
      </c>
      <c r="D232" s="17">
        <v>2.4613299486996615E-2</v>
      </c>
      <c r="E232" s="16">
        <v>-0.95940187884578165</v>
      </c>
      <c r="F232" s="16">
        <v>-1.1215280804816796</v>
      </c>
      <c r="G232" s="29">
        <v>0</v>
      </c>
      <c r="H232" s="16">
        <v>0</v>
      </c>
      <c r="I232" s="16">
        <f t="shared" si="27"/>
        <v>-0.20766618443587537</v>
      </c>
      <c r="J232" s="17">
        <f t="shared" si="28"/>
        <v>0</v>
      </c>
      <c r="K232" s="19">
        <f t="shared" si="29"/>
        <v>-5.9803211044057029E-4</v>
      </c>
      <c r="L232" s="18">
        <f t="shared" si="30"/>
        <v>1567.7753385996252</v>
      </c>
      <c r="M232" s="31"/>
      <c r="N232" s="35"/>
      <c r="O232" s="37"/>
      <c r="P232" s="36"/>
      <c r="Q232" s="36"/>
      <c r="R232" s="36"/>
      <c r="S232" s="36"/>
      <c r="T232" s="36">
        <f t="shared" si="31"/>
        <v>208</v>
      </c>
      <c r="U232" s="53">
        <v>41352</v>
      </c>
      <c r="V232">
        <v>1548.34</v>
      </c>
      <c r="W232" s="58"/>
      <c r="X232" s="39"/>
      <c r="Y232" s="39"/>
      <c r="Z232" s="43"/>
      <c r="AA232" s="43"/>
      <c r="AB232" s="43"/>
      <c r="AC232" s="43"/>
      <c r="AD232" s="43"/>
    </row>
    <row r="233" spans="1:30" x14ac:dyDescent="0.2">
      <c r="A233" s="11">
        <f t="shared" si="25"/>
        <v>230</v>
      </c>
      <c r="B233" s="15">
        <f t="shared" si="26"/>
        <v>0.9126984126984099</v>
      </c>
      <c r="C233" s="17">
        <v>4.0870148115876997E-3</v>
      </c>
      <c r="D233" s="17">
        <v>2.4613299486996615E-2</v>
      </c>
      <c r="E233" s="16">
        <v>-0.3999854124570752</v>
      </c>
      <c r="F233" s="16">
        <v>-0.40213132473884694</v>
      </c>
      <c r="G233" s="29">
        <v>0</v>
      </c>
      <c r="H233" s="16">
        <v>0</v>
      </c>
      <c r="I233" s="16">
        <f t="shared" si="27"/>
        <v>-3.7460907965348456E-2</v>
      </c>
      <c r="J233" s="17">
        <f t="shared" si="28"/>
        <v>0</v>
      </c>
      <c r="K233" s="19">
        <f t="shared" si="29"/>
        <v>1.7570679889289941E-5</v>
      </c>
      <c r="L233" s="18">
        <f t="shared" si="30"/>
        <v>1567.8028857202482</v>
      </c>
      <c r="M233" s="31"/>
      <c r="N233" s="35"/>
      <c r="O233" s="37"/>
      <c r="P233" s="36"/>
      <c r="Q233" s="36"/>
      <c r="R233" s="36"/>
      <c r="S233" s="36"/>
      <c r="T233" s="36">
        <f t="shared" si="31"/>
        <v>209</v>
      </c>
      <c r="U233" s="53">
        <v>41353</v>
      </c>
      <c r="V233">
        <v>1558.71</v>
      </c>
      <c r="W233" s="58"/>
      <c r="X233" s="39"/>
      <c r="Y233" s="39"/>
      <c r="Z233" s="43"/>
      <c r="AA233" s="43"/>
      <c r="AB233" s="43"/>
      <c r="AC233" s="43"/>
      <c r="AD233" s="43"/>
    </row>
    <row r="234" spans="1:30" x14ac:dyDescent="0.2">
      <c r="A234" s="11">
        <f t="shared" si="25"/>
        <v>231</v>
      </c>
      <c r="B234" s="15">
        <f t="shared" si="26"/>
        <v>0.91666666666666385</v>
      </c>
      <c r="C234" s="17">
        <v>4.0870148115876997E-3</v>
      </c>
      <c r="D234" s="17">
        <v>2.4613299486996615E-2</v>
      </c>
      <c r="E234" s="16">
        <v>-1.1687772439189388</v>
      </c>
      <c r="F234" s="16">
        <v>2.4354938334095637</v>
      </c>
      <c r="G234" s="29">
        <v>0</v>
      </c>
      <c r="H234" s="16">
        <v>0</v>
      </c>
      <c r="I234" s="16">
        <f t="shared" si="27"/>
        <v>2.6002483183808711</v>
      </c>
      <c r="J234" s="17">
        <f t="shared" si="28"/>
        <v>4.2643068663889016E-4</v>
      </c>
      <c r="K234" s="19">
        <f t="shared" si="29"/>
        <v>1.7570679889289941E-5</v>
      </c>
      <c r="L234" s="18">
        <f>EXP(K234)*EXP(H234)*L233</f>
        <v>1567.8304333248973</v>
      </c>
      <c r="M234" s="31"/>
      <c r="N234" s="35"/>
      <c r="O234" s="37"/>
      <c r="P234" s="36"/>
      <c r="Q234" s="36"/>
      <c r="R234" s="36"/>
      <c r="S234" s="36"/>
      <c r="T234" s="36">
        <f t="shared" si="31"/>
        <v>210</v>
      </c>
      <c r="U234" s="53">
        <v>41354</v>
      </c>
      <c r="V234">
        <v>1545.8</v>
      </c>
      <c r="W234" s="58"/>
      <c r="X234" s="39"/>
      <c r="Y234" s="39"/>
      <c r="Z234" s="43"/>
      <c r="AA234" s="43"/>
      <c r="AB234" s="43"/>
      <c r="AC234" s="43"/>
      <c r="AD234" s="43"/>
    </row>
    <row r="235" spans="1:30" x14ac:dyDescent="0.2">
      <c r="A235" s="11">
        <f t="shared" si="25"/>
        <v>232</v>
      </c>
      <c r="B235" s="15">
        <f t="shared" si="26"/>
        <v>0.92063492063491781</v>
      </c>
      <c r="C235" s="17">
        <v>4.0870148115876997E-3</v>
      </c>
      <c r="D235" s="17">
        <v>2.4613299486996615E-2</v>
      </c>
      <c r="E235" s="16">
        <v>0.93420247170743043</v>
      </c>
      <c r="F235" s="16">
        <v>-0.98976476808495806</v>
      </c>
      <c r="G235" s="29">
        <v>0</v>
      </c>
      <c r="H235" s="16">
        <v>0</v>
      </c>
      <c r="I235" s="16">
        <f t="shared" si="27"/>
        <v>-1.3602052744498581</v>
      </c>
      <c r="J235" s="17">
        <f t="shared" si="28"/>
        <v>1.5277188235951365E-3</v>
      </c>
      <c r="K235" s="19">
        <f t="shared" si="29"/>
        <v>-1.7526851341299217E-3</v>
      </c>
      <c r="L235" s="18">
        <f t="shared" si="30"/>
        <v>1565.0849269385146</v>
      </c>
      <c r="M235" s="31"/>
      <c r="N235" s="35"/>
      <c r="O235" s="37"/>
      <c r="P235" s="36"/>
      <c r="Q235" s="36"/>
      <c r="R235" s="36"/>
      <c r="S235" s="36"/>
      <c r="T235" s="36">
        <f t="shared" si="31"/>
        <v>211</v>
      </c>
      <c r="U235" s="53">
        <v>41355</v>
      </c>
      <c r="V235">
        <v>1556.89</v>
      </c>
      <c r="W235" s="58"/>
      <c r="X235" s="39"/>
      <c r="Y235" s="39"/>
      <c r="Z235" s="43"/>
      <c r="AA235" s="43"/>
      <c r="AB235" s="43"/>
      <c r="AC235" s="43"/>
      <c r="AD235" s="43"/>
    </row>
    <row r="236" spans="1:30" x14ac:dyDescent="0.2">
      <c r="A236" s="11">
        <f t="shared" si="25"/>
        <v>233</v>
      </c>
      <c r="B236" s="15">
        <f t="shared" si="26"/>
        <v>0.92460317460317176</v>
      </c>
      <c r="C236" s="17">
        <v>4.0870070747002531E-3</v>
      </c>
      <c r="D236" s="17">
        <v>2.4613299486996615E-2</v>
      </c>
      <c r="E236" s="16">
        <v>-1.1244547647347276</v>
      </c>
      <c r="F236" s="16">
        <v>1.2130121020393896</v>
      </c>
      <c r="G236" s="29">
        <v>0</v>
      </c>
      <c r="H236" s="16">
        <v>0</v>
      </c>
      <c r="I236" s="16">
        <f t="shared" si="27"/>
        <v>1.6534845159042102</v>
      </c>
      <c r="J236" s="17">
        <f t="shared" si="28"/>
        <v>0</v>
      </c>
      <c r="K236" s="19">
        <f t="shared" si="29"/>
        <v>4.0857313891745654E-3</v>
      </c>
      <c r="L236" s="18">
        <f t="shared" si="30"/>
        <v>1571.4925244988651</v>
      </c>
      <c r="M236" s="31"/>
      <c r="N236" s="35"/>
      <c r="O236" s="37"/>
      <c r="P236" s="36"/>
      <c r="Q236" s="36"/>
      <c r="R236" s="36"/>
      <c r="S236" s="36"/>
      <c r="T236" s="36">
        <f t="shared" si="31"/>
        <v>212</v>
      </c>
      <c r="U236" s="53">
        <v>41358</v>
      </c>
      <c r="V236">
        <v>1551.69</v>
      </c>
      <c r="W236" s="58"/>
      <c r="X236" s="39"/>
      <c r="Y236" s="39"/>
      <c r="Z236" s="43"/>
      <c r="AA236" s="43"/>
      <c r="AB236" s="43"/>
      <c r="AC236" s="43"/>
      <c r="AD236" s="43"/>
    </row>
    <row r="237" spans="1:30" x14ac:dyDescent="0.2">
      <c r="A237" s="11">
        <f t="shared" si="25"/>
        <v>234</v>
      </c>
      <c r="B237" s="15">
        <f t="shared" si="26"/>
        <v>0.92857142857142572</v>
      </c>
      <c r="C237" s="17">
        <v>4.0870070747002531E-3</v>
      </c>
      <c r="D237" s="17">
        <v>2.4613299486996615E-2</v>
      </c>
      <c r="E237" s="16">
        <v>1.6635584324585404</v>
      </c>
      <c r="F237" s="16">
        <v>-2.1126930187072845E-2</v>
      </c>
      <c r="G237" s="29">
        <v>0</v>
      </c>
      <c r="H237" s="16">
        <v>0</v>
      </c>
      <c r="I237" s="16">
        <f t="shared" si="27"/>
        <v>-1.115252613676829</v>
      </c>
      <c r="J237" s="17">
        <f t="shared" si="28"/>
        <v>1.4128853374310597E-3</v>
      </c>
      <c r="K237" s="19">
        <f t="shared" si="29"/>
        <v>1.7570649187355629E-5</v>
      </c>
      <c r="L237" s="18">
        <f t="shared" si="30"/>
        <v>1571.5201368852968</v>
      </c>
      <c r="M237" s="31"/>
      <c r="N237" s="35"/>
      <c r="O237" s="37"/>
      <c r="P237" s="36"/>
      <c r="Q237" s="36"/>
      <c r="R237" s="36"/>
      <c r="S237" s="36"/>
      <c r="T237" s="36">
        <f t="shared" si="31"/>
        <v>213</v>
      </c>
      <c r="U237" s="53">
        <v>41359</v>
      </c>
      <c r="V237">
        <v>1563.77</v>
      </c>
      <c r="W237" s="58"/>
      <c r="X237" s="39"/>
      <c r="Y237" s="39"/>
      <c r="Z237" s="43"/>
      <c r="AA237" s="43"/>
      <c r="AB237" s="43"/>
      <c r="AC237" s="43"/>
      <c r="AD237" s="43"/>
    </row>
    <row r="238" spans="1:30" x14ac:dyDescent="0.2">
      <c r="A238" s="11">
        <f t="shared" si="25"/>
        <v>235</v>
      </c>
      <c r="B238" s="15">
        <f t="shared" si="26"/>
        <v>0.93253968253967967</v>
      </c>
      <c r="C238" s="17">
        <v>4.0870070747002531E-3</v>
      </c>
      <c r="D238" s="17">
        <v>2.4613299486996615E-2</v>
      </c>
      <c r="E238" s="16">
        <v>0.2105360343223428</v>
      </c>
      <c r="F238" s="16">
        <v>-1.0193015853401224</v>
      </c>
      <c r="G238" s="29">
        <v>0</v>
      </c>
      <c r="H238" s="16">
        <v>0</v>
      </c>
      <c r="I238" s="16">
        <f t="shared" si="27"/>
        <v>-0.90412278101751509</v>
      </c>
      <c r="J238" s="17">
        <f t="shared" si="28"/>
        <v>1.3237114255574378E-3</v>
      </c>
      <c r="K238" s="19">
        <f t="shared" si="29"/>
        <v>-2.1260549007873926E-3</v>
      </c>
      <c r="L238" s="18">
        <f t="shared" si="30"/>
        <v>1568.1825480023751</v>
      </c>
      <c r="M238" s="31"/>
      <c r="N238" s="35"/>
      <c r="O238" s="37"/>
      <c r="P238" s="36"/>
      <c r="Q238" s="36"/>
      <c r="R238" s="36"/>
      <c r="S238" s="36"/>
      <c r="T238" s="36">
        <f t="shared" si="31"/>
        <v>214</v>
      </c>
      <c r="U238" s="53">
        <v>41360</v>
      </c>
      <c r="V238">
        <v>1562.85</v>
      </c>
      <c r="W238" s="58"/>
      <c r="X238" s="39"/>
      <c r="Y238" s="39"/>
      <c r="Z238" s="43"/>
      <c r="AA238" s="43"/>
      <c r="AB238" s="43"/>
      <c r="AC238" s="43"/>
      <c r="AD238" s="43"/>
    </row>
    <row r="239" spans="1:30" x14ac:dyDescent="0.2">
      <c r="A239" s="11">
        <f t="shared" si="25"/>
        <v>236</v>
      </c>
      <c r="B239" s="15">
        <f t="shared" si="26"/>
        <v>0.93650793650793362</v>
      </c>
      <c r="C239" s="17">
        <v>4.0870070747002531E-3</v>
      </c>
      <c r="D239" s="17">
        <v>2.4613299486996615E-2</v>
      </c>
      <c r="E239" s="16">
        <v>-1.3447604911378155</v>
      </c>
      <c r="F239" s="16">
        <v>0.6550059437021345</v>
      </c>
      <c r="G239" s="29">
        <v>0</v>
      </c>
      <c r="H239" s="16">
        <v>0</v>
      </c>
      <c r="I239" s="16">
        <f t="shared" si="27"/>
        <v>1.3802945442599999</v>
      </c>
      <c r="J239" s="17">
        <f t="shared" si="28"/>
        <v>0</v>
      </c>
      <c r="K239" s="19">
        <f t="shared" si="29"/>
        <v>3.1784465754884196E-3</v>
      </c>
      <c r="L239" s="18">
        <f t="shared" si="30"/>
        <v>1573.174862150805</v>
      </c>
      <c r="M239" s="31"/>
      <c r="N239" s="35"/>
      <c r="O239" s="37"/>
      <c r="P239" s="36"/>
      <c r="Q239" s="36"/>
      <c r="R239" s="36"/>
      <c r="S239" s="36"/>
      <c r="T239" s="36">
        <f t="shared" si="31"/>
        <v>215</v>
      </c>
      <c r="U239" s="53">
        <v>41361</v>
      </c>
      <c r="V239">
        <v>1569.19</v>
      </c>
      <c r="W239" s="58"/>
      <c r="X239" s="39"/>
      <c r="Y239" s="39"/>
      <c r="Z239" s="43"/>
      <c r="AA239" s="43"/>
      <c r="AB239" s="43"/>
      <c r="AC239" s="43"/>
      <c r="AD239" s="43"/>
    </row>
    <row r="240" spans="1:30" x14ac:dyDescent="0.2">
      <c r="A240" s="11">
        <f t="shared" si="25"/>
        <v>237</v>
      </c>
      <c r="B240" s="15">
        <f t="shared" si="26"/>
        <v>0.94047619047618758</v>
      </c>
      <c r="C240" s="17">
        <v>4.0870070747002531E-3</v>
      </c>
      <c r="D240" s="17">
        <v>2.4613299486996615E-2</v>
      </c>
      <c r="E240" s="16">
        <v>1.6024732910237254</v>
      </c>
      <c r="F240" s="16">
        <v>1.2610005471506034</v>
      </c>
      <c r="G240" s="29">
        <v>0</v>
      </c>
      <c r="H240" s="16">
        <v>0</v>
      </c>
      <c r="I240" s="16">
        <f t="shared" si="27"/>
        <v>-0.112646736050526</v>
      </c>
      <c r="J240" s="17">
        <f t="shared" si="28"/>
        <v>1.2724503871127607E-3</v>
      </c>
      <c r="K240" s="19">
        <f t="shared" si="29"/>
        <v>1.7570649187355629E-5</v>
      </c>
      <c r="L240" s="18">
        <f t="shared" si="30"/>
        <v>1573.202504097261</v>
      </c>
      <c r="M240" s="31"/>
      <c r="N240" s="35"/>
      <c r="O240" s="37"/>
      <c r="P240" s="36"/>
      <c r="Q240" s="36"/>
      <c r="R240" s="36"/>
      <c r="S240" s="36"/>
      <c r="T240" s="36">
        <f t="shared" si="31"/>
        <v>216</v>
      </c>
      <c r="U240" s="53">
        <v>41365</v>
      </c>
      <c r="V240">
        <v>1562.17</v>
      </c>
      <c r="W240" s="58"/>
      <c r="X240" s="39"/>
      <c r="Y240" s="39"/>
      <c r="Z240" s="43"/>
      <c r="AA240" s="43"/>
      <c r="AB240" s="43"/>
      <c r="AC240" s="43"/>
      <c r="AD240" s="43"/>
    </row>
    <row r="241" spans="1:30" x14ac:dyDescent="0.2">
      <c r="A241" s="11">
        <f t="shared" si="25"/>
        <v>238</v>
      </c>
      <c r="B241" s="15">
        <f t="shared" si="26"/>
        <v>0.94444444444444153</v>
      </c>
      <c r="C241" s="17">
        <v>4.0870070747002531E-3</v>
      </c>
      <c r="D241" s="17">
        <v>2.4613299486996615E-2</v>
      </c>
      <c r="E241" s="16">
        <v>1.4694878821528528</v>
      </c>
      <c r="F241" s="16">
        <v>-0.40687890194311388</v>
      </c>
      <c r="G241" s="29">
        <v>0</v>
      </c>
      <c r="H241" s="16">
        <v>0</v>
      </c>
      <c r="I241" s="16">
        <f t="shared" si="27"/>
        <v>-1.2765038973724434</v>
      </c>
      <c r="J241" s="17">
        <f t="shared" si="28"/>
        <v>5.0341721726455072E-3</v>
      </c>
      <c r="K241" s="19">
        <f t="shared" si="29"/>
        <v>-2.8533711601679648E-3</v>
      </c>
      <c r="L241" s="18">
        <f t="shared" si="30"/>
        <v>1568.7199716486684</v>
      </c>
      <c r="M241" s="31"/>
      <c r="N241" s="35"/>
      <c r="O241" s="37"/>
      <c r="P241" s="36"/>
      <c r="Q241" s="36"/>
      <c r="R241" s="36"/>
      <c r="S241" s="36"/>
      <c r="T241" s="36">
        <f t="shared" si="31"/>
        <v>217</v>
      </c>
      <c r="U241" s="53">
        <v>41366</v>
      </c>
      <c r="V241">
        <v>1570.25</v>
      </c>
      <c r="W241" s="58"/>
      <c r="X241" s="39"/>
      <c r="Y241" s="39"/>
      <c r="Z241" s="43"/>
      <c r="AA241" s="43"/>
      <c r="AB241" s="43"/>
      <c r="AC241" s="43"/>
      <c r="AD241" s="43"/>
    </row>
    <row r="242" spans="1:30" x14ac:dyDescent="0.2">
      <c r="A242" s="11">
        <f t="shared" si="25"/>
        <v>239</v>
      </c>
      <c r="B242" s="15">
        <f t="shared" si="26"/>
        <v>0.94841269841269549</v>
      </c>
      <c r="C242" s="17">
        <v>4.0870070747002531E-3</v>
      </c>
      <c r="D242" s="17">
        <v>2.4613299486996615E-2</v>
      </c>
      <c r="E242" s="16">
        <v>-0.64283797850901692</v>
      </c>
      <c r="F242" s="16">
        <v>-4.0082649877026234E-2</v>
      </c>
      <c r="G242" s="29">
        <v>0</v>
      </c>
      <c r="H242" s="16">
        <v>0</v>
      </c>
      <c r="I242" s="16">
        <f t="shared" si="27"/>
        <v>0.39475069551424069</v>
      </c>
      <c r="J242" s="17">
        <f t="shared" si="28"/>
        <v>2.3513263058517705E-3</v>
      </c>
      <c r="K242" s="19">
        <f t="shared" si="29"/>
        <v>1.7719400288451427E-3</v>
      </c>
      <c r="L242" s="18">
        <f t="shared" si="30"/>
        <v>1571.5021135268207</v>
      </c>
      <c r="M242" s="31"/>
      <c r="N242" s="35"/>
      <c r="O242" s="37"/>
      <c r="P242" s="36"/>
      <c r="Q242" s="36"/>
      <c r="R242" s="36"/>
      <c r="S242" s="36"/>
      <c r="T242" s="36">
        <f t="shared" si="31"/>
        <v>218</v>
      </c>
      <c r="U242" s="53">
        <v>41367</v>
      </c>
      <c r="V242">
        <v>1553.69</v>
      </c>
      <c r="W242" s="58"/>
      <c r="X242" s="39"/>
      <c r="Y242" s="39"/>
      <c r="Z242" s="43"/>
      <c r="AA242" s="43"/>
      <c r="AB242" s="43"/>
      <c r="AC242" s="43"/>
      <c r="AD242" s="43"/>
    </row>
    <row r="243" spans="1:30" x14ac:dyDescent="0.2">
      <c r="A243" s="11">
        <f t="shared" si="25"/>
        <v>240</v>
      </c>
      <c r="B243" s="15">
        <f t="shared" si="26"/>
        <v>0.95238095238094944</v>
      </c>
      <c r="C243" s="17">
        <v>4.0870070747002531E-3</v>
      </c>
      <c r="D243" s="17">
        <v>2.4613299486996615E-2</v>
      </c>
      <c r="E243" s="16">
        <v>2.3787609013993505</v>
      </c>
      <c r="F243" s="16">
        <v>-0.75090506142377078</v>
      </c>
      <c r="G243" s="29">
        <v>0</v>
      </c>
      <c r="H243" s="16">
        <v>0</v>
      </c>
      <c r="I243" s="16">
        <f t="shared" si="27"/>
        <v>-2.1356072885516317</v>
      </c>
      <c r="J243" s="17">
        <f t="shared" si="28"/>
        <v>1.1911341016147218E-2</v>
      </c>
      <c r="K243" s="19">
        <f t="shared" si="29"/>
        <v>-6.5105482449925702E-3</v>
      </c>
      <c r="L243" s="18">
        <f t="shared" si="30"/>
        <v>1561.3040068547839</v>
      </c>
      <c r="M243" s="31"/>
      <c r="N243" s="35"/>
      <c r="O243" s="37"/>
      <c r="P243" s="36"/>
      <c r="Q243" s="36"/>
      <c r="R243" s="36"/>
      <c r="S243" s="36"/>
      <c r="T243" s="36">
        <f t="shared" si="31"/>
        <v>219</v>
      </c>
      <c r="U243" s="53">
        <v>41368</v>
      </c>
      <c r="V243">
        <v>1559.98</v>
      </c>
      <c r="W243" s="58"/>
      <c r="X243" s="39"/>
      <c r="Y243" s="39"/>
      <c r="Z243" s="43"/>
      <c r="AA243" s="43"/>
      <c r="AB243" s="43"/>
      <c r="AC243" s="43"/>
      <c r="AD243" s="43"/>
    </row>
    <row r="244" spans="1:30" x14ac:dyDescent="0.2">
      <c r="A244" s="11">
        <f t="shared" si="25"/>
        <v>241</v>
      </c>
      <c r="B244" s="15">
        <f t="shared" si="26"/>
        <v>0.9563492063492034</v>
      </c>
      <c r="C244" s="17">
        <v>4.0870070747002531E-3</v>
      </c>
      <c r="D244" s="17">
        <v>2.4613299486996615E-2</v>
      </c>
      <c r="E244" s="16">
        <v>0.382696797009215</v>
      </c>
      <c r="F244" s="16">
        <v>-1.6230660956557015</v>
      </c>
      <c r="G244" s="29">
        <v>0</v>
      </c>
      <c r="H244" s="16">
        <v>0</v>
      </c>
      <c r="I244" s="16">
        <f t="shared" si="27"/>
        <v>-1.4710239529927445</v>
      </c>
      <c r="J244" s="17">
        <f t="shared" si="28"/>
        <v>1.365211464437207E-2</v>
      </c>
      <c r="K244" s="19">
        <f t="shared" si="29"/>
        <v>-1.0119523947227016E-2</v>
      </c>
      <c r="L244" s="18">
        <f t="shared" si="30"/>
        <v>1545.5840270742754</v>
      </c>
      <c r="M244" s="31"/>
      <c r="N244" s="35"/>
      <c r="O244" s="37"/>
      <c r="P244" s="36"/>
      <c r="Q244" s="36"/>
      <c r="R244" s="36"/>
      <c r="S244" s="36"/>
      <c r="T244" s="36">
        <f t="shared" si="31"/>
        <v>220</v>
      </c>
      <c r="U244" s="53">
        <v>41369</v>
      </c>
      <c r="V244">
        <v>1553.28</v>
      </c>
      <c r="W244" s="58"/>
      <c r="X244" s="39"/>
      <c r="Y244" s="39"/>
      <c r="Z244" s="43"/>
      <c r="AA244" s="43"/>
      <c r="AB244" s="43"/>
      <c r="AC244" s="43"/>
      <c r="AD244" s="43"/>
    </row>
    <row r="245" spans="1:30" x14ac:dyDescent="0.2">
      <c r="A245" s="11">
        <f t="shared" si="25"/>
        <v>242</v>
      </c>
      <c r="B245" s="15">
        <f t="shared" si="26"/>
        <v>0.96031746031745735</v>
      </c>
      <c r="C245" s="17">
        <v>4.0870070747002531E-3</v>
      </c>
      <c r="D245" s="17">
        <v>2.4613299486996615E-2</v>
      </c>
      <c r="E245" s="16">
        <v>-1.1552688296512779</v>
      </c>
      <c r="F245" s="16">
        <v>-0.37924293639255791</v>
      </c>
      <c r="G245" s="29">
        <v>0</v>
      </c>
      <c r="H245" s="16">
        <v>0</v>
      </c>
      <c r="I245" s="16">
        <f t="shared" si="27"/>
        <v>0.47886142773954266</v>
      </c>
      <c r="J245" s="17">
        <f t="shared" si="28"/>
        <v>6.844007146982644E-3</v>
      </c>
      <c r="K245" s="19">
        <f t="shared" si="29"/>
        <v>3.5150807835761179E-3</v>
      </c>
      <c r="L245" s="18">
        <f t="shared" si="30"/>
        <v>1551.0264394430376</v>
      </c>
      <c r="M245" s="31"/>
      <c r="N245" s="35"/>
      <c r="O245" s="37"/>
      <c r="P245" s="36"/>
      <c r="Q245" s="36"/>
      <c r="R245" s="36"/>
      <c r="S245" s="36"/>
      <c r="T245" s="36">
        <f t="shared" si="31"/>
        <v>221</v>
      </c>
      <c r="U245" s="53">
        <v>41372</v>
      </c>
      <c r="V245">
        <v>1563.07</v>
      </c>
      <c r="W245" s="58"/>
      <c r="X245" s="39"/>
      <c r="Y245" s="39"/>
      <c r="Z245" s="43"/>
      <c r="AA245" s="43"/>
      <c r="AB245" s="43"/>
      <c r="AC245" s="43"/>
      <c r="AD245" s="43"/>
    </row>
    <row r="246" spans="1:30" x14ac:dyDescent="0.2">
      <c r="A246" s="11">
        <f t="shared" si="25"/>
        <v>243</v>
      </c>
      <c r="B246" s="15">
        <f t="shared" si="26"/>
        <v>0.9642857142857113</v>
      </c>
      <c r="C246" s="17">
        <v>4.0870070747002531E-3</v>
      </c>
      <c r="D246" s="17">
        <v>2.4613299486996615E-2</v>
      </c>
      <c r="E246" s="16">
        <v>0.88444061477866709</v>
      </c>
      <c r="F246" s="16">
        <v>-2.8708815012594178</v>
      </c>
      <c r="G246" s="29">
        <v>1</v>
      </c>
      <c r="H246" s="16">
        <v>0.19398422957651523</v>
      </c>
      <c r="I246" s="16">
        <f t="shared" si="27"/>
        <v>-2.7390969880304414</v>
      </c>
      <c r="J246" s="17">
        <f t="shared" si="28"/>
        <v>1.0717038660020299E-2</v>
      </c>
      <c r="K246" s="19">
        <f t="shared" si="29"/>
        <v>-1.4270556790893493E-2</v>
      </c>
      <c r="L246" s="18">
        <f t="shared" si="30"/>
        <v>1856.3841745491995</v>
      </c>
      <c r="M246" s="31"/>
      <c r="N246" s="35"/>
      <c r="O246" s="37"/>
      <c r="P246" s="36"/>
      <c r="Q246" s="36"/>
      <c r="R246" s="36"/>
      <c r="S246" s="36"/>
      <c r="T246" s="36">
        <f t="shared" si="31"/>
        <v>222</v>
      </c>
      <c r="U246" s="53">
        <v>41373</v>
      </c>
      <c r="V246">
        <v>1568.61</v>
      </c>
      <c r="W246" s="58"/>
      <c r="X246" s="39"/>
      <c r="Y246" s="39"/>
      <c r="Z246" s="43"/>
      <c r="AA246" s="43"/>
      <c r="AB246" s="43"/>
      <c r="AC246" s="43"/>
      <c r="AD246" s="43"/>
    </row>
    <row r="247" spans="1:30" x14ac:dyDescent="0.2">
      <c r="A247" s="11">
        <f t="shared" si="25"/>
        <v>244</v>
      </c>
      <c r="B247" s="15">
        <f t="shared" si="26"/>
        <v>0.96825396825396526</v>
      </c>
      <c r="C247" s="17">
        <v>4.0870070747002531E-3</v>
      </c>
      <c r="D247" s="17">
        <v>2.4613299486996615E-2</v>
      </c>
      <c r="E247" s="16">
        <v>-2.7019967937288083</v>
      </c>
      <c r="F247" s="16">
        <v>-0.87445085426712232</v>
      </c>
      <c r="G247" s="29">
        <v>0</v>
      </c>
      <c r="H247" s="16">
        <v>0</v>
      </c>
      <c r="I247" s="16">
        <f t="shared" si="27"/>
        <v>1.129394984165309</v>
      </c>
      <c r="J247" s="17">
        <f t="shared" si="28"/>
        <v>4.3925406872585544E-4</v>
      </c>
      <c r="K247" s="19">
        <f t="shared" si="29"/>
        <v>7.3614802010378332E-3</v>
      </c>
      <c r="L247" s="18">
        <f t="shared" si="30"/>
        <v>1870.1003335707771</v>
      </c>
      <c r="M247" s="31"/>
      <c r="N247" s="35"/>
      <c r="O247" s="37"/>
      <c r="P247" s="36"/>
      <c r="Q247" s="36"/>
      <c r="R247" s="36"/>
      <c r="S247" s="36"/>
      <c r="T247" s="36">
        <f t="shared" si="31"/>
        <v>223</v>
      </c>
      <c r="U247" s="53">
        <v>41374</v>
      </c>
      <c r="V247">
        <v>1587.73</v>
      </c>
      <c r="W247" s="58"/>
      <c r="X247" s="39"/>
      <c r="Y247" s="39"/>
      <c r="Z247" s="43"/>
      <c r="AA247" s="43"/>
      <c r="AB247" s="43"/>
      <c r="AC247" s="43"/>
      <c r="AD247" s="43"/>
    </row>
    <row r="248" spans="1:30" x14ac:dyDescent="0.2">
      <c r="A248" s="11">
        <f t="shared" si="25"/>
        <v>245</v>
      </c>
      <c r="B248" s="15">
        <f t="shared" si="26"/>
        <v>0.97222222222221921</v>
      </c>
      <c r="C248" s="17">
        <v>4.0870070747002531E-3</v>
      </c>
      <c r="D248" s="17">
        <v>2.4613299486996615E-2</v>
      </c>
      <c r="E248" s="16">
        <v>6.5786064628866658E-2</v>
      </c>
      <c r="F248" s="16">
        <v>-5.1500487593410379E-4</v>
      </c>
      <c r="G248" s="29">
        <v>0</v>
      </c>
      <c r="H248" s="16">
        <v>0</v>
      </c>
      <c r="I248" s="16">
        <f t="shared" si="27"/>
        <v>-4.3862586934508931E-2</v>
      </c>
      <c r="J248" s="17">
        <f t="shared" si="28"/>
        <v>0</v>
      </c>
      <c r="K248" s="19">
        <f t="shared" si="29"/>
        <v>-4.1210660400717381E-5</v>
      </c>
      <c r="L248" s="18">
        <f t="shared" si="30"/>
        <v>1870.0232670890064</v>
      </c>
      <c r="M248" s="31"/>
      <c r="N248" s="35"/>
      <c r="O248" s="37"/>
      <c r="P248" s="36"/>
      <c r="Q248" s="36"/>
      <c r="R248" s="36"/>
      <c r="S248" s="36"/>
      <c r="T248" s="36">
        <f t="shared" si="31"/>
        <v>224</v>
      </c>
      <c r="U248" s="53">
        <v>41375</v>
      </c>
      <c r="V248">
        <v>1593.37</v>
      </c>
      <c r="W248" s="58"/>
      <c r="X248" s="39"/>
      <c r="Y248" s="39"/>
      <c r="Z248" s="43"/>
      <c r="AA248" s="43"/>
      <c r="AB248" s="43"/>
      <c r="AC248" s="43"/>
      <c r="AD248" s="43"/>
    </row>
    <row r="249" spans="1:30" x14ac:dyDescent="0.2">
      <c r="A249" s="11">
        <f t="shared" si="25"/>
        <v>246</v>
      </c>
      <c r="B249" s="15">
        <f t="shared" si="26"/>
        <v>0.97619047619047317</v>
      </c>
      <c r="C249" s="17">
        <v>4.0870070747002531E-3</v>
      </c>
      <c r="D249" s="17">
        <v>2.4613299486996615E-2</v>
      </c>
      <c r="E249" s="16">
        <v>0.34267148455466345</v>
      </c>
      <c r="F249" s="16">
        <v>-0.74142050471699716</v>
      </c>
      <c r="G249" s="29">
        <v>0</v>
      </c>
      <c r="H249" s="16">
        <v>0</v>
      </c>
      <c r="I249" s="16">
        <f t="shared" si="27"/>
        <v>-0.78289750038377526</v>
      </c>
      <c r="J249" s="17">
        <f t="shared" si="28"/>
        <v>0</v>
      </c>
      <c r="K249" s="19">
        <f t="shared" si="29"/>
        <v>1.7570649187355629E-5</v>
      </c>
      <c r="L249" s="18">
        <f t="shared" si="30"/>
        <v>1870.0561249004704</v>
      </c>
      <c r="M249" s="31"/>
      <c r="N249" s="35"/>
      <c r="O249" s="37"/>
      <c r="P249" s="36"/>
      <c r="Q249" s="36"/>
      <c r="R249" s="36"/>
      <c r="S249" s="36"/>
      <c r="T249" s="36">
        <f t="shared" si="31"/>
        <v>225</v>
      </c>
      <c r="U249" s="53">
        <v>41376</v>
      </c>
      <c r="V249">
        <v>1588.85</v>
      </c>
      <c r="W249" s="58"/>
      <c r="X249" s="39"/>
      <c r="Y249" s="39"/>
      <c r="Z249" s="43"/>
      <c r="AA249" s="43"/>
      <c r="AB249" s="43"/>
      <c r="AC249" s="43"/>
      <c r="AD249" s="43"/>
    </row>
    <row r="250" spans="1:30" x14ac:dyDescent="0.2">
      <c r="A250" s="11">
        <f t="shared" si="25"/>
        <v>247</v>
      </c>
      <c r="B250" s="15">
        <f t="shared" si="26"/>
        <v>0.98015873015872712</v>
      </c>
      <c r="C250" s="17">
        <v>4.0870070747002531E-3</v>
      </c>
      <c r="D250" s="17">
        <v>2.4613299486996615E-2</v>
      </c>
      <c r="E250" s="16">
        <v>-1.0435357352151504</v>
      </c>
      <c r="F250" s="16">
        <v>2.0076591672185069</v>
      </c>
      <c r="G250" s="29">
        <v>0</v>
      </c>
      <c r="H250" s="16">
        <v>0</v>
      </c>
      <c r="I250" s="16">
        <f t="shared" si="27"/>
        <v>2.1963900267804455</v>
      </c>
      <c r="J250" s="17">
        <f t="shared" si="28"/>
        <v>2.3139500150091551E-4</v>
      </c>
      <c r="K250" s="19">
        <f t="shared" si="29"/>
        <v>1.7570649187355629E-5</v>
      </c>
      <c r="L250" s="18">
        <f t="shared" si="30"/>
        <v>1870.0889832892726</v>
      </c>
      <c r="M250" s="31"/>
      <c r="N250" s="35"/>
      <c r="O250" s="37"/>
      <c r="P250" s="36"/>
      <c r="Q250" s="36"/>
      <c r="R250" s="36"/>
      <c r="S250" s="36"/>
      <c r="T250" s="36">
        <f t="shared" si="31"/>
        <v>226</v>
      </c>
      <c r="U250" s="53">
        <v>41379</v>
      </c>
      <c r="V250">
        <v>1552.36</v>
      </c>
      <c r="W250" s="58"/>
      <c r="X250" s="39"/>
      <c r="Y250" s="39"/>
      <c r="Z250" s="43"/>
      <c r="AA250" s="43"/>
      <c r="AB250" s="43"/>
      <c r="AC250" s="43"/>
      <c r="AD250" s="43"/>
    </row>
    <row r="251" spans="1:30" x14ac:dyDescent="0.2">
      <c r="A251" s="11">
        <f t="shared" si="25"/>
        <v>248</v>
      </c>
      <c r="B251" s="15">
        <f t="shared" si="26"/>
        <v>0.98412698412698107</v>
      </c>
      <c r="C251" s="17">
        <v>4.0870070747002531E-3</v>
      </c>
      <c r="D251" s="17">
        <v>2.4613299486996615E-2</v>
      </c>
      <c r="E251" s="16">
        <v>1.0296065031234634</v>
      </c>
      <c r="F251" s="16">
        <v>-7.6416792596326194E-2</v>
      </c>
      <c r="G251" s="29">
        <v>0</v>
      </c>
      <c r="H251" s="16">
        <v>0</v>
      </c>
      <c r="I251" s="16">
        <f t="shared" si="27"/>
        <v>-0.73778745780249944</v>
      </c>
      <c r="J251" s="17">
        <f t="shared" si="28"/>
        <v>1.2726891981681139E-3</v>
      </c>
      <c r="K251" s="19">
        <f t="shared" si="29"/>
        <v>-6.8986986173250801E-4</v>
      </c>
      <c r="L251" s="18">
        <f t="shared" si="30"/>
        <v>1868.7993101654017</v>
      </c>
      <c r="M251" s="31"/>
      <c r="N251" s="35"/>
      <c r="O251" s="37"/>
      <c r="P251" s="36"/>
      <c r="Q251" s="36"/>
      <c r="R251" s="36"/>
      <c r="S251" s="36"/>
      <c r="T251" s="36">
        <f t="shared" si="31"/>
        <v>227</v>
      </c>
      <c r="U251" s="53">
        <v>41380</v>
      </c>
      <c r="V251">
        <v>1574.57</v>
      </c>
      <c r="W251" s="58"/>
      <c r="X251" s="39"/>
      <c r="Y251" s="39"/>
      <c r="Z251" s="43"/>
      <c r="AA251" s="43"/>
      <c r="AB251" s="43"/>
      <c r="AC251" s="43"/>
      <c r="AD251" s="43"/>
    </row>
    <row r="252" spans="1:30" x14ac:dyDescent="0.2">
      <c r="A252" s="11">
        <f t="shared" si="25"/>
        <v>249</v>
      </c>
      <c r="B252" s="15">
        <f t="shared" si="26"/>
        <v>0.98809523809523503</v>
      </c>
      <c r="C252" s="17">
        <v>4.0870070747002531E-3</v>
      </c>
      <c r="D252" s="17">
        <v>2.4613299486996615E-2</v>
      </c>
      <c r="E252" s="16">
        <v>-1.2147778615686202</v>
      </c>
      <c r="F252" s="16">
        <v>0.34086565364071519</v>
      </c>
      <c r="G252" s="29">
        <v>0</v>
      </c>
      <c r="H252" s="16">
        <v>0</v>
      </c>
      <c r="I252" s="16">
        <f t="shared" si="27"/>
        <v>1.0586305996644403</v>
      </c>
      <c r="J252" s="17">
        <f t="shared" si="28"/>
        <v>0</v>
      </c>
      <c r="K252" s="19">
        <f t="shared" si="29"/>
        <v>2.3941052347366955E-3</v>
      </c>
      <c r="L252" s="18">
        <f t="shared" si="30"/>
        <v>1873.2787723889276</v>
      </c>
      <c r="M252" s="31"/>
      <c r="N252" s="35"/>
      <c r="O252" s="37"/>
      <c r="P252" s="36"/>
      <c r="Q252" s="36"/>
      <c r="R252" s="36"/>
      <c r="S252" s="36"/>
      <c r="T252" s="36">
        <f t="shared" si="31"/>
        <v>228</v>
      </c>
      <c r="U252" s="53">
        <v>41381</v>
      </c>
      <c r="V252">
        <v>1552.01</v>
      </c>
      <c r="W252" s="58"/>
      <c r="X252" s="39"/>
      <c r="Y252" s="39"/>
      <c r="Z252" s="43"/>
      <c r="AA252" s="43"/>
      <c r="AB252" s="43"/>
      <c r="AC252" s="43"/>
      <c r="AD252" s="43"/>
    </row>
    <row r="253" spans="1:30" x14ac:dyDescent="0.2">
      <c r="A253" s="11">
        <f t="shared" si="25"/>
        <v>250</v>
      </c>
      <c r="B253" s="15">
        <f t="shared" si="26"/>
        <v>0.99206349206348898</v>
      </c>
      <c r="C253" s="17">
        <v>4.0870070747002531E-3</v>
      </c>
      <c r="D253" s="17">
        <v>2.4613299486996615E-2</v>
      </c>
      <c r="E253" s="16">
        <v>0.86713886750541225</v>
      </c>
      <c r="F253" s="16">
        <v>1.4756144230245851</v>
      </c>
      <c r="G253" s="29">
        <v>0</v>
      </c>
      <c r="H253" s="16">
        <v>0</v>
      </c>
      <c r="I253" s="16">
        <f t="shared" si="27"/>
        <v>0.53438184954464596</v>
      </c>
      <c r="J253" s="17">
        <f t="shared" si="28"/>
        <v>0</v>
      </c>
      <c r="K253" s="19">
        <f t="shared" si="29"/>
        <v>1.7570649187355629E-5</v>
      </c>
      <c r="L253" s="18">
        <f t="shared" si="30"/>
        <v>1873.3116874022355</v>
      </c>
      <c r="M253" s="31"/>
      <c r="N253" s="35"/>
      <c r="O253" s="37"/>
      <c r="P253" s="36"/>
      <c r="Q253" s="36"/>
      <c r="R253" s="36"/>
      <c r="S253" s="36"/>
      <c r="T253" s="36">
        <f t="shared" si="31"/>
        <v>229</v>
      </c>
      <c r="U253" s="53">
        <v>41382</v>
      </c>
      <c r="V253">
        <v>1541.61</v>
      </c>
      <c r="W253" s="58"/>
      <c r="X253" s="39"/>
      <c r="Y253" s="39"/>
      <c r="Z253" s="43"/>
      <c r="AA253" s="43"/>
      <c r="AB253" s="43"/>
      <c r="AC253" s="43"/>
      <c r="AD253" s="43"/>
    </row>
    <row r="254" spans="1:30" x14ac:dyDescent="0.2">
      <c r="A254" s="11">
        <f t="shared" si="25"/>
        <v>251</v>
      </c>
      <c r="B254" s="15">
        <f t="shared" si="26"/>
        <v>0.99603174603174294</v>
      </c>
      <c r="C254" s="17">
        <v>4.0870070747002531E-3</v>
      </c>
      <c r="D254" s="17">
        <v>2.4613299486996615E-2</v>
      </c>
      <c r="E254" s="16">
        <v>-0.17622437256783055</v>
      </c>
      <c r="F254" s="16">
        <v>1.4786693733574761</v>
      </c>
      <c r="G254" s="29">
        <v>0</v>
      </c>
      <c r="H254" s="16">
        <v>0</v>
      </c>
      <c r="I254" s="16">
        <f t="shared" si="27"/>
        <v>1.2262026773118917</v>
      </c>
      <c r="J254" s="17">
        <f t="shared" si="28"/>
        <v>0</v>
      </c>
      <c r="K254" s="19">
        <f t="shared" si="29"/>
        <v>1.7570649187355629E-5</v>
      </c>
      <c r="L254" s="18">
        <f t="shared" si="30"/>
        <v>1873.3446029938868</v>
      </c>
      <c r="M254" s="31"/>
      <c r="N254" s="35"/>
      <c r="O254" s="37"/>
      <c r="P254" s="36"/>
      <c r="Q254" s="36"/>
      <c r="R254" s="36"/>
      <c r="S254" s="36"/>
      <c r="T254" s="36">
        <f t="shared" si="31"/>
        <v>230</v>
      </c>
      <c r="U254" s="53">
        <v>41383</v>
      </c>
      <c r="V254">
        <v>1555.25</v>
      </c>
      <c r="W254" s="58"/>
      <c r="X254" s="39"/>
      <c r="Y254" s="39"/>
      <c r="Z254" s="43"/>
      <c r="AA254" s="43"/>
      <c r="AB254" s="43"/>
      <c r="AC254" s="43"/>
      <c r="AD254" s="43"/>
    </row>
    <row r="255" spans="1:30" x14ac:dyDescent="0.2">
      <c r="A255" s="11">
        <f t="shared" si="25"/>
        <v>252</v>
      </c>
      <c r="B255" s="15">
        <f t="shared" si="26"/>
        <v>0.99999999999999689</v>
      </c>
      <c r="C255" s="17">
        <v>4.0870070747002531E-3</v>
      </c>
      <c r="D255" s="17">
        <v>2.4613299486996615E-2</v>
      </c>
      <c r="E255" s="16">
        <v>-2.9077570573138997E-3</v>
      </c>
      <c r="F255" s="16">
        <v>-1.0616017809889369</v>
      </c>
      <c r="G255" s="29">
        <v>0</v>
      </c>
      <c r="H255" s="16">
        <v>0</v>
      </c>
      <c r="I255" s="16">
        <f t="shared" si="27"/>
        <v>-0.79481034635275927</v>
      </c>
      <c r="J255" s="17">
        <f t="shared" si="28"/>
        <v>0</v>
      </c>
      <c r="K255" s="19">
        <f t="shared" si="29"/>
        <v>1.7570649187355629E-5</v>
      </c>
      <c r="L255" s="18">
        <f t="shared" si="30"/>
        <v>1873.3775191638915</v>
      </c>
      <c r="M255" s="31"/>
      <c r="N255" s="35"/>
      <c r="O255" s="37"/>
      <c r="P255" s="36"/>
      <c r="Q255" s="36"/>
      <c r="R255" s="36"/>
      <c r="S255" s="36"/>
      <c r="T255" s="36">
        <f t="shared" si="31"/>
        <v>231</v>
      </c>
      <c r="U255" s="53">
        <v>41386</v>
      </c>
      <c r="V255">
        <v>1562.5</v>
      </c>
      <c r="W255" s="58"/>
      <c r="X255" s="39"/>
      <c r="Y255" s="39"/>
      <c r="Z255" s="43"/>
      <c r="AA255" s="43"/>
      <c r="AB255" s="43"/>
      <c r="AC255" s="43"/>
      <c r="AD255" s="43"/>
    </row>
    <row r="256" spans="1:30" x14ac:dyDescent="0.2">
      <c r="A256" s="11">
        <f t="shared" si="25"/>
        <v>253</v>
      </c>
      <c r="B256" s="15">
        <f t="shared" si="26"/>
        <v>1.0039682539682508</v>
      </c>
      <c r="C256" s="17">
        <v>4.0870070747002531E-3</v>
      </c>
      <c r="D256" s="17">
        <v>2.4613299486996615E-2</v>
      </c>
      <c r="E256" s="16">
        <v>-0.86988209118108661</v>
      </c>
      <c r="F256" s="16">
        <v>-1.2951851903162432</v>
      </c>
      <c r="G256" s="29">
        <v>0</v>
      </c>
      <c r="H256" s="16">
        <v>0</v>
      </c>
      <c r="I256" s="16">
        <f t="shared" si="27"/>
        <v>-0.39715681817461601</v>
      </c>
      <c r="J256" s="17">
        <f t="shared" ref="J256:J294" si="32">MAX((SQRT(J255)+Eta*SQRT(dt)*E256/2)^2+Kappa*(Theta-J255)*dt-Eta*Eta*dt/4,0)</f>
        <v>0</v>
      </c>
      <c r="K256" s="19">
        <f t="shared" ref="K256:K294" si="33">(C256-D256-Lambda*(EXP(Alpha+Delta^2/2)-1)-MAX((SQRT($J255)-0),0)^2/2)*dt+SQRT(MAX((SQRT($J255)-0),0)^2*dt)*I256</f>
        <v>1.7570649187355629E-5</v>
      </c>
      <c r="L256" s="18">
        <f t="shared" ref="L256:L294" si="34">EXP(K256)*EXP(H256)*L255</f>
        <v>1873.4104359122598</v>
      </c>
      <c r="T256" s="36"/>
      <c r="U256" s="53"/>
      <c r="W256" s="58"/>
    </row>
    <row r="257" spans="1:23" x14ac:dyDescent="0.2">
      <c r="A257" s="11">
        <f t="shared" si="25"/>
        <v>254</v>
      </c>
      <c r="B257" s="15">
        <f t="shared" si="26"/>
        <v>1.0079365079365048</v>
      </c>
      <c r="C257" s="17">
        <v>4.0870070747002531E-3</v>
      </c>
      <c r="D257" s="17">
        <v>2.4613299486996615E-2</v>
      </c>
      <c r="E257" s="16">
        <v>-0.70432254738032718</v>
      </c>
      <c r="F257" s="16">
        <v>0.41671364878731409</v>
      </c>
      <c r="G257" s="29">
        <v>0</v>
      </c>
      <c r="H257" s="16">
        <v>0</v>
      </c>
      <c r="I257" s="16">
        <f t="shared" si="27"/>
        <v>0.77820960156420504</v>
      </c>
      <c r="J257" s="17">
        <f t="shared" si="32"/>
        <v>0</v>
      </c>
      <c r="K257" s="19">
        <f t="shared" si="33"/>
        <v>1.7570649187355629E-5</v>
      </c>
      <c r="L257" s="18">
        <f t="shared" si="34"/>
        <v>1873.4433532390017</v>
      </c>
      <c r="T257" s="36"/>
      <c r="U257" s="53"/>
      <c r="W257" s="58"/>
    </row>
    <row r="258" spans="1:23" x14ac:dyDescent="0.2">
      <c r="A258" s="11">
        <f t="shared" si="25"/>
        <v>255</v>
      </c>
      <c r="B258" s="15">
        <f t="shared" si="26"/>
        <v>1.0119047619047588</v>
      </c>
      <c r="C258" s="17">
        <v>4.0870070747002531E-3</v>
      </c>
      <c r="D258" s="17">
        <v>2.4613299486996615E-2</v>
      </c>
      <c r="E258" s="16">
        <v>-1.4981033624702558</v>
      </c>
      <c r="F258" s="16">
        <v>0.33120221416731382</v>
      </c>
      <c r="G258" s="29">
        <v>0</v>
      </c>
      <c r="H258" s="16">
        <v>0</v>
      </c>
      <c r="I258" s="16">
        <f t="shared" si="27"/>
        <v>1.2386196826919489</v>
      </c>
      <c r="J258" s="17">
        <f t="shared" si="32"/>
        <v>1.044659114365379E-3</v>
      </c>
      <c r="K258" s="19">
        <f t="shared" si="33"/>
        <v>1.7570649187355629E-5</v>
      </c>
      <c r="L258" s="18">
        <f t="shared" si="34"/>
        <v>1873.4762711441274</v>
      </c>
      <c r="T258" s="36"/>
      <c r="U258" s="53"/>
      <c r="W258" s="58"/>
    </row>
    <row r="259" spans="1:23" x14ac:dyDescent="0.2">
      <c r="A259" s="11">
        <f t="shared" si="25"/>
        <v>256</v>
      </c>
      <c r="B259" s="15">
        <f t="shared" si="26"/>
        <v>1.0158730158730127</v>
      </c>
      <c r="C259" s="17">
        <v>4.0870070747002531E-3</v>
      </c>
      <c r="D259" s="17">
        <v>2.4613299486996615E-2</v>
      </c>
      <c r="E259" s="16">
        <v>-0.92526309039095234</v>
      </c>
      <c r="F259" s="16">
        <v>0.117987272419145</v>
      </c>
      <c r="G259" s="29">
        <v>0</v>
      </c>
      <c r="H259" s="16">
        <v>0</v>
      </c>
      <c r="I259" s="16">
        <f t="shared" si="27"/>
        <v>0.70002860393689448</v>
      </c>
      <c r="J259" s="17">
        <f t="shared" si="32"/>
        <v>0</v>
      </c>
      <c r="K259" s="19">
        <f t="shared" si="33"/>
        <v>1.4407865230024208E-3</v>
      </c>
      <c r="L259" s="18">
        <f t="shared" si="34"/>
        <v>1876.1774959836473</v>
      </c>
      <c r="T259" s="36"/>
      <c r="U259" s="53"/>
      <c r="W259" s="58"/>
    </row>
    <row r="260" spans="1:23" x14ac:dyDescent="0.2">
      <c r="A260" s="11">
        <f t="shared" ref="A260:A318" si="35">A259+1</f>
        <v>257</v>
      </c>
      <c r="B260" s="15">
        <f t="shared" ref="B260:B318" si="36">B259+dt</f>
        <v>1.0198412698412667</v>
      </c>
      <c r="C260" s="17">
        <v>4.0870070747002531E-3</v>
      </c>
      <c r="D260" s="17">
        <v>2.4613299486996615E-2</v>
      </c>
      <c r="E260" s="16">
        <v>0.84610602338169305</v>
      </c>
      <c r="F260" s="16">
        <v>0.79611501110325456</v>
      </c>
      <c r="G260" s="29">
        <v>0</v>
      </c>
      <c r="H260" s="16">
        <v>0</v>
      </c>
      <c r="I260" s="16">
        <f t="shared" ref="I260:I318" si="37">Rho*E260+F260*(1-Rho^2)^0.5</f>
        <v>3.8317618218577154E-2</v>
      </c>
      <c r="J260" s="17">
        <f t="shared" si="32"/>
        <v>0</v>
      </c>
      <c r="K260" s="19">
        <f t="shared" si="33"/>
        <v>1.7570649187355629E-5</v>
      </c>
      <c r="L260" s="18">
        <f t="shared" si="34"/>
        <v>1876.2104619298582</v>
      </c>
      <c r="T260" s="36"/>
      <c r="U260" s="53"/>
      <c r="W260" s="58"/>
    </row>
    <row r="261" spans="1:23" x14ac:dyDescent="0.2">
      <c r="A261" s="11">
        <f t="shared" si="35"/>
        <v>258</v>
      </c>
      <c r="B261" s="15">
        <f t="shared" si="36"/>
        <v>1.0238095238095206</v>
      </c>
      <c r="C261" s="17">
        <v>4.0870070747002531E-3</v>
      </c>
      <c r="D261" s="17">
        <v>2.4613299486996615E-2</v>
      </c>
      <c r="E261" s="16">
        <v>0.78025710891793998</v>
      </c>
      <c r="F261" s="16">
        <v>1.1799494995442545</v>
      </c>
      <c r="G261" s="29">
        <v>0</v>
      </c>
      <c r="H261" s="16">
        <v>0</v>
      </c>
      <c r="I261" s="16">
        <f t="shared" si="37"/>
        <v>0.36990296293807845</v>
      </c>
      <c r="J261" s="17">
        <f t="shared" si="32"/>
        <v>0</v>
      </c>
      <c r="K261" s="19">
        <f t="shared" si="33"/>
        <v>1.7570649187355629E-5</v>
      </c>
      <c r="L261" s="18">
        <f t="shared" si="34"/>
        <v>1876.2434284553071</v>
      </c>
      <c r="T261" s="36"/>
      <c r="U261" s="53"/>
      <c r="W261" s="58"/>
    </row>
    <row r="262" spans="1:23" x14ac:dyDescent="0.2">
      <c r="A262" s="11">
        <f t="shared" si="35"/>
        <v>259</v>
      </c>
      <c r="B262" s="15">
        <f t="shared" si="36"/>
        <v>1.0277777777777746</v>
      </c>
      <c r="C262" s="17">
        <v>4.0870070747002531E-3</v>
      </c>
      <c r="D262" s="17">
        <v>2.4613299486996615E-2</v>
      </c>
      <c r="E262" s="16">
        <v>0.58132551184648407</v>
      </c>
      <c r="F262" s="16">
        <v>-1.3088244031376042</v>
      </c>
      <c r="G262" s="29">
        <v>0</v>
      </c>
      <c r="H262" s="16">
        <v>0</v>
      </c>
      <c r="I262" s="16">
        <f t="shared" si="37"/>
        <v>-1.3664534814107219</v>
      </c>
      <c r="J262" s="17">
        <f t="shared" si="32"/>
        <v>0</v>
      </c>
      <c r="K262" s="19">
        <f t="shared" si="33"/>
        <v>1.7570649187355629E-5</v>
      </c>
      <c r="L262" s="18">
        <f t="shared" si="34"/>
        <v>1876.2763955600044</v>
      </c>
      <c r="T262" s="36"/>
      <c r="U262" s="53"/>
      <c r="W262" s="58"/>
    </row>
    <row r="263" spans="1:23" x14ac:dyDescent="0.2">
      <c r="A263" s="11">
        <f t="shared" si="35"/>
        <v>260</v>
      </c>
      <c r="B263" s="15">
        <f t="shared" si="36"/>
        <v>1.0317460317460285</v>
      </c>
      <c r="C263" s="17">
        <v>4.0870070747002531E-3</v>
      </c>
      <c r="D263" s="17">
        <v>2.4613299486996615E-2</v>
      </c>
      <c r="E263" s="16">
        <v>-0.36707226981615898</v>
      </c>
      <c r="F263" s="16">
        <v>-0.64385838752983082</v>
      </c>
      <c r="G263" s="29">
        <v>0</v>
      </c>
      <c r="H263" s="16">
        <v>0</v>
      </c>
      <c r="I263" s="16">
        <f t="shared" si="37"/>
        <v>-0.24062836515359551</v>
      </c>
      <c r="J263" s="17">
        <f t="shared" si="32"/>
        <v>0</v>
      </c>
      <c r="K263" s="19">
        <f t="shared" si="33"/>
        <v>1.7570649187355629E-5</v>
      </c>
      <c r="L263" s="18">
        <f t="shared" si="34"/>
        <v>1876.3093632439602</v>
      </c>
      <c r="T263" s="36"/>
      <c r="U263" s="53"/>
      <c r="W263" s="58"/>
    </row>
    <row r="264" spans="1:23" x14ac:dyDescent="0.2">
      <c r="A264" s="11">
        <f t="shared" si="35"/>
        <v>261</v>
      </c>
      <c r="B264" s="15">
        <f t="shared" si="36"/>
        <v>1.0357142857142825</v>
      </c>
      <c r="C264" s="17">
        <v>4.0870070747002531E-3</v>
      </c>
      <c r="D264" s="17">
        <v>2.4613299486996615E-2</v>
      </c>
      <c r="E264" s="16">
        <v>-0.75676945753772273</v>
      </c>
      <c r="F264" s="16">
        <v>1.0198347288780991</v>
      </c>
      <c r="G264" s="29">
        <v>0</v>
      </c>
      <c r="H264" s="16">
        <v>0</v>
      </c>
      <c r="I264" s="16">
        <f t="shared" si="37"/>
        <v>1.2655125139822938</v>
      </c>
      <c r="J264" s="17">
        <f t="shared" si="32"/>
        <v>0</v>
      </c>
      <c r="K264" s="19">
        <f t="shared" si="33"/>
        <v>1.7570649187355629E-5</v>
      </c>
      <c r="L264" s="18">
        <f t="shared" si="34"/>
        <v>1876.3423315071848</v>
      </c>
      <c r="T264" s="36"/>
      <c r="U264" s="53"/>
      <c r="W264" s="58"/>
    </row>
    <row r="265" spans="1:23" x14ac:dyDescent="0.2">
      <c r="A265" s="11">
        <f t="shared" si="35"/>
        <v>262</v>
      </c>
      <c r="B265" s="15">
        <f t="shared" si="36"/>
        <v>1.0396825396825364</v>
      </c>
      <c r="C265" s="17">
        <v>4.0870070747002531E-3</v>
      </c>
      <c r="D265" s="17">
        <v>2.4613299486996615E-2</v>
      </c>
      <c r="E265" s="16">
        <v>7.5310244483938388E-2</v>
      </c>
      <c r="F265" s="16">
        <v>-0.53794100830157721</v>
      </c>
      <c r="G265" s="29">
        <v>0</v>
      </c>
      <c r="H265" s="16">
        <v>0</v>
      </c>
      <c r="I265" s="16">
        <f t="shared" si="37"/>
        <v>-0.45349498250157583</v>
      </c>
      <c r="J265" s="17">
        <f t="shared" si="32"/>
        <v>0</v>
      </c>
      <c r="K265" s="19">
        <f t="shared" si="33"/>
        <v>1.7570649187355629E-5</v>
      </c>
      <c r="L265" s="18">
        <f t="shared" si="34"/>
        <v>1876.3753003496884</v>
      </c>
      <c r="T265" s="36"/>
      <c r="U265" s="53"/>
      <c r="W265" s="58"/>
    </row>
    <row r="266" spans="1:23" x14ac:dyDescent="0.2">
      <c r="A266" s="11">
        <f t="shared" si="35"/>
        <v>263</v>
      </c>
      <c r="B266" s="15">
        <f t="shared" si="36"/>
        <v>1.0436507936507904</v>
      </c>
      <c r="C266" s="17">
        <v>4.0870070747002531E-3</v>
      </c>
      <c r="D266" s="17">
        <v>2.4613299486996615E-2</v>
      </c>
      <c r="E266" s="16">
        <v>-0.53153555108841799</v>
      </c>
      <c r="F266" s="16">
        <v>0.24441497899988837</v>
      </c>
      <c r="G266" s="29">
        <v>0</v>
      </c>
      <c r="H266" s="16">
        <v>0</v>
      </c>
      <c r="I266" s="16">
        <f t="shared" si="37"/>
        <v>0.53470962697990565</v>
      </c>
      <c r="J266" s="17">
        <f t="shared" si="32"/>
        <v>0</v>
      </c>
      <c r="K266" s="19">
        <f t="shared" si="33"/>
        <v>1.7570649187355629E-5</v>
      </c>
      <c r="L266" s="18">
        <f t="shared" si="34"/>
        <v>1876.4082697714809</v>
      </c>
      <c r="T266" s="36"/>
      <c r="U266" s="53"/>
      <c r="W266" s="58"/>
    </row>
    <row r="267" spans="1:23" x14ac:dyDescent="0.2">
      <c r="A267" s="11">
        <f t="shared" si="35"/>
        <v>264</v>
      </c>
      <c r="B267" s="15">
        <f t="shared" si="36"/>
        <v>1.0476190476190443</v>
      </c>
      <c r="C267" s="17">
        <v>4.0870070747002531E-3</v>
      </c>
      <c r="D267" s="17">
        <v>2.4613299486996615E-2</v>
      </c>
      <c r="E267" s="16">
        <v>0.7050173539214829</v>
      </c>
      <c r="F267" s="16">
        <v>-1.2010958156475178</v>
      </c>
      <c r="G267" s="29">
        <v>0</v>
      </c>
      <c r="H267" s="16">
        <v>0</v>
      </c>
      <c r="I267" s="16">
        <f t="shared" si="37"/>
        <v>-1.3673474922043221</v>
      </c>
      <c r="J267" s="17">
        <f t="shared" si="32"/>
        <v>0</v>
      </c>
      <c r="K267" s="19">
        <f t="shared" si="33"/>
        <v>1.7570649187355629E-5</v>
      </c>
      <c r="L267" s="18">
        <f t="shared" si="34"/>
        <v>1876.4412397725728</v>
      </c>
      <c r="T267" s="36"/>
      <c r="U267" s="53"/>
      <c r="W267" s="58"/>
    </row>
    <row r="268" spans="1:23" x14ac:dyDescent="0.2">
      <c r="A268" s="11">
        <f t="shared" si="35"/>
        <v>265</v>
      </c>
      <c r="B268" s="15">
        <f t="shared" si="36"/>
        <v>1.0515873015872983</v>
      </c>
      <c r="C268" s="17">
        <v>4.0870070747002531E-3</v>
      </c>
      <c r="D268" s="17">
        <v>2.4613299486996615E-2</v>
      </c>
      <c r="E268" s="16">
        <v>2.7895661045286588</v>
      </c>
      <c r="F268" s="16">
        <v>0.43824853848016859</v>
      </c>
      <c r="G268" s="29">
        <v>0</v>
      </c>
      <c r="H268" s="16">
        <v>0</v>
      </c>
      <c r="I268" s="16">
        <f t="shared" si="37"/>
        <v>-1.5146367477504776</v>
      </c>
      <c r="J268" s="17">
        <f t="shared" si="32"/>
        <v>4.9424847043360197E-3</v>
      </c>
      <c r="K268" s="19">
        <f t="shared" si="33"/>
        <v>1.7570649187355629E-5</v>
      </c>
      <c r="L268" s="18">
        <f t="shared" si="34"/>
        <v>1876.4742103529738</v>
      </c>
      <c r="T268" s="36"/>
      <c r="U268" s="53"/>
      <c r="W268" s="58"/>
    </row>
    <row r="269" spans="1:23" x14ac:dyDescent="0.2">
      <c r="A269" s="11">
        <f t="shared" si="35"/>
        <v>266</v>
      </c>
      <c r="B269" s="15">
        <f t="shared" si="36"/>
        <v>1.0555555555555522</v>
      </c>
      <c r="C269" s="17">
        <v>4.0870070747002531E-3</v>
      </c>
      <c r="D269" s="17">
        <v>2.4613299486996615E-2</v>
      </c>
      <c r="E269" s="16">
        <v>0.95883767976884893</v>
      </c>
      <c r="F269" s="16">
        <v>1.0872844027868847</v>
      </c>
      <c r="G269" s="29">
        <v>0</v>
      </c>
      <c r="H269" s="16">
        <v>0</v>
      </c>
      <c r="I269" s="16">
        <f t="shared" si="37"/>
        <v>0.1823391713950856</v>
      </c>
      <c r="J269" s="17">
        <f t="shared" si="32"/>
        <v>8.6133708020456421E-3</v>
      </c>
      <c r="K269" s="19">
        <f t="shared" si="33"/>
        <v>8.1528243263231687E-4</v>
      </c>
      <c r="L269" s="18">
        <f t="shared" si="34"/>
        <v>1878.0046906140235</v>
      </c>
      <c r="T269" s="36"/>
      <c r="U269" s="53"/>
      <c r="W269" s="58"/>
    </row>
    <row r="270" spans="1:23" x14ac:dyDescent="0.2">
      <c r="A270" s="11">
        <f t="shared" si="35"/>
        <v>267</v>
      </c>
      <c r="B270" s="15">
        <f t="shared" si="36"/>
        <v>1.0595238095238062</v>
      </c>
      <c r="C270" s="17">
        <v>4.0870070747002531E-3</v>
      </c>
      <c r="D270" s="17">
        <v>2.4613299486996615E-2</v>
      </c>
      <c r="E270" s="16">
        <v>1.7661260932344793</v>
      </c>
      <c r="F270" s="16">
        <v>0.39351507802064606</v>
      </c>
      <c r="G270" s="29">
        <v>0</v>
      </c>
      <c r="H270" s="16">
        <v>0</v>
      </c>
      <c r="I270" s="16">
        <f t="shared" si="37"/>
        <v>-0.87184779212831498</v>
      </c>
      <c r="J270" s="17">
        <f t="shared" si="32"/>
        <v>1.8940019590357075E-2</v>
      </c>
      <c r="K270" s="19">
        <f t="shared" si="33"/>
        <v>-5.0966642000368316E-3</v>
      </c>
      <c r="L270" s="18">
        <f t="shared" si="34"/>
        <v>1868.4574814659127</v>
      </c>
      <c r="T270" s="36"/>
      <c r="U270" s="53"/>
      <c r="W270" s="58"/>
    </row>
    <row r="271" spans="1:23" x14ac:dyDescent="0.2">
      <c r="A271" s="11">
        <f t="shared" si="35"/>
        <v>268</v>
      </c>
      <c r="B271" s="15">
        <f t="shared" si="36"/>
        <v>1.0634920634920602</v>
      </c>
      <c r="C271" s="17">
        <v>4.0870070747002531E-3</v>
      </c>
      <c r="D271" s="17">
        <v>2.4613299486996615E-2</v>
      </c>
      <c r="E271" s="16">
        <v>-0.362406972600886</v>
      </c>
      <c r="F271" s="16">
        <v>-0.86302256233525509</v>
      </c>
      <c r="G271" s="29">
        <v>0</v>
      </c>
      <c r="H271" s="16">
        <v>0</v>
      </c>
      <c r="I271" s="16">
        <f t="shared" si="37"/>
        <v>-0.40819420737949097</v>
      </c>
      <c r="J271" s="17">
        <f t="shared" si="32"/>
        <v>1.5781700495453157E-2</v>
      </c>
      <c r="K271" s="19">
        <f t="shared" si="33"/>
        <v>-3.5588149505182908E-3</v>
      </c>
      <c r="L271" s="18">
        <f t="shared" si="34"/>
        <v>1861.8198051828638</v>
      </c>
      <c r="T271" s="36"/>
      <c r="U271" s="53"/>
      <c r="W271" s="58"/>
    </row>
    <row r="272" spans="1:23" x14ac:dyDescent="0.2">
      <c r="A272" s="11">
        <f t="shared" si="35"/>
        <v>269</v>
      </c>
      <c r="B272" s="15">
        <f t="shared" si="36"/>
        <v>1.0674603174603141</v>
      </c>
      <c r="C272" s="17">
        <v>4.0870070747002531E-3</v>
      </c>
      <c r="D272" s="17">
        <v>2.4613299486996615E-2</v>
      </c>
      <c r="E272" s="16">
        <v>1.308869088399961</v>
      </c>
      <c r="F272" s="16">
        <v>1.2898564033086191</v>
      </c>
      <c r="G272" s="29">
        <v>0</v>
      </c>
      <c r="H272" s="16">
        <v>0</v>
      </c>
      <c r="I272" s="16">
        <f t="shared" si="37"/>
        <v>0.10304396504923252</v>
      </c>
      <c r="J272" s="17">
        <f t="shared" si="32"/>
        <v>2.5119826439764705E-2</v>
      </c>
      <c r="K272" s="19">
        <f t="shared" si="33"/>
        <v>8.0171123016546588E-4</v>
      </c>
      <c r="L272" s="18">
        <f t="shared" si="34"/>
        <v>1863.3130455230178</v>
      </c>
      <c r="T272" s="36"/>
      <c r="U272" s="53"/>
      <c r="W272" s="58"/>
    </row>
    <row r="273" spans="1:23" x14ac:dyDescent="0.2">
      <c r="A273" s="11">
        <f t="shared" si="35"/>
        <v>270</v>
      </c>
      <c r="B273" s="15">
        <f t="shared" si="36"/>
        <v>1.0714285714285681</v>
      </c>
      <c r="C273" s="17">
        <v>4.0870070747002531E-3</v>
      </c>
      <c r="D273" s="17">
        <v>2.4613299486996615E-2</v>
      </c>
      <c r="E273" s="16">
        <v>-0.57239413704829134</v>
      </c>
      <c r="F273" s="16">
        <v>0.79511854659840053</v>
      </c>
      <c r="G273" s="29">
        <v>0</v>
      </c>
      <c r="H273" s="16">
        <v>0</v>
      </c>
      <c r="I273" s="16">
        <f t="shared" si="37"/>
        <v>0.97501482040530152</v>
      </c>
      <c r="J273" s="17">
        <f t="shared" si="32"/>
        <v>1.9909807973869254E-2</v>
      </c>
      <c r="K273" s="19">
        <f t="shared" si="33"/>
        <v>9.7023555699990525E-3</v>
      </c>
      <c r="L273" s="18">
        <f t="shared" si="34"/>
        <v>1881.4795576996419</v>
      </c>
      <c r="T273" s="36"/>
      <c r="U273" s="53"/>
      <c r="W273" s="58"/>
    </row>
    <row r="274" spans="1:23" x14ac:dyDescent="0.2">
      <c r="A274" s="11">
        <f t="shared" si="35"/>
        <v>271</v>
      </c>
      <c r="B274" s="15">
        <f t="shared" si="36"/>
        <v>1.075396825396822</v>
      </c>
      <c r="C274" s="17">
        <v>4.0870070747002531E-3</v>
      </c>
      <c r="D274" s="17">
        <v>2.4613299486996615E-2</v>
      </c>
      <c r="E274" s="16">
        <v>-1.1699423158908453</v>
      </c>
      <c r="F274" s="16">
        <v>-1.8212596612111329</v>
      </c>
      <c r="G274" s="29">
        <v>0</v>
      </c>
      <c r="H274" s="16">
        <v>0</v>
      </c>
      <c r="I274" s="16">
        <f t="shared" si="37"/>
        <v>-0.59367465962406252</v>
      </c>
      <c r="J274" s="17">
        <f t="shared" si="32"/>
        <v>1.1505851934174029E-2</v>
      </c>
      <c r="K274" s="19">
        <f t="shared" si="33"/>
        <v>-5.2988683333825629E-3</v>
      </c>
      <c r="L274" s="18">
        <f t="shared" si="34"/>
        <v>1871.5362127550318</v>
      </c>
      <c r="T274" s="36"/>
      <c r="U274" s="53"/>
      <c r="W274" s="58"/>
    </row>
    <row r="275" spans="1:23" x14ac:dyDescent="0.2">
      <c r="A275" s="11">
        <f t="shared" si="35"/>
        <v>272</v>
      </c>
      <c r="B275" s="15">
        <f t="shared" si="36"/>
        <v>1.079365079365076</v>
      </c>
      <c r="C275" s="17">
        <v>4.0870070747002531E-3</v>
      </c>
      <c r="D275" s="17">
        <v>2.4613299486996615E-2</v>
      </c>
      <c r="E275" s="16">
        <v>-0.31545039318382945</v>
      </c>
      <c r="F275" s="16">
        <v>0.95211797444033786</v>
      </c>
      <c r="G275" s="29">
        <v>0</v>
      </c>
      <c r="H275" s="16">
        <v>0</v>
      </c>
      <c r="I275" s="16">
        <f t="shared" si="37"/>
        <v>0.92303630487619182</v>
      </c>
      <c r="J275" s="17">
        <f t="shared" si="32"/>
        <v>9.2032990579146278E-3</v>
      </c>
      <c r="K275" s="19">
        <f t="shared" si="33"/>
        <v>6.2317725845286547E-3</v>
      </c>
      <c r="L275" s="18">
        <f t="shared" si="34"/>
        <v>1883.235616967683</v>
      </c>
      <c r="T275" s="36"/>
      <c r="U275" s="53"/>
      <c r="W275" s="58"/>
    </row>
    <row r="276" spans="1:23" x14ac:dyDescent="0.2">
      <c r="A276" s="11">
        <f t="shared" si="35"/>
        <v>273</v>
      </c>
      <c r="B276" s="15">
        <f t="shared" si="36"/>
        <v>1.0833333333333299</v>
      </c>
      <c r="C276" s="17">
        <v>4.0870070747002531E-3</v>
      </c>
      <c r="D276" s="17">
        <v>2.4613299486996615E-2</v>
      </c>
      <c r="E276" s="16">
        <v>2.0924085224191704</v>
      </c>
      <c r="F276" s="16">
        <v>-0.15912236402510949</v>
      </c>
      <c r="G276" s="29">
        <v>0</v>
      </c>
      <c r="H276" s="16">
        <v>0</v>
      </c>
      <c r="I276" s="16">
        <f t="shared" si="37"/>
        <v>-1.5022325839037127</v>
      </c>
      <c r="J276" s="17">
        <f t="shared" si="32"/>
        <v>2.23678622491028E-2</v>
      </c>
      <c r="K276" s="19">
        <f t="shared" si="33"/>
        <v>-9.0790764963421863E-3</v>
      </c>
      <c r="L276" s="18">
        <f t="shared" si="34"/>
        <v>1866.2149595828516</v>
      </c>
      <c r="T276" s="36"/>
      <c r="U276" s="53"/>
      <c r="W276" s="58"/>
    </row>
    <row r="277" spans="1:23" x14ac:dyDescent="0.2">
      <c r="A277" s="11">
        <f t="shared" si="35"/>
        <v>274</v>
      </c>
      <c r="B277" s="15">
        <f t="shared" si="36"/>
        <v>1.0873015873015839</v>
      </c>
      <c r="C277" s="17">
        <v>4.0870070747002531E-3</v>
      </c>
      <c r="D277" s="17">
        <v>2.4613299486996615E-2</v>
      </c>
      <c r="E277" s="16">
        <v>0.62713791128269303</v>
      </c>
      <c r="F277" s="16">
        <v>6.996697307379883E-2</v>
      </c>
      <c r="G277" s="29">
        <v>0</v>
      </c>
      <c r="H277" s="16">
        <v>0</v>
      </c>
      <c r="I277" s="16">
        <f t="shared" si="37"/>
        <v>-0.36194680206211016</v>
      </c>
      <c r="J277" s="17">
        <f t="shared" si="32"/>
        <v>2.7004932391797014E-2</v>
      </c>
      <c r="K277" s="19">
        <f t="shared" si="33"/>
        <v>-3.436828357571216E-3</v>
      </c>
      <c r="L277" s="18">
        <f t="shared" si="34"/>
        <v>1859.8121081415613</v>
      </c>
      <c r="T277" s="36"/>
      <c r="U277" s="53"/>
      <c r="W277" s="58"/>
    </row>
    <row r="278" spans="1:23" x14ac:dyDescent="0.2">
      <c r="A278" s="11">
        <f t="shared" si="35"/>
        <v>275</v>
      </c>
      <c r="B278" s="15">
        <f t="shared" si="36"/>
        <v>1.0912698412698378</v>
      </c>
      <c r="C278" s="17">
        <v>4.0870070747002531E-3</v>
      </c>
      <c r="D278" s="17">
        <v>2.4613299486996615E-2</v>
      </c>
      <c r="E278" s="16">
        <v>-0.15914218569189281</v>
      </c>
      <c r="F278" s="16">
        <v>0.70577593958578821</v>
      </c>
      <c r="G278" s="29">
        <v>0</v>
      </c>
      <c r="H278" s="16">
        <v>0</v>
      </c>
      <c r="I278" s="16">
        <f t="shared" si="37"/>
        <v>0.63485714151462735</v>
      </c>
      <c r="J278" s="17">
        <f t="shared" si="32"/>
        <v>2.5001390432240134E-2</v>
      </c>
      <c r="K278" s="19">
        <f t="shared" si="33"/>
        <v>6.5359853687957017E-3</v>
      </c>
      <c r="L278" s="18">
        <f t="shared" si="34"/>
        <v>1872.007624311613</v>
      </c>
      <c r="T278" s="36"/>
      <c r="U278" s="53"/>
      <c r="W278" s="58"/>
    </row>
    <row r="279" spans="1:23" x14ac:dyDescent="0.2">
      <c r="A279" s="11">
        <f t="shared" si="35"/>
        <v>276</v>
      </c>
      <c r="B279" s="15">
        <f t="shared" si="36"/>
        <v>1.0952380952380918</v>
      </c>
      <c r="C279" s="17">
        <v>4.0870070747002531E-3</v>
      </c>
      <c r="D279" s="17">
        <v>2.4613299486996615E-2</v>
      </c>
      <c r="E279" s="16">
        <v>-0.56712625738161948</v>
      </c>
      <c r="F279" s="16">
        <v>0.2614958978146969</v>
      </c>
      <c r="G279" s="29">
        <v>0</v>
      </c>
      <c r="H279" s="16">
        <v>0</v>
      </c>
      <c r="I279" s="16">
        <f t="shared" si="37"/>
        <v>0.5710497056474525</v>
      </c>
      <c r="J279" s="17">
        <f t="shared" si="32"/>
        <v>1.9843138763940671E-2</v>
      </c>
      <c r="K279" s="19">
        <f t="shared" si="33"/>
        <v>5.655914096204917E-3</v>
      </c>
      <c r="L279" s="18">
        <f t="shared" si="34"/>
        <v>1882.625537319077</v>
      </c>
      <c r="T279" s="36"/>
      <c r="U279" s="53"/>
      <c r="W279" s="58"/>
    </row>
    <row r="280" spans="1:23" x14ac:dyDescent="0.2">
      <c r="A280" s="11">
        <f t="shared" si="35"/>
        <v>277</v>
      </c>
      <c r="B280" s="15">
        <f t="shared" si="36"/>
        <v>1.0992063492063457</v>
      </c>
      <c r="C280" s="17">
        <v>4.0870070747002531E-3</v>
      </c>
      <c r="D280" s="17">
        <v>2.4613299486996615E-2</v>
      </c>
      <c r="E280" s="16">
        <v>3.455418344431728E-2</v>
      </c>
      <c r="F280" s="16">
        <v>-0.20205293613802597</v>
      </c>
      <c r="G280" s="29">
        <v>0</v>
      </c>
      <c r="H280" s="16">
        <v>0</v>
      </c>
      <c r="I280" s="16">
        <f t="shared" si="37"/>
        <v>-0.17447654595133261</v>
      </c>
      <c r="J280" s="17">
        <f t="shared" si="32"/>
        <v>1.9494724072336763E-2</v>
      </c>
      <c r="K280" s="19">
        <f t="shared" si="33"/>
        <v>-1.5700537976704309E-3</v>
      </c>
      <c r="L280" s="18">
        <f t="shared" si="34"/>
        <v>1879.6720331315669</v>
      </c>
      <c r="T280" s="36"/>
      <c r="U280" s="53"/>
      <c r="W280" s="58"/>
    </row>
    <row r="281" spans="1:23" x14ac:dyDescent="0.2">
      <c r="A281" s="11">
        <f t="shared" si="35"/>
        <v>278</v>
      </c>
      <c r="B281" s="15">
        <f t="shared" si="36"/>
        <v>1.1031746031745997</v>
      </c>
      <c r="C281" s="17">
        <v>4.0870070747002531E-3</v>
      </c>
      <c r="D281" s="17">
        <v>2.4613299486996615E-2</v>
      </c>
      <c r="E281" s="16">
        <v>-0.57572584858428011</v>
      </c>
      <c r="F281" s="16">
        <v>0.81359877686440119</v>
      </c>
      <c r="G281" s="29">
        <v>0</v>
      </c>
      <c r="H281" s="16">
        <v>0</v>
      </c>
      <c r="I281" s="16">
        <f t="shared" si="37"/>
        <v>0.99108606099158103</v>
      </c>
      <c r="J281" s="17">
        <f t="shared" si="32"/>
        <v>1.4856336157973469E-2</v>
      </c>
      <c r="K281" s="19">
        <f t="shared" si="33"/>
        <v>8.695942787597279E-3</v>
      </c>
      <c r="L281" s="18">
        <f t="shared" si="34"/>
        <v>1896.088829901601</v>
      </c>
      <c r="T281" s="36"/>
      <c r="U281" s="53"/>
      <c r="W281" s="58"/>
    </row>
    <row r="282" spans="1:23" x14ac:dyDescent="0.2">
      <c r="A282" s="11">
        <f t="shared" si="35"/>
        <v>279</v>
      </c>
      <c r="B282" s="15">
        <f t="shared" si="36"/>
        <v>1.1071428571428537</v>
      </c>
      <c r="C282" s="17">
        <v>4.0870070747002531E-3</v>
      </c>
      <c r="D282" s="17">
        <v>2.4613299486996615E-2</v>
      </c>
      <c r="E282" s="16">
        <v>0.9106796498952342</v>
      </c>
      <c r="F282" s="16">
        <v>-1.2860123155313508</v>
      </c>
      <c r="G282" s="29">
        <v>0</v>
      </c>
      <c r="H282" s="16">
        <v>0</v>
      </c>
      <c r="I282" s="16">
        <f t="shared" si="37"/>
        <v>-1.5669934786742483</v>
      </c>
      <c r="J282" s="17">
        <f t="shared" si="32"/>
        <v>2.0740716597241349E-2</v>
      </c>
      <c r="K282" s="19">
        <f t="shared" si="33"/>
        <v>-1.2043489378958619E-2</v>
      </c>
      <c r="L282" s="18">
        <f t="shared" si="34"/>
        <v>1873.3902635485181</v>
      </c>
      <c r="T282" s="36"/>
      <c r="U282" s="53"/>
      <c r="W282" s="58"/>
    </row>
    <row r="283" spans="1:23" x14ac:dyDescent="0.2">
      <c r="A283" s="11">
        <f t="shared" si="35"/>
        <v>280</v>
      </c>
      <c r="B283" s="15">
        <f t="shared" si="36"/>
        <v>1.1111111111111076</v>
      </c>
      <c r="C283" s="17">
        <v>4.0870070747002531E-3</v>
      </c>
      <c r="D283" s="17">
        <v>2.4613299486996615E-2</v>
      </c>
      <c r="E283" s="16">
        <v>0.87235730079282858</v>
      </c>
      <c r="F283" s="16">
        <v>-0.39320417431028837</v>
      </c>
      <c r="G283" s="29">
        <v>0</v>
      </c>
      <c r="H283" s="16">
        <v>0</v>
      </c>
      <c r="I283" s="16">
        <f t="shared" si="37"/>
        <v>-0.87161497194951409</v>
      </c>
      <c r="J283" s="17">
        <f t="shared" si="32"/>
        <v>2.7332056529143337E-2</v>
      </c>
      <c r="K283" s="19">
        <f t="shared" si="33"/>
        <v>-7.9310285692594396E-3</v>
      </c>
      <c r="L283" s="18">
        <f t="shared" si="34"/>
        <v>1858.5911156529389</v>
      </c>
      <c r="T283" s="36"/>
      <c r="U283" s="53"/>
      <c r="W283" s="58"/>
    </row>
    <row r="284" spans="1:23" x14ac:dyDescent="0.2">
      <c r="A284" s="11">
        <f t="shared" si="35"/>
        <v>281</v>
      </c>
      <c r="B284" s="15">
        <f t="shared" si="36"/>
        <v>1.1150793650793616</v>
      </c>
      <c r="C284" s="17">
        <v>4.0870070747002531E-3</v>
      </c>
      <c r="D284" s="17">
        <v>2.4613299486996615E-2</v>
      </c>
      <c r="E284" s="16">
        <v>-1.801436838502279</v>
      </c>
      <c r="F284" s="16">
        <v>-0.68892479515747151</v>
      </c>
      <c r="G284" s="29">
        <v>0</v>
      </c>
      <c r="H284" s="16">
        <v>0</v>
      </c>
      <c r="I284" s="16">
        <f t="shared" si="37"/>
        <v>0.67347867145958273</v>
      </c>
      <c r="J284" s="17">
        <f t="shared" si="32"/>
        <v>1.3178326892653728E-2</v>
      </c>
      <c r="K284" s="19">
        <f t="shared" si="33"/>
        <v>6.977242987836434E-3</v>
      </c>
      <c r="L284" s="18">
        <f t="shared" si="34"/>
        <v>1871.6043027739768</v>
      </c>
      <c r="T284" s="36"/>
      <c r="U284" s="53"/>
      <c r="W284" s="58"/>
    </row>
    <row r="285" spans="1:23" x14ac:dyDescent="0.2">
      <c r="A285" s="11">
        <f t="shared" si="35"/>
        <v>282</v>
      </c>
      <c r="B285" s="15">
        <f t="shared" si="36"/>
        <v>1.1190476190476155</v>
      </c>
      <c r="C285" s="17">
        <v>4.0870070747002531E-3</v>
      </c>
      <c r="D285" s="17">
        <v>2.4613299486996615E-2</v>
      </c>
      <c r="E285" s="16">
        <v>-0.60004611304736</v>
      </c>
      <c r="F285" s="16">
        <v>9.1057725775091025E-2</v>
      </c>
      <c r="G285" s="29">
        <v>0</v>
      </c>
      <c r="H285" s="16">
        <v>0</v>
      </c>
      <c r="I285" s="16">
        <f t="shared" si="37"/>
        <v>0.46489164455517168</v>
      </c>
      <c r="J285" s="17">
        <f t="shared" si="32"/>
        <v>9.1934092741088463E-3</v>
      </c>
      <c r="K285" s="19">
        <f t="shared" si="33"/>
        <v>3.353298537403588E-3</v>
      </c>
      <c r="L285" s="18">
        <f t="shared" si="34"/>
        <v>1877.8908852481284</v>
      </c>
      <c r="T285" s="36"/>
      <c r="U285" s="53"/>
      <c r="W285" s="58"/>
    </row>
    <row r="286" spans="1:23" x14ac:dyDescent="0.2">
      <c r="A286" s="11">
        <f t="shared" si="35"/>
        <v>283</v>
      </c>
      <c r="B286" s="15">
        <f t="shared" si="36"/>
        <v>1.1230158730158695</v>
      </c>
      <c r="C286" s="17">
        <v>4.0870070747002531E-3</v>
      </c>
      <c r="D286" s="17">
        <v>2.4613299486996615E-2</v>
      </c>
      <c r="E286" s="16">
        <v>-0.18366845432639531</v>
      </c>
      <c r="F286" s="16">
        <v>0.18137740495715401</v>
      </c>
      <c r="G286" s="29">
        <v>0</v>
      </c>
      <c r="H286" s="16">
        <v>0</v>
      </c>
      <c r="I286" s="16">
        <f t="shared" si="37"/>
        <v>0.25750479981291641</v>
      </c>
      <c r="J286" s="17">
        <f t="shared" si="32"/>
        <v>7.7140073287062013E-3</v>
      </c>
      <c r="K286" s="19">
        <f t="shared" si="33"/>
        <v>1.5546626460339597E-3</v>
      </c>
      <c r="L286" s="18">
        <f t="shared" si="34"/>
        <v>1880.81264264581</v>
      </c>
      <c r="T286" s="36"/>
      <c r="U286" s="53"/>
      <c r="W286" s="58"/>
    </row>
    <row r="287" spans="1:23" x14ac:dyDescent="0.2">
      <c r="A287" s="11">
        <f t="shared" si="35"/>
        <v>284</v>
      </c>
      <c r="B287" s="15">
        <f t="shared" si="36"/>
        <v>1.1269841269841234</v>
      </c>
      <c r="C287" s="17">
        <v>4.0870070747002531E-3</v>
      </c>
      <c r="D287" s="17">
        <v>2.4613299486996615E-2</v>
      </c>
      <c r="E287" s="16">
        <v>1.3944112119970598</v>
      </c>
      <c r="F287" s="16">
        <v>-1.0654734276371349</v>
      </c>
      <c r="G287" s="29">
        <v>0</v>
      </c>
      <c r="H287" s="16">
        <v>0</v>
      </c>
      <c r="I287" s="16">
        <f t="shared" si="37"/>
        <v>-1.7211630387203232</v>
      </c>
      <c r="J287" s="17">
        <f t="shared" si="32"/>
        <v>1.5018007935260121E-2</v>
      </c>
      <c r="K287" s="19">
        <f t="shared" si="33"/>
        <v>-9.5204713570585901E-3</v>
      </c>
      <c r="L287" s="18">
        <f t="shared" si="34"/>
        <v>1862.991387735713</v>
      </c>
      <c r="T287" s="36"/>
      <c r="U287" s="53"/>
      <c r="W287" s="58"/>
    </row>
    <row r="288" spans="1:23" x14ac:dyDescent="0.2">
      <c r="A288" s="11">
        <f t="shared" si="35"/>
        <v>285</v>
      </c>
      <c r="B288" s="15">
        <f t="shared" si="36"/>
        <v>1.1309523809523774</v>
      </c>
      <c r="C288" s="17">
        <v>4.0870070747002531E-3</v>
      </c>
      <c r="D288" s="17">
        <v>2.4613299486996615E-2</v>
      </c>
      <c r="E288" s="16">
        <v>-0.43148138716482021</v>
      </c>
      <c r="F288" s="16">
        <v>0.14542000898871266</v>
      </c>
      <c r="G288" s="29">
        <v>0</v>
      </c>
      <c r="H288" s="16">
        <v>0</v>
      </c>
      <c r="I288" s="16">
        <f t="shared" si="37"/>
        <v>0.39429105986008789</v>
      </c>
      <c r="J288" s="17">
        <f t="shared" si="32"/>
        <v>1.1753318379144024E-2</v>
      </c>
      <c r="K288" s="19">
        <f t="shared" si="33"/>
        <v>3.0316200540858665E-3</v>
      </c>
      <c r="L288" s="18">
        <f t="shared" si="34"/>
        <v>1868.647839561519</v>
      </c>
      <c r="T288" s="36"/>
      <c r="U288" s="53"/>
      <c r="W288" s="58"/>
    </row>
    <row r="289" spans="1:23" x14ac:dyDescent="0.2">
      <c r="A289" s="11">
        <f t="shared" si="35"/>
        <v>286</v>
      </c>
      <c r="B289" s="15">
        <f t="shared" si="36"/>
        <v>1.1349206349206313</v>
      </c>
      <c r="C289" s="17">
        <v>4.0870070747002531E-3</v>
      </c>
      <c r="D289" s="17">
        <v>2.4613299486996615E-2</v>
      </c>
      <c r="E289" s="16">
        <v>-0.50185620877968951</v>
      </c>
      <c r="F289" s="16">
        <v>1.8461316015397107</v>
      </c>
      <c r="G289" s="29">
        <v>0</v>
      </c>
      <c r="H289" s="16">
        <v>0</v>
      </c>
      <c r="I289" s="16">
        <f t="shared" si="37"/>
        <v>1.717183537585381</v>
      </c>
      <c r="J289" s="17">
        <f t="shared" si="32"/>
        <v>8.4655664997535622E-3</v>
      </c>
      <c r="K289" s="19">
        <f t="shared" si="33"/>
        <v>1.172151441924007E-2</v>
      </c>
      <c r="L289" s="18">
        <f t="shared" si="34"/>
        <v>1890.6800956033076</v>
      </c>
      <c r="T289" s="36"/>
      <c r="U289" s="53"/>
      <c r="W289" s="58"/>
    </row>
    <row r="290" spans="1:23" x14ac:dyDescent="0.2">
      <c r="A290" s="11">
        <f t="shared" si="35"/>
        <v>287</v>
      </c>
      <c r="B290" s="15">
        <f t="shared" si="36"/>
        <v>1.1388888888888853</v>
      </c>
      <c r="C290" s="17">
        <v>4.0870070747002531E-3</v>
      </c>
      <c r="D290" s="17">
        <v>2.4613299486996615E-2</v>
      </c>
      <c r="E290" s="16">
        <v>0.44555682181489847</v>
      </c>
      <c r="F290" s="16">
        <v>1.6220374172028151</v>
      </c>
      <c r="G290" s="29">
        <v>0</v>
      </c>
      <c r="H290" s="16">
        <v>0</v>
      </c>
      <c r="I290" s="16">
        <f t="shared" si="37"/>
        <v>0.92288346594240522</v>
      </c>
      <c r="J290" s="17">
        <f t="shared" si="32"/>
        <v>1.0214587180896786E-2</v>
      </c>
      <c r="K290" s="19">
        <f t="shared" si="33"/>
        <v>5.3497986452495814E-3</v>
      </c>
      <c r="L290" s="18">
        <f t="shared" si="34"/>
        <v>1900.8219576887673</v>
      </c>
      <c r="T290" s="36"/>
      <c r="U290" s="53"/>
      <c r="W290" s="58"/>
    </row>
    <row r="291" spans="1:23" x14ac:dyDescent="0.2">
      <c r="A291" s="11">
        <f t="shared" si="35"/>
        <v>288</v>
      </c>
      <c r="B291" s="15">
        <f t="shared" si="36"/>
        <v>1.1428571428571392</v>
      </c>
      <c r="C291" s="17">
        <v>4.0870070747002531E-3</v>
      </c>
      <c r="D291" s="17">
        <v>2.4613299486996615E-2</v>
      </c>
      <c r="E291" s="16">
        <v>0.98505098525600809</v>
      </c>
      <c r="F291" s="16">
        <v>-0.45677669378384095</v>
      </c>
      <c r="G291" s="29">
        <v>0</v>
      </c>
      <c r="H291" s="16">
        <v>0</v>
      </c>
      <c r="I291" s="16">
        <f t="shared" si="37"/>
        <v>-0.99380208207528176</v>
      </c>
      <c r="J291" s="17">
        <f t="shared" si="32"/>
        <v>1.560793638642489E-2</v>
      </c>
      <c r="K291" s="19">
        <f t="shared" si="33"/>
        <v>-6.3298742308787979E-3</v>
      </c>
      <c r="L291" s="18">
        <f t="shared" si="34"/>
        <v>1888.8279939494307</v>
      </c>
      <c r="T291" s="36"/>
      <c r="U291" s="53"/>
      <c r="W291" s="58"/>
    </row>
    <row r="292" spans="1:23" x14ac:dyDescent="0.2">
      <c r="A292" s="11">
        <f t="shared" si="35"/>
        <v>289</v>
      </c>
      <c r="B292" s="15">
        <f t="shared" si="36"/>
        <v>1.1468253968253932</v>
      </c>
      <c r="C292" s="17">
        <v>4.0870070747002531E-3</v>
      </c>
      <c r="D292" s="17">
        <v>2.4613299486996615E-2</v>
      </c>
      <c r="E292" s="16">
        <v>-0.14928309796490391</v>
      </c>
      <c r="F292" s="16">
        <v>-0.66948169689380999</v>
      </c>
      <c r="G292" s="29">
        <v>0</v>
      </c>
      <c r="H292" s="16">
        <v>0</v>
      </c>
      <c r="I292" s="16">
        <f t="shared" si="37"/>
        <v>-0.40378911561718367</v>
      </c>
      <c r="J292" s="17">
        <f t="shared" si="32"/>
        <v>1.4041906649049019E-2</v>
      </c>
      <c r="K292" s="19">
        <f t="shared" si="33"/>
        <v>-3.1912012846663259E-3</v>
      </c>
      <c r="L292" s="18">
        <f t="shared" si="34"/>
        <v>1882.8099710969316</v>
      </c>
      <c r="T292" s="36"/>
      <c r="U292" s="53"/>
      <c r="W292" s="58"/>
    </row>
    <row r="293" spans="1:23" x14ac:dyDescent="0.2">
      <c r="A293" s="11">
        <f t="shared" si="35"/>
        <v>290</v>
      </c>
      <c r="B293" s="15">
        <f t="shared" si="36"/>
        <v>1.1507936507936471</v>
      </c>
      <c r="C293" s="17">
        <v>4.0870070747002531E-3</v>
      </c>
      <c r="D293" s="17">
        <v>2.4613299486996615E-2</v>
      </c>
      <c r="E293" s="16">
        <v>-0.73556987371870786</v>
      </c>
      <c r="F293" s="16">
        <v>0.10787926171381221</v>
      </c>
      <c r="G293" s="29">
        <v>0</v>
      </c>
      <c r="H293" s="16">
        <v>0</v>
      </c>
      <c r="I293" s="16">
        <f t="shared" si="37"/>
        <v>0.56707987377142288</v>
      </c>
      <c r="J293" s="17">
        <f t="shared" si="32"/>
        <v>9.2112370448557516E-3</v>
      </c>
      <c r="K293" s="19">
        <f t="shared" si="33"/>
        <v>4.2227948716496233E-3</v>
      </c>
      <c r="L293" s="18">
        <f t="shared" si="34"/>
        <v>1890.7775021721072</v>
      </c>
      <c r="T293" s="36"/>
      <c r="U293" s="53"/>
      <c r="W293" s="58"/>
    </row>
    <row r="294" spans="1:23" x14ac:dyDescent="0.2">
      <c r="A294" s="11">
        <f t="shared" si="35"/>
        <v>291</v>
      </c>
      <c r="B294" s="15">
        <f t="shared" si="36"/>
        <v>1.1547619047619011</v>
      </c>
      <c r="C294" s="17">
        <v>4.0870070747002531E-3</v>
      </c>
      <c r="D294" s="17">
        <v>2.4613299486996615E-2</v>
      </c>
      <c r="E294" s="16">
        <v>-0.79386260911819406</v>
      </c>
      <c r="F294" s="16">
        <v>-0.68819607971289276</v>
      </c>
      <c r="G294" s="29">
        <v>0</v>
      </c>
      <c r="H294" s="16">
        <v>0</v>
      </c>
      <c r="I294" s="16">
        <f t="shared" si="37"/>
        <v>8.1493892427776382E-3</v>
      </c>
      <c r="J294" s="17">
        <f t="shared" si="32"/>
        <v>5.0431980359267846E-3</v>
      </c>
      <c r="K294" s="19">
        <f t="shared" si="33"/>
        <v>4.8564522299131616E-5</v>
      </c>
      <c r="L294" s="18">
        <f t="shared" si="34"/>
        <v>1890.8693291080219</v>
      </c>
      <c r="T294" s="36"/>
      <c r="U294" s="53"/>
      <c r="W294" s="58"/>
    </row>
    <row r="295" spans="1:23" x14ac:dyDescent="0.2">
      <c r="A295" s="11">
        <f t="shared" si="35"/>
        <v>292</v>
      </c>
      <c r="B295" s="15">
        <f t="shared" si="36"/>
        <v>1.1587301587301551</v>
      </c>
      <c r="C295" s="17">
        <v>4.0870070747002531E-3</v>
      </c>
      <c r="D295" s="17">
        <v>2.4613299486996615E-2</v>
      </c>
      <c r="E295" s="16">
        <v>-1.7619229109252725</v>
      </c>
      <c r="F295" s="16">
        <v>-7.3082293071171242E-2</v>
      </c>
      <c r="G295" s="29">
        <v>0</v>
      </c>
      <c r="H295" s="16">
        <v>0</v>
      </c>
      <c r="I295" s="16">
        <f t="shared" si="37"/>
        <v>1.1095547956320568</v>
      </c>
      <c r="J295" s="17">
        <f t="shared" ref="J295:J300" si="38">MAX((SQRT(J294)+Eta*SQRT(dt)*E295/2)^2+Kappa*(Theta-J294)*dt-Eta*Eta*dt/4,0)</f>
        <v>3.5454129604429053E-5</v>
      </c>
      <c r="K295" s="19">
        <f t="shared" ref="K295:K300" si="39">(C295-D295-Lambda*(EXP(Alpha+Delta^2/2)-1)-MAX((SQRT($J294)-0),0)^2/2)*dt+SQRT(MAX((SQRT($J294)-0),0)^2*dt)*I295</f>
        <v>4.9712182464154622E-3</v>
      </c>
      <c r="L295" s="18">
        <f t="shared" ref="L295:L300" si="40">EXP(K295)*EXP(H295)*L294</f>
        <v>1900.2926565205005</v>
      </c>
      <c r="T295" s="36"/>
      <c r="U295" s="53"/>
      <c r="W295" s="58"/>
    </row>
    <row r="296" spans="1:23" x14ac:dyDescent="0.2">
      <c r="A296" s="11">
        <f t="shared" si="35"/>
        <v>293</v>
      </c>
      <c r="B296" s="15">
        <f t="shared" si="36"/>
        <v>1.162698412698409</v>
      </c>
      <c r="C296" s="17">
        <v>4.0870070747002531E-3</v>
      </c>
      <c r="D296" s="17">
        <v>2.4613299486996615E-2</v>
      </c>
      <c r="E296" s="16">
        <v>0.36861080459304107</v>
      </c>
      <c r="F296" s="16">
        <v>-7.1957594008539516E-2</v>
      </c>
      <c r="G296" s="29">
        <v>0</v>
      </c>
      <c r="H296" s="16">
        <v>0</v>
      </c>
      <c r="I296" s="16">
        <f t="shared" si="37"/>
        <v>-0.29760820757221634</v>
      </c>
      <c r="J296" s="17">
        <f t="shared" si="38"/>
        <v>0</v>
      </c>
      <c r="K296" s="19">
        <f t="shared" si="39"/>
        <v>-9.4128956826262838E-5</v>
      </c>
      <c r="L296" s="18">
        <f t="shared" si="40"/>
        <v>1900.1137923733575</v>
      </c>
      <c r="T296" s="36"/>
      <c r="U296" s="53"/>
      <c r="W296" s="58"/>
    </row>
    <row r="297" spans="1:23" x14ac:dyDescent="0.2">
      <c r="A297" s="11">
        <f t="shared" si="35"/>
        <v>294</v>
      </c>
      <c r="B297" s="15">
        <f t="shared" si="36"/>
        <v>1.166666666666663</v>
      </c>
      <c r="C297" s="17">
        <v>4.0870070747002531E-3</v>
      </c>
      <c r="D297" s="17">
        <v>2.4613299486996615E-2</v>
      </c>
      <c r="E297" s="16">
        <v>-1.074810680996501</v>
      </c>
      <c r="F297" s="16">
        <v>1.8732104593057777</v>
      </c>
      <c r="G297" s="29">
        <v>0</v>
      </c>
      <c r="H297" s="16">
        <v>0</v>
      </c>
      <c r="I297" s="16">
        <f t="shared" si="37"/>
        <v>2.1161549812203084</v>
      </c>
      <c r="J297" s="17">
        <f t="shared" si="38"/>
        <v>2.780300862396417E-4</v>
      </c>
      <c r="K297" s="19">
        <f t="shared" si="39"/>
        <v>1.7570649187355629E-5</v>
      </c>
      <c r="L297" s="18">
        <f t="shared" si="40"/>
        <v>1900.14717889953</v>
      </c>
      <c r="T297" s="36"/>
      <c r="U297" s="53"/>
      <c r="W297" s="58"/>
    </row>
    <row r="298" spans="1:23" x14ac:dyDescent="0.2">
      <c r="A298" s="11">
        <f t="shared" si="35"/>
        <v>295</v>
      </c>
      <c r="B298" s="15">
        <f t="shared" si="36"/>
        <v>1.1706349206349169</v>
      </c>
      <c r="C298" s="17">
        <v>4.0870070747002531E-3</v>
      </c>
      <c r="D298" s="17">
        <v>2.4613299486996615E-2</v>
      </c>
      <c r="E298" s="16">
        <v>1.7753781678235399</v>
      </c>
      <c r="F298" s="16">
        <v>0.63009121692902059</v>
      </c>
      <c r="G298" s="29">
        <v>0</v>
      </c>
      <c r="H298" s="16">
        <v>0</v>
      </c>
      <c r="I298" s="16">
        <f t="shared" si="37"/>
        <v>-0.70041185494603864</v>
      </c>
      <c r="J298" s="17">
        <f t="shared" si="38"/>
        <v>3.5314044609404734E-3</v>
      </c>
      <c r="K298" s="19">
        <f t="shared" si="39"/>
        <v>-7.1867821789762664E-4</v>
      </c>
      <c r="L298" s="18">
        <f t="shared" si="40"/>
        <v>1898.7820751051925</v>
      </c>
      <c r="T298" s="36"/>
      <c r="U298" s="53"/>
      <c r="W298" s="58"/>
    </row>
    <row r="299" spans="1:23" x14ac:dyDescent="0.2">
      <c r="A299" s="11">
        <f t="shared" si="35"/>
        <v>296</v>
      </c>
      <c r="B299" s="15">
        <f t="shared" si="36"/>
        <v>1.1746031746031709</v>
      </c>
      <c r="C299" s="17">
        <v>4.0870070747002531E-3</v>
      </c>
      <c r="D299" s="17">
        <v>2.4613299486996615E-2</v>
      </c>
      <c r="E299" s="16">
        <v>-0.69004945436266207</v>
      </c>
      <c r="F299" s="16">
        <v>-0.2115585331694998</v>
      </c>
      <c r="G299" s="29">
        <v>0</v>
      </c>
      <c r="H299" s="16">
        <v>0</v>
      </c>
      <c r="I299" s="16">
        <f t="shared" si="37"/>
        <v>0.29725874383641537</v>
      </c>
      <c r="J299" s="17">
        <f t="shared" si="38"/>
        <v>1.1426354033526251E-3</v>
      </c>
      <c r="K299" s="19">
        <f t="shared" si="39"/>
        <v>1.1233407862330613E-3</v>
      </c>
      <c r="L299" s="18">
        <f t="shared" si="40"/>
        <v>1900.916252934401</v>
      </c>
      <c r="T299" s="36"/>
      <c r="U299" s="53"/>
      <c r="W299" s="58"/>
    </row>
    <row r="300" spans="1:23" x14ac:dyDescent="0.2">
      <c r="A300" s="11">
        <f t="shared" si="35"/>
        <v>297</v>
      </c>
      <c r="B300" s="15">
        <f t="shared" si="36"/>
        <v>1.1785714285714248</v>
      </c>
      <c r="C300" s="17">
        <v>4.0870070747002531E-3</v>
      </c>
      <c r="D300" s="17">
        <v>2.4613299486996615E-2</v>
      </c>
      <c r="E300" s="16">
        <v>-5.619482280152166E-2</v>
      </c>
      <c r="F300" s="16">
        <v>0.28326388596174606</v>
      </c>
      <c r="G300" s="29">
        <v>0</v>
      </c>
      <c r="H300" s="16">
        <v>0</v>
      </c>
      <c r="I300" s="16">
        <f t="shared" si="37"/>
        <v>0.249727015414032</v>
      </c>
      <c r="J300" s="17">
        <f t="shared" si="38"/>
        <v>5.0475103342512921E-4</v>
      </c>
      <c r="K300" s="19">
        <f t="shared" si="39"/>
        <v>5.470677135996203E-4</v>
      </c>
      <c r="L300" s="18">
        <f t="shared" si="40"/>
        <v>1901.9564673505561</v>
      </c>
      <c r="T300" s="36"/>
      <c r="U300" s="53"/>
      <c r="W300" s="58"/>
    </row>
    <row r="301" spans="1:23" x14ac:dyDescent="0.2">
      <c r="A301" s="11">
        <f t="shared" si="35"/>
        <v>298</v>
      </c>
      <c r="B301" s="15">
        <f t="shared" si="36"/>
        <v>1.1825396825396788</v>
      </c>
      <c r="C301" s="17">
        <v>4.0870070747002531E-3</v>
      </c>
      <c r="D301" s="17">
        <v>2.4613299486996615E-2</v>
      </c>
      <c r="E301" s="16">
        <v>-0.28912966034307619</v>
      </c>
      <c r="F301" s="16">
        <v>-0.82680813482507642</v>
      </c>
      <c r="G301" s="29">
        <v>0</v>
      </c>
      <c r="H301" s="16">
        <v>0</v>
      </c>
      <c r="I301" s="16">
        <f t="shared" si="37"/>
        <v>-0.4294421054190809</v>
      </c>
      <c r="J301" s="17">
        <f t="shared" ref="J301:J303" si="41">MAX((SQRT(J300)+Eta*SQRT(dt)*E301/2)^2+Kappa*(Theta-J300)*dt-Eta*Eta*dt/4,0)</f>
        <v>0</v>
      </c>
      <c r="K301" s="19">
        <f t="shared" ref="K301:K303" si="42">(C301-D301-Lambda*(EXP(Alpha+Delta^2/2)-1)-MAX((SQRT($J300)-0),0)^2/2)*dt+SQRT(MAX((SQRT($J300)-0),0)^2*dt)*I301</f>
        <v>-5.9120602201079254E-4</v>
      </c>
      <c r="L301" s="18">
        <f t="shared" ref="L301:L303" si="43">EXP(K301)*EXP(H301)*L300</f>
        <v>1900.8323515582113</v>
      </c>
      <c r="T301" s="36"/>
      <c r="U301" s="53"/>
      <c r="W301" s="58"/>
    </row>
    <row r="302" spans="1:23" x14ac:dyDescent="0.2">
      <c r="A302" s="11">
        <f t="shared" si="35"/>
        <v>299</v>
      </c>
      <c r="B302" s="15">
        <f t="shared" si="36"/>
        <v>1.1865079365079327</v>
      </c>
      <c r="C302" s="17">
        <v>4.0870070747002531E-3</v>
      </c>
      <c r="D302" s="17">
        <v>2.4613299486996615E-2</v>
      </c>
      <c r="E302" s="16">
        <v>-1.4218753611668622</v>
      </c>
      <c r="F302" s="16">
        <v>1.5315825103093108</v>
      </c>
      <c r="G302" s="29">
        <v>0</v>
      </c>
      <c r="H302" s="16">
        <v>0</v>
      </c>
      <c r="I302" s="16">
        <f t="shared" si="37"/>
        <v>2.0891280928501281</v>
      </c>
      <c r="J302" s="17">
        <f t="shared" si="41"/>
        <v>8.8797915793573871E-4</v>
      </c>
      <c r="K302" s="19">
        <f t="shared" si="42"/>
        <v>1.7570649187355629E-5</v>
      </c>
      <c r="L302" s="18">
        <f t="shared" si="43"/>
        <v>1900.8657507100461</v>
      </c>
      <c r="T302" s="36"/>
      <c r="U302" s="53"/>
      <c r="W302" s="58"/>
    </row>
    <row r="303" spans="1:23" x14ac:dyDescent="0.2">
      <c r="A303" s="11">
        <f t="shared" si="35"/>
        <v>300</v>
      </c>
      <c r="B303" s="15">
        <f t="shared" si="36"/>
        <v>1.1904761904761867</v>
      </c>
      <c r="C303" s="17">
        <v>4.0870070747002531E-3</v>
      </c>
      <c r="D303" s="17">
        <v>2.4613299486996615E-2</v>
      </c>
      <c r="E303" s="16">
        <v>-0.18025068812454828</v>
      </c>
      <c r="F303" s="16">
        <v>-0.69984108882160756</v>
      </c>
      <c r="G303" s="29">
        <v>0</v>
      </c>
      <c r="H303" s="16">
        <v>0</v>
      </c>
      <c r="I303" s="16">
        <f t="shared" si="37"/>
        <v>-0.40610826546614043</v>
      </c>
      <c r="J303" s="17">
        <f t="shared" si="41"/>
        <v>8.7451408155295044E-5</v>
      </c>
      <c r="K303" s="19">
        <f t="shared" si="42"/>
        <v>-7.4652109771011809E-4</v>
      </c>
      <c r="L303" s="18">
        <f t="shared" si="43"/>
        <v>1899.4472438617483</v>
      </c>
      <c r="T303" s="36"/>
      <c r="U303" s="53"/>
      <c r="W303" s="58"/>
    </row>
    <row r="304" spans="1:23" x14ac:dyDescent="0.2">
      <c r="A304" s="11">
        <f t="shared" si="35"/>
        <v>301</v>
      </c>
      <c r="B304" s="15">
        <f t="shared" si="36"/>
        <v>1.1944444444444406</v>
      </c>
      <c r="C304" s="17">
        <v>4.0870070747002531E-3</v>
      </c>
      <c r="D304" s="17">
        <v>2.4613299486996615E-2</v>
      </c>
      <c r="E304" s="16">
        <v>0.6044508920529682</v>
      </c>
      <c r="F304" s="16">
        <v>-0.47691856750200151</v>
      </c>
      <c r="G304" s="29">
        <v>0</v>
      </c>
      <c r="H304" s="16">
        <v>0</v>
      </c>
      <c r="I304" s="16">
        <f t="shared" si="37"/>
        <v>-0.75739114463318602</v>
      </c>
      <c r="J304" s="17">
        <f t="shared" ref="J304:J318" si="44">MAX((SQRT(J303)+Eta*SQRT(dt)*E304/2)^2+Kappa*(Theta-J303)*dt-Eta*Eta*dt/4,0)</f>
        <v>1.0911120010095008E-4</v>
      </c>
      <c r="K304" s="19">
        <f t="shared" ref="K304:K318" si="45">(C304-D304-Lambda*(EXP(Alpha+Delta^2/2)-1)-MAX((SQRT($J303)-0),0)^2/2)*dt+SQRT(MAX((SQRT($J303)-0),0)^2*dt)*I304</f>
        <v>-4.2877593802824942E-4</v>
      </c>
      <c r="L304" s="18">
        <f t="shared" ref="L304:L318" si="46">EXP(K304)*EXP(H304)*L303</f>
        <v>1898.6329811686264</v>
      </c>
      <c r="T304" s="36"/>
      <c r="U304" s="53"/>
      <c r="W304" s="58"/>
    </row>
    <row r="305" spans="1:23" x14ac:dyDescent="0.2">
      <c r="A305" s="11">
        <f t="shared" si="35"/>
        <v>302</v>
      </c>
      <c r="B305" s="15">
        <f t="shared" si="36"/>
        <v>1.1984126984126946</v>
      </c>
      <c r="C305" s="17">
        <v>4.0870070747002531E-3</v>
      </c>
      <c r="D305" s="17">
        <v>2.4613299486996615E-2</v>
      </c>
      <c r="E305" s="16">
        <v>0.16032252005897454</v>
      </c>
      <c r="F305" s="16">
        <v>-0.11540202568487219</v>
      </c>
      <c r="G305" s="29">
        <v>0</v>
      </c>
      <c r="H305" s="16">
        <v>0</v>
      </c>
      <c r="I305" s="16">
        <f t="shared" si="37"/>
        <v>-0.19256164478593427</v>
      </c>
      <c r="J305" s="17">
        <f t="shared" si="44"/>
        <v>0</v>
      </c>
      <c r="K305" s="19">
        <f t="shared" si="45"/>
        <v>-1.0935388412318303E-4</v>
      </c>
      <c r="L305" s="18">
        <f t="shared" si="46"/>
        <v>1898.4253696293822</v>
      </c>
      <c r="T305" s="36"/>
      <c r="U305" s="53"/>
      <c r="W305" s="58"/>
    </row>
    <row r="306" spans="1:23" x14ac:dyDescent="0.2">
      <c r="A306" s="11">
        <f t="shared" si="35"/>
        <v>303</v>
      </c>
      <c r="B306" s="15">
        <f t="shared" si="36"/>
        <v>1.2023809523809486</v>
      </c>
      <c r="C306" s="17">
        <v>4.0870070747002531E-3</v>
      </c>
      <c r="D306" s="17">
        <v>2.4613299486996615E-2</v>
      </c>
      <c r="E306" s="16">
        <v>1.8828671766387555</v>
      </c>
      <c r="F306" s="16">
        <v>0.30471930700164013</v>
      </c>
      <c r="G306" s="29">
        <v>0</v>
      </c>
      <c r="H306" s="16">
        <v>0</v>
      </c>
      <c r="I306" s="16">
        <f t="shared" si="37"/>
        <v>-1.0156397561899211</v>
      </c>
      <c r="J306" s="17">
        <f t="shared" si="44"/>
        <v>1.9603625214881749E-3</v>
      </c>
      <c r="K306" s="19">
        <f t="shared" si="45"/>
        <v>1.7570649187355629E-5</v>
      </c>
      <c r="L306" s="18">
        <f t="shared" si="46"/>
        <v>1898.4587264886104</v>
      </c>
      <c r="T306" s="36"/>
      <c r="U306" s="53"/>
      <c r="W306" s="58"/>
    </row>
    <row r="307" spans="1:23" x14ac:dyDescent="0.2">
      <c r="A307" s="11">
        <f t="shared" si="35"/>
        <v>304</v>
      </c>
      <c r="B307" s="15">
        <f t="shared" si="36"/>
        <v>1.2063492063492025</v>
      </c>
      <c r="C307" s="17">
        <v>4.0870070747002531E-3</v>
      </c>
      <c r="D307" s="17">
        <v>2.4613299486996615E-2</v>
      </c>
      <c r="E307" s="16">
        <v>0.88486927612200306</v>
      </c>
      <c r="F307" s="16">
        <v>-0.58205683680314624</v>
      </c>
      <c r="G307" s="29">
        <v>0</v>
      </c>
      <c r="H307" s="16">
        <v>0</v>
      </c>
      <c r="I307" s="16">
        <f t="shared" si="37"/>
        <v>-1.0216176670115298</v>
      </c>
      <c r="J307" s="17">
        <f t="shared" si="44"/>
        <v>4.0481427076634749E-3</v>
      </c>
      <c r="K307" s="19">
        <f t="shared" si="45"/>
        <v>-2.8357379845965155E-3</v>
      </c>
      <c r="L307" s="18">
        <f t="shared" si="46"/>
        <v>1893.0828208980483</v>
      </c>
      <c r="T307" s="36"/>
      <c r="U307" s="53"/>
      <c r="W307" s="58"/>
    </row>
    <row r="308" spans="1:23" x14ac:dyDescent="0.2">
      <c r="A308" s="11">
        <f t="shared" si="35"/>
        <v>305</v>
      </c>
      <c r="B308" s="15">
        <f t="shared" si="36"/>
        <v>1.2103174603174565</v>
      </c>
      <c r="C308" s="17">
        <v>4.0870070747002531E-3</v>
      </c>
      <c r="D308" s="17">
        <v>2.4613299486996615E-2</v>
      </c>
      <c r="E308" s="16">
        <v>-0.18184659641879411</v>
      </c>
      <c r="F308" s="16">
        <v>-4.6537104317828148E-2</v>
      </c>
      <c r="G308" s="29">
        <v>0</v>
      </c>
      <c r="H308" s="16">
        <v>0</v>
      </c>
      <c r="I308" s="16">
        <f t="shared" si="37"/>
        <v>8.5250978148848022E-2</v>
      </c>
      <c r="J308" s="17">
        <f t="shared" si="44"/>
        <v>2.9075720821497989E-3</v>
      </c>
      <c r="K308" s="19">
        <f t="shared" si="45"/>
        <v>3.5122448048390291E-4</v>
      </c>
      <c r="L308" s="18">
        <f t="shared" si="46"/>
        <v>1893.7478347060594</v>
      </c>
      <c r="T308" s="36"/>
      <c r="U308" s="53"/>
      <c r="W308" s="58"/>
    </row>
    <row r="309" spans="1:23" x14ac:dyDescent="0.2">
      <c r="A309" s="11">
        <f t="shared" si="35"/>
        <v>306</v>
      </c>
      <c r="B309" s="15">
        <f t="shared" si="36"/>
        <v>1.2142857142857104</v>
      </c>
      <c r="C309" s="17">
        <v>4.0870070747002531E-3</v>
      </c>
      <c r="D309" s="17">
        <v>2.4613299486996615E-2</v>
      </c>
      <c r="E309" s="16">
        <v>5.3221365594656476E-2</v>
      </c>
      <c r="F309" s="16">
        <v>-0.93001148864953975</v>
      </c>
      <c r="G309" s="29">
        <v>0</v>
      </c>
      <c r="H309" s="16">
        <v>0</v>
      </c>
      <c r="I309" s="16">
        <f t="shared" si="37"/>
        <v>-0.73314593602620959</v>
      </c>
      <c r="J309" s="17">
        <f t="shared" si="44"/>
        <v>2.5160940763743079E-3</v>
      </c>
      <c r="K309" s="19">
        <f t="shared" si="45"/>
        <v>-2.4785197753901321E-3</v>
      </c>
      <c r="L309" s="18">
        <f t="shared" si="46"/>
        <v>1889.0599551490586</v>
      </c>
      <c r="T309" s="36"/>
      <c r="U309" s="53"/>
      <c r="W309" s="58"/>
    </row>
    <row r="310" spans="1:23" x14ac:dyDescent="0.2">
      <c r="A310" s="11">
        <f t="shared" si="35"/>
        <v>307</v>
      </c>
      <c r="B310" s="15">
        <f t="shared" si="36"/>
        <v>1.2182539682539644</v>
      </c>
      <c r="C310" s="17">
        <v>4.0870070747002531E-3</v>
      </c>
      <c r="D310" s="17">
        <v>2.4613299486996615E-2</v>
      </c>
      <c r="E310" s="16">
        <v>-0.52420694474998764</v>
      </c>
      <c r="F310" s="16">
        <v>0.85160067766899528</v>
      </c>
      <c r="G310" s="29">
        <v>0</v>
      </c>
      <c r="H310" s="16">
        <v>0</v>
      </c>
      <c r="I310" s="16">
        <f t="shared" si="37"/>
        <v>0.98555915380205694</v>
      </c>
      <c r="J310" s="17">
        <f t="shared" si="44"/>
        <v>7.6993943413227719E-4</v>
      </c>
      <c r="K310" s="19">
        <f t="shared" si="45"/>
        <v>3.1267738303961245E-3</v>
      </c>
      <c r="L310" s="18">
        <f t="shared" si="46"/>
        <v>1894.975862413032</v>
      </c>
      <c r="T310" s="36"/>
      <c r="U310" s="53"/>
      <c r="W310" s="58"/>
    </row>
    <row r="311" spans="1:23" x14ac:dyDescent="0.2">
      <c r="A311" s="11">
        <f t="shared" si="35"/>
        <v>308</v>
      </c>
      <c r="B311" s="15">
        <f t="shared" si="36"/>
        <v>1.2222222222222183</v>
      </c>
      <c r="C311" s="17">
        <v>4.0870070747002531E-3</v>
      </c>
      <c r="D311" s="17">
        <v>2.4613299486996615E-2</v>
      </c>
      <c r="E311" s="16">
        <v>1.1168157025552341</v>
      </c>
      <c r="F311" s="16">
        <v>-1.2106762669513162</v>
      </c>
      <c r="G311" s="29">
        <v>0</v>
      </c>
      <c r="H311" s="16">
        <v>0</v>
      </c>
      <c r="I311" s="16">
        <f t="shared" si="37"/>
        <v>-1.6466830403893646</v>
      </c>
      <c r="J311" s="17">
        <f t="shared" si="44"/>
        <v>2.7543317513340844E-3</v>
      </c>
      <c r="K311" s="19">
        <f t="shared" si="45"/>
        <v>-2.8622700402027071E-3</v>
      </c>
      <c r="L311" s="18">
        <f t="shared" si="46"/>
        <v>1889.5596847543718</v>
      </c>
      <c r="T311" s="36"/>
      <c r="U311" s="53"/>
      <c r="W311" s="58"/>
    </row>
    <row r="312" spans="1:23" x14ac:dyDescent="0.2">
      <c r="A312" s="11">
        <f t="shared" si="35"/>
        <v>309</v>
      </c>
      <c r="B312" s="15">
        <f t="shared" si="36"/>
        <v>1.2261904761904723</v>
      </c>
      <c r="C312" s="17">
        <v>4.0870070747002531E-3</v>
      </c>
      <c r="D312" s="17">
        <v>2.4613299486996615E-2</v>
      </c>
      <c r="E312" s="16">
        <v>1.1013144577506853</v>
      </c>
      <c r="F312" s="16">
        <v>-0.67374398068229291</v>
      </c>
      <c r="G312" s="29">
        <v>0</v>
      </c>
      <c r="H312" s="16">
        <v>0</v>
      </c>
      <c r="I312" s="16">
        <f t="shared" si="37"/>
        <v>-1.2334711129987976</v>
      </c>
      <c r="J312" s="17">
        <f t="shared" si="44"/>
        <v>6.1298784469907717E-3</v>
      </c>
      <c r="K312" s="19">
        <f t="shared" si="45"/>
        <v>-4.0657967865030762E-3</v>
      </c>
      <c r="L312" s="18">
        <f t="shared" si="46"/>
        <v>1881.8927157907754</v>
      </c>
      <c r="T312" s="36"/>
      <c r="U312" s="53"/>
      <c r="W312" s="58"/>
    </row>
    <row r="313" spans="1:23" x14ac:dyDescent="0.2">
      <c r="A313" s="11">
        <f t="shared" si="35"/>
        <v>310</v>
      </c>
      <c r="B313" s="15">
        <f t="shared" si="36"/>
        <v>1.2301587301587262</v>
      </c>
      <c r="C313" s="17">
        <v>4.0870070747002531E-3</v>
      </c>
      <c r="D313" s="17">
        <v>2.4613299486996615E-2</v>
      </c>
      <c r="E313" s="16">
        <v>-0.36781776854332782</v>
      </c>
      <c r="F313" s="16">
        <v>-1.4216623096606593</v>
      </c>
      <c r="G313" s="29">
        <v>0</v>
      </c>
      <c r="H313" s="16">
        <v>0</v>
      </c>
      <c r="I313" s="16">
        <f t="shared" si="37"/>
        <v>-0.82387742858312152</v>
      </c>
      <c r="J313" s="17">
        <f t="shared" si="44"/>
        <v>4.1395160237007282E-3</v>
      </c>
      <c r="K313" s="19">
        <f t="shared" si="45"/>
        <v>-4.0579795470496978E-3</v>
      </c>
      <c r="L313" s="18">
        <f t="shared" si="46"/>
        <v>1874.271507452461</v>
      </c>
      <c r="T313" s="36"/>
      <c r="U313" s="53"/>
      <c r="W313" s="58"/>
    </row>
    <row r="314" spans="1:23" x14ac:dyDescent="0.2">
      <c r="A314" s="11">
        <f t="shared" si="35"/>
        <v>311</v>
      </c>
      <c r="B314" s="15">
        <f t="shared" si="36"/>
        <v>1.2341269841269802</v>
      </c>
      <c r="C314" s="17">
        <v>4.0870070747002531E-3</v>
      </c>
      <c r="D314" s="17">
        <v>2.4613299486996615E-2</v>
      </c>
      <c r="E314" s="16">
        <v>2.0040368026750017</v>
      </c>
      <c r="F314" s="16">
        <v>0.69328542123073067</v>
      </c>
      <c r="G314" s="29">
        <v>0</v>
      </c>
      <c r="H314" s="16">
        <v>0</v>
      </c>
      <c r="I314" s="16">
        <f t="shared" si="37"/>
        <v>-0.80409838155224611</v>
      </c>
      <c r="J314" s="17">
        <f t="shared" si="44"/>
        <v>1.3258096976842314E-2</v>
      </c>
      <c r="K314" s="19">
        <f t="shared" si="45"/>
        <v>-3.2496377322380299E-3</v>
      </c>
      <c r="L314" s="18">
        <f t="shared" si="46"/>
        <v>1868.1906896201126</v>
      </c>
      <c r="T314" s="36"/>
      <c r="U314" s="53"/>
      <c r="W314" s="58"/>
    </row>
    <row r="315" spans="1:23" x14ac:dyDescent="0.2">
      <c r="A315" s="11">
        <f t="shared" si="35"/>
        <v>312</v>
      </c>
      <c r="B315" s="15">
        <f t="shared" si="36"/>
        <v>1.2380952380952341</v>
      </c>
      <c r="C315" s="17">
        <v>4.0870070747002531E-3</v>
      </c>
      <c r="D315" s="17">
        <v>2.4613299486996615E-2</v>
      </c>
      <c r="E315" s="16">
        <v>-0.46947480810629866</v>
      </c>
      <c r="F315" s="16">
        <v>0.18218488262270338</v>
      </c>
      <c r="G315" s="29">
        <v>0</v>
      </c>
      <c r="H315" s="16">
        <v>0</v>
      </c>
      <c r="I315" s="16">
        <f t="shared" si="37"/>
        <v>0.44699182750499811</v>
      </c>
      <c r="J315" s="17">
        <f t="shared" si="44"/>
        <v>9.9613123315571393E-3</v>
      </c>
      <c r="K315" s="19">
        <f t="shared" si="45"/>
        <v>3.2334656977588412E-3</v>
      </c>
      <c r="L315" s="18">
        <f t="shared" si="46"/>
        <v>1874.2411969141112</v>
      </c>
      <c r="T315" s="36"/>
      <c r="U315" s="53"/>
      <c r="W315" s="58"/>
    </row>
    <row r="316" spans="1:23" x14ac:dyDescent="0.2">
      <c r="A316" s="11">
        <f t="shared" si="35"/>
        <v>313</v>
      </c>
      <c r="B316" s="15">
        <f t="shared" si="36"/>
        <v>1.2420634920634881</v>
      </c>
      <c r="C316" s="17">
        <v>4.0870070747002531E-3</v>
      </c>
      <c r="D316" s="17">
        <v>2.4613299486996615E-2</v>
      </c>
      <c r="E316" s="16">
        <v>0.18322660713454375</v>
      </c>
      <c r="F316" s="16">
        <v>-2.1053780565293394</v>
      </c>
      <c r="G316" s="29">
        <v>0</v>
      </c>
      <c r="H316" s="16">
        <v>0</v>
      </c>
      <c r="I316" s="16">
        <f t="shared" si="37"/>
        <v>-1.7011750328372119</v>
      </c>
      <c r="J316" s="17">
        <f t="shared" si="44"/>
        <v>1.0383826393031939E-2</v>
      </c>
      <c r="K316" s="19">
        <f t="shared" si="45"/>
        <v>-1.0697839566429243E-2</v>
      </c>
      <c r="L316" s="18">
        <f t="shared" si="46"/>
        <v>1854.2977314776381</v>
      </c>
      <c r="T316" s="36"/>
      <c r="U316" s="53"/>
      <c r="W316" s="58"/>
    </row>
    <row r="317" spans="1:23" x14ac:dyDescent="0.2">
      <c r="A317" s="11">
        <f t="shared" si="35"/>
        <v>314</v>
      </c>
      <c r="B317" s="15">
        <f t="shared" si="36"/>
        <v>1.246031746031742</v>
      </c>
      <c r="C317" s="17">
        <v>4.0870070747002531E-3</v>
      </c>
      <c r="D317" s="17">
        <v>2.4613299486996615E-2</v>
      </c>
      <c r="E317" s="16">
        <v>-0.20908813796750883</v>
      </c>
      <c r="F317" s="16">
        <v>-1.1991580770610426</v>
      </c>
      <c r="G317" s="29">
        <v>0</v>
      </c>
      <c r="H317" s="16">
        <v>0</v>
      </c>
      <c r="I317" s="16">
        <f t="shared" si="37"/>
        <v>-0.76178777698855182</v>
      </c>
      <c r="J317" s="17">
        <f t="shared" si="44"/>
        <v>8.7110022147707643E-3</v>
      </c>
      <c r="K317" s="19">
        <f t="shared" si="45"/>
        <v>-4.8930724885874206E-3</v>
      </c>
      <c r="L317" s="18">
        <f t="shared" si="46"/>
        <v>1845.2466800459399</v>
      </c>
      <c r="T317" s="36"/>
      <c r="U317" s="53"/>
      <c r="W317" s="58"/>
    </row>
    <row r="318" spans="1:23" x14ac:dyDescent="0.2">
      <c r="A318" s="11">
        <f t="shared" si="35"/>
        <v>315</v>
      </c>
      <c r="B318" s="15">
        <f t="shared" si="36"/>
        <v>1.249999999999996</v>
      </c>
      <c r="C318" s="17">
        <v>4.0870070747002531E-3</v>
      </c>
      <c r="D318" s="17">
        <v>2.4613299486996615E-2</v>
      </c>
      <c r="E318" s="16">
        <v>-0.98425135406308528</v>
      </c>
      <c r="F318" s="16">
        <v>3.011278142699632</v>
      </c>
      <c r="G318" s="29">
        <v>0</v>
      </c>
      <c r="H318" s="16">
        <v>0</v>
      </c>
      <c r="I318" s="16">
        <f t="shared" si="37"/>
        <v>2.9104266319448202</v>
      </c>
      <c r="J318" s="17">
        <f t="shared" si="44"/>
        <v>3.9514990787446226E-3</v>
      </c>
      <c r="K318" s="19">
        <f t="shared" si="45"/>
        <v>1.7111880130467053E-2</v>
      </c>
      <c r="L318" s="18">
        <f t="shared" si="46"/>
        <v>1877.0940269220307</v>
      </c>
      <c r="T318" s="36"/>
      <c r="U318" s="53"/>
      <c r="W318" s="58"/>
    </row>
    <row r="319" spans="1:23" x14ac:dyDescent="0.2">
      <c r="A319" s="11"/>
      <c r="B319" s="15"/>
      <c r="C319" s="17"/>
      <c r="D319" s="17"/>
      <c r="E319" s="16"/>
      <c r="F319" s="16"/>
      <c r="G319" s="29"/>
      <c r="H319" s="16"/>
      <c r="I319" s="16"/>
      <c r="J319" s="17"/>
      <c r="K319" s="19"/>
      <c r="L319" s="18"/>
      <c r="T319" s="36"/>
      <c r="U319" s="53"/>
      <c r="W319" s="58"/>
    </row>
    <row r="320" spans="1:23" x14ac:dyDescent="0.2">
      <c r="A320" s="11"/>
      <c r="B320" s="15"/>
      <c r="C320" s="17"/>
      <c r="D320" s="17"/>
      <c r="E320" s="16"/>
      <c r="F320" s="16"/>
      <c r="G320" s="29"/>
      <c r="H320" s="16"/>
      <c r="I320" s="16"/>
      <c r="J320" s="17"/>
      <c r="K320" s="19"/>
      <c r="L320" s="18"/>
      <c r="T320" s="36"/>
      <c r="U320" s="53"/>
      <c r="W320" s="58"/>
    </row>
    <row r="321" spans="1:23" x14ac:dyDescent="0.2">
      <c r="A321" s="11"/>
      <c r="B321" s="15"/>
      <c r="C321" s="17"/>
      <c r="D321" s="17"/>
      <c r="E321" s="16"/>
      <c r="F321" s="16"/>
      <c r="G321" s="29"/>
      <c r="H321" s="16"/>
      <c r="I321" s="16"/>
      <c r="J321" s="17"/>
      <c r="K321" s="19"/>
      <c r="L321" s="18"/>
      <c r="T321" s="36"/>
      <c r="U321" s="53"/>
      <c r="W321" s="58"/>
    </row>
    <row r="322" spans="1:23" x14ac:dyDescent="0.2">
      <c r="A322" s="11"/>
      <c r="B322" s="15"/>
      <c r="C322" s="17"/>
      <c r="D322" s="17"/>
      <c r="E322" s="16"/>
      <c r="F322" s="16"/>
      <c r="G322" s="29"/>
      <c r="H322" s="16"/>
      <c r="I322" s="16"/>
      <c r="J322" s="17"/>
      <c r="K322" s="19"/>
      <c r="L322" s="18"/>
      <c r="T322" s="36"/>
      <c r="U322" s="53"/>
      <c r="W322" s="58"/>
    </row>
    <row r="323" spans="1:23" x14ac:dyDescent="0.2">
      <c r="A323" s="11"/>
      <c r="B323" s="15"/>
      <c r="C323" s="17"/>
      <c r="D323" s="17"/>
      <c r="E323" s="16"/>
      <c r="F323" s="16"/>
      <c r="G323" s="29"/>
      <c r="H323" s="16"/>
      <c r="I323" s="16"/>
      <c r="J323" s="17"/>
      <c r="K323" s="19"/>
      <c r="L323" s="18"/>
      <c r="T323" s="36"/>
      <c r="U323" s="53"/>
      <c r="W323" s="58"/>
    </row>
    <row r="324" spans="1:23" x14ac:dyDescent="0.2">
      <c r="A324" s="11"/>
      <c r="B324" s="15"/>
      <c r="C324" s="17"/>
      <c r="D324" s="17"/>
      <c r="E324" s="16"/>
      <c r="F324" s="16"/>
      <c r="G324" s="29"/>
      <c r="H324" s="16"/>
      <c r="I324" s="16"/>
      <c r="J324" s="17"/>
      <c r="K324" s="19"/>
      <c r="L324" s="18"/>
      <c r="T324" s="36"/>
      <c r="U324" s="53"/>
      <c r="W324" s="58"/>
    </row>
    <row r="325" spans="1:23" x14ac:dyDescent="0.2">
      <c r="A325" s="11"/>
      <c r="B325" s="15"/>
      <c r="C325" s="17"/>
      <c r="D325" s="17"/>
      <c r="E325" s="16"/>
      <c r="F325" s="16"/>
      <c r="G325" s="29"/>
      <c r="H325" s="16"/>
      <c r="I325" s="16"/>
      <c r="J325" s="17"/>
      <c r="K325" s="19"/>
      <c r="L325" s="18"/>
      <c r="T325" s="36"/>
      <c r="U325" s="53"/>
      <c r="W325" s="58"/>
    </row>
    <row r="326" spans="1:23" x14ac:dyDescent="0.2">
      <c r="A326" s="11"/>
      <c r="B326" s="15"/>
      <c r="C326" s="17"/>
      <c r="D326" s="17"/>
      <c r="E326" s="16"/>
      <c r="F326" s="16"/>
      <c r="G326" s="29"/>
      <c r="H326" s="16"/>
      <c r="I326" s="16"/>
      <c r="J326" s="17"/>
      <c r="K326" s="19"/>
      <c r="L326" s="18"/>
      <c r="T326" s="36"/>
      <c r="U326" s="53"/>
      <c r="W326" s="58"/>
    </row>
    <row r="327" spans="1:23" x14ac:dyDescent="0.2">
      <c r="A327" s="11"/>
      <c r="B327" s="15"/>
      <c r="C327" s="17"/>
      <c r="D327" s="17"/>
      <c r="E327" s="16"/>
      <c r="F327" s="16"/>
      <c r="G327" s="29"/>
      <c r="H327" s="16"/>
      <c r="I327" s="16"/>
      <c r="J327" s="17"/>
      <c r="K327" s="19"/>
      <c r="L327" s="18"/>
      <c r="T327" s="36"/>
      <c r="U327" s="53"/>
      <c r="W327" s="58"/>
    </row>
    <row r="328" spans="1:23" x14ac:dyDescent="0.2">
      <c r="A328" s="11"/>
      <c r="B328" s="15"/>
      <c r="C328" s="17"/>
      <c r="D328" s="17"/>
      <c r="E328" s="16"/>
      <c r="F328" s="16"/>
      <c r="G328" s="29"/>
      <c r="H328" s="16"/>
      <c r="I328" s="16"/>
      <c r="J328" s="17"/>
      <c r="K328" s="19"/>
      <c r="L328" s="18"/>
      <c r="T328" s="36"/>
      <c r="U328" s="53"/>
      <c r="W328" s="58"/>
    </row>
    <row r="329" spans="1:23" x14ac:dyDescent="0.2">
      <c r="A329" s="11"/>
      <c r="B329" s="15"/>
      <c r="C329" s="17"/>
      <c r="D329" s="17"/>
      <c r="E329" s="16"/>
      <c r="F329" s="16"/>
      <c r="G329" s="29"/>
      <c r="H329" s="16"/>
      <c r="I329" s="16"/>
      <c r="J329" s="17"/>
      <c r="K329" s="19"/>
      <c r="L329" s="18"/>
      <c r="T329" s="36"/>
      <c r="U329" s="53"/>
      <c r="W329" s="58"/>
    </row>
    <row r="330" spans="1:23" x14ac:dyDescent="0.2">
      <c r="A330" s="11"/>
      <c r="B330" s="15"/>
      <c r="C330" s="17"/>
      <c r="D330" s="17"/>
      <c r="E330" s="16"/>
      <c r="F330" s="16"/>
      <c r="G330" s="29"/>
      <c r="H330" s="16"/>
      <c r="I330" s="16"/>
      <c r="J330" s="17"/>
      <c r="K330" s="19"/>
      <c r="L330" s="18"/>
      <c r="T330" s="36"/>
      <c r="U330" s="53"/>
      <c r="W330" s="58"/>
    </row>
    <row r="331" spans="1:23" x14ac:dyDescent="0.2">
      <c r="A331" s="11"/>
      <c r="B331" s="15"/>
      <c r="C331" s="17"/>
      <c r="D331" s="17"/>
      <c r="E331" s="16"/>
      <c r="F331" s="16"/>
      <c r="G331" s="29"/>
      <c r="H331" s="16"/>
      <c r="I331" s="16"/>
      <c r="J331" s="17"/>
      <c r="K331" s="19"/>
      <c r="L331" s="18"/>
      <c r="T331" s="36"/>
      <c r="U331" s="53"/>
      <c r="W331" s="58"/>
    </row>
    <row r="332" spans="1:23" x14ac:dyDescent="0.2">
      <c r="A332" s="11"/>
      <c r="B332" s="15"/>
      <c r="C332" s="17"/>
      <c r="D332" s="17"/>
      <c r="E332" s="16"/>
      <c r="F332" s="16"/>
      <c r="G332" s="29"/>
      <c r="H332" s="16"/>
      <c r="I332" s="16"/>
      <c r="J332" s="17"/>
      <c r="K332" s="19"/>
      <c r="L332" s="18"/>
      <c r="T332" s="36"/>
      <c r="U332" s="53"/>
      <c r="W332" s="58"/>
    </row>
    <row r="333" spans="1:23" x14ac:dyDescent="0.2">
      <c r="A333" s="11"/>
      <c r="B333" s="15"/>
      <c r="C333" s="17"/>
      <c r="D333" s="17"/>
      <c r="E333" s="16"/>
      <c r="F333" s="16"/>
      <c r="G333" s="29"/>
      <c r="H333" s="16"/>
      <c r="I333" s="16"/>
      <c r="J333" s="17"/>
      <c r="K333" s="19"/>
      <c r="L333" s="18"/>
      <c r="T333" s="36"/>
      <c r="U333" s="53"/>
      <c r="W333" s="58"/>
    </row>
    <row r="334" spans="1:23" x14ac:dyDescent="0.2">
      <c r="A334" s="11"/>
      <c r="B334" s="15"/>
      <c r="C334" s="17"/>
      <c r="D334" s="17"/>
      <c r="E334" s="16"/>
      <c r="F334" s="16"/>
      <c r="G334" s="29"/>
      <c r="H334" s="16"/>
      <c r="I334" s="16"/>
      <c r="J334" s="17"/>
      <c r="K334" s="19"/>
      <c r="L334" s="18"/>
      <c r="T334" s="36"/>
      <c r="U334" s="53"/>
      <c r="W334" s="58"/>
    </row>
    <row r="335" spans="1:23" x14ac:dyDescent="0.2">
      <c r="A335" s="11"/>
      <c r="B335" s="15"/>
      <c r="C335" s="17"/>
      <c r="D335" s="17"/>
      <c r="E335" s="16"/>
      <c r="F335" s="16"/>
      <c r="G335" s="29"/>
      <c r="H335" s="16"/>
      <c r="I335" s="16"/>
      <c r="J335" s="17"/>
      <c r="K335" s="19"/>
      <c r="L335" s="18"/>
      <c r="T335" s="36"/>
      <c r="U335" s="53"/>
      <c r="W335" s="58"/>
    </row>
    <row r="336" spans="1:23" x14ac:dyDescent="0.2">
      <c r="A336" s="11"/>
      <c r="B336" s="15"/>
      <c r="C336" s="17"/>
      <c r="D336" s="17"/>
      <c r="E336" s="16"/>
      <c r="F336" s="16"/>
      <c r="G336" s="29"/>
      <c r="H336" s="16"/>
      <c r="I336" s="16"/>
      <c r="J336" s="17"/>
      <c r="K336" s="19"/>
      <c r="L336" s="18"/>
      <c r="T336" s="36"/>
      <c r="U336" s="53"/>
      <c r="W336" s="58"/>
    </row>
    <row r="337" spans="1:23" x14ac:dyDescent="0.2">
      <c r="A337" s="11"/>
      <c r="B337" s="15"/>
      <c r="C337" s="17"/>
      <c r="D337" s="17"/>
      <c r="E337" s="16"/>
      <c r="F337" s="16"/>
      <c r="G337" s="29"/>
      <c r="H337" s="16"/>
      <c r="I337" s="16"/>
      <c r="J337" s="17"/>
      <c r="K337" s="19"/>
      <c r="L337" s="18"/>
      <c r="T337" s="36"/>
      <c r="U337" s="53"/>
      <c r="W337" s="58"/>
    </row>
    <row r="338" spans="1:23" x14ac:dyDescent="0.2">
      <c r="A338" s="11"/>
      <c r="B338" s="15"/>
      <c r="C338" s="17"/>
      <c r="D338" s="17"/>
      <c r="E338" s="16"/>
      <c r="F338" s="16"/>
      <c r="G338" s="29"/>
      <c r="H338" s="16"/>
      <c r="I338" s="16"/>
      <c r="J338" s="17"/>
      <c r="K338" s="19"/>
      <c r="L338" s="18"/>
      <c r="T338" s="36"/>
      <c r="U338" s="53"/>
      <c r="W338" s="58"/>
    </row>
    <row r="339" spans="1:23" x14ac:dyDescent="0.2">
      <c r="A339" s="11"/>
      <c r="B339" s="15"/>
      <c r="C339" s="17"/>
      <c r="D339" s="17"/>
      <c r="E339" s="16"/>
      <c r="F339" s="16"/>
      <c r="G339" s="29"/>
      <c r="H339" s="16"/>
      <c r="I339" s="16"/>
      <c r="J339" s="17"/>
      <c r="K339" s="19"/>
      <c r="L339" s="18"/>
      <c r="T339" s="36"/>
      <c r="U339" s="53"/>
      <c r="W339" s="58"/>
    </row>
    <row r="340" spans="1:23" x14ac:dyDescent="0.2">
      <c r="A340" s="11"/>
      <c r="B340" s="15"/>
      <c r="C340" s="17"/>
      <c r="D340" s="17"/>
      <c r="E340" s="16"/>
      <c r="F340" s="16"/>
      <c r="G340" s="29"/>
      <c r="H340" s="16"/>
      <c r="I340" s="16"/>
      <c r="J340" s="17"/>
      <c r="K340" s="19"/>
      <c r="L340" s="18"/>
      <c r="T340" s="36"/>
      <c r="U340" s="53"/>
      <c r="W340" s="58"/>
    </row>
    <row r="341" spans="1:23" x14ac:dyDescent="0.2">
      <c r="A341" s="11"/>
      <c r="B341" s="15"/>
      <c r="C341" s="17"/>
      <c r="D341" s="17"/>
      <c r="E341" s="16"/>
      <c r="F341" s="16"/>
      <c r="G341" s="29"/>
      <c r="H341" s="16"/>
      <c r="I341" s="16"/>
      <c r="J341" s="17"/>
      <c r="K341" s="19"/>
      <c r="L341" s="18"/>
      <c r="T341" s="36"/>
      <c r="U341" s="53"/>
      <c r="W341" s="58"/>
    </row>
    <row r="342" spans="1:23" x14ac:dyDescent="0.2">
      <c r="A342" s="11"/>
      <c r="B342" s="15"/>
      <c r="C342" s="17"/>
      <c r="D342" s="17"/>
      <c r="E342" s="16"/>
      <c r="F342" s="16"/>
      <c r="G342" s="29"/>
      <c r="H342" s="16"/>
      <c r="I342" s="16"/>
      <c r="J342" s="17"/>
      <c r="K342" s="19"/>
      <c r="L342" s="18"/>
      <c r="T342" s="36"/>
      <c r="U342" s="53"/>
      <c r="W342" s="58"/>
    </row>
    <row r="343" spans="1:23" x14ac:dyDescent="0.2">
      <c r="A343" s="11"/>
      <c r="B343" s="15"/>
      <c r="C343" s="17"/>
      <c r="D343" s="17"/>
      <c r="E343" s="16"/>
      <c r="F343" s="16"/>
      <c r="G343" s="29"/>
      <c r="H343" s="16"/>
      <c r="I343" s="16"/>
      <c r="J343" s="17"/>
      <c r="K343" s="19"/>
      <c r="L343" s="18"/>
      <c r="T343" s="36"/>
      <c r="U343" s="53"/>
      <c r="W343" s="58"/>
    </row>
    <row r="344" spans="1:23" x14ac:dyDescent="0.2">
      <c r="A344" s="11"/>
      <c r="B344" s="15"/>
      <c r="C344" s="17"/>
      <c r="D344" s="17"/>
      <c r="E344" s="16"/>
      <c r="F344" s="16"/>
      <c r="G344" s="29"/>
      <c r="H344" s="16"/>
      <c r="I344" s="16"/>
      <c r="J344" s="17"/>
      <c r="K344" s="19"/>
      <c r="L344" s="18"/>
      <c r="T344" s="36"/>
      <c r="U344" s="53"/>
      <c r="W344" s="58"/>
    </row>
    <row r="345" spans="1:23" x14ac:dyDescent="0.2">
      <c r="A345" s="11"/>
      <c r="B345" s="15"/>
      <c r="C345" s="17"/>
      <c r="D345" s="17"/>
      <c r="E345" s="16"/>
      <c r="F345" s="16"/>
      <c r="G345" s="29"/>
      <c r="H345" s="16"/>
      <c r="I345" s="16"/>
      <c r="J345" s="17"/>
      <c r="K345" s="19"/>
      <c r="L345" s="18"/>
      <c r="T345" s="36"/>
      <c r="U345" s="53"/>
      <c r="W345" s="58"/>
    </row>
    <row r="346" spans="1:23" x14ac:dyDescent="0.2">
      <c r="A346" s="11"/>
      <c r="B346" s="15"/>
      <c r="C346" s="17"/>
      <c r="D346" s="17"/>
      <c r="E346" s="16"/>
      <c r="F346" s="16"/>
      <c r="G346" s="29"/>
      <c r="H346" s="16"/>
      <c r="I346" s="16"/>
      <c r="J346" s="17"/>
      <c r="K346" s="19"/>
      <c r="L346" s="18"/>
      <c r="T346" s="36"/>
      <c r="U346" s="53"/>
      <c r="W346" s="58"/>
    </row>
    <row r="347" spans="1:23" x14ac:dyDescent="0.2">
      <c r="A347" s="11"/>
      <c r="B347" s="15"/>
      <c r="C347" s="17"/>
      <c r="D347" s="17"/>
      <c r="E347" s="16"/>
      <c r="F347" s="16"/>
      <c r="G347" s="29"/>
      <c r="H347" s="16"/>
      <c r="I347" s="16"/>
      <c r="J347" s="17"/>
      <c r="K347" s="19"/>
      <c r="L347" s="18"/>
      <c r="T347" s="36"/>
      <c r="U347" s="53"/>
      <c r="W347" s="58"/>
    </row>
    <row r="348" spans="1:23" x14ac:dyDescent="0.2">
      <c r="A348" s="11"/>
      <c r="B348" s="15"/>
      <c r="C348" s="17"/>
      <c r="D348" s="17"/>
      <c r="E348" s="16"/>
      <c r="F348" s="16"/>
      <c r="G348" s="29"/>
      <c r="H348" s="16"/>
      <c r="I348" s="16"/>
      <c r="J348" s="17"/>
      <c r="K348" s="19"/>
      <c r="L348" s="18"/>
      <c r="T348" s="36"/>
      <c r="U348" s="53"/>
      <c r="W348" s="58"/>
    </row>
    <row r="349" spans="1:23" x14ac:dyDescent="0.2">
      <c r="A349" s="11"/>
      <c r="B349" s="15"/>
      <c r="C349" s="17"/>
      <c r="D349" s="17"/>
      <c r="E349" s="16"/>
      <c r="F349" s="16"/>
      <c r="G349" s="29"/>
      <c r="H349" s="16"/>
      <c r="I349" s="16"/>
      <c r="J349" s="17"/>
      <c r="K349" s="19"/>
      <c r="L349" s="18"/>
      <c r="T349" s="36"/>
      <c r="U349" s="53"/>
      <c r="W349" s="58"/>
    </row>
    <row r="350" spans="1:23" x14ac:dyDescent="0.2">
      <c r="A350" s="11"/>
      <c r="B350" s="15"/>
      <c r="C350" s="17"/>
      <c r="D350" s="17"/>
      <c r="E350" s="16"/>
      <c r="F350" s="16"/>
      <c r="G350" s="29"/>
      <c r="H350" s="16"/>
      <c r="I350" s="16"/>
      <c r="J350" s="17"/>
      <c r="K350" s="19"/>
      <c r="L350" s="18"/>
      <c r="T350" s="36"/>
      <c r="U350" s="53"/>
      <c r="W350" s="58"/>
    </row>
    <row r="351" spans="1:23" x14ac:dyDescent="0.2">
      <c r="A351" s="11"/>
      <c r="B351" s="15"/>
      <c r="C351" s="17"/>
      <c r="D351" s="17"/>
      <c r="E351" s="16"/>
      <c r="F351" s="16"/>
      <c r="G351" s="29"/>
      <c r="H351" s="16"/>
      <c r="I351" s="16"/>
      <c r="J351" s="17"/>
      <c r="K351" s="19"/>
      <c r="L351" s="18"/>
      <c r="T351" s="36"/>
      <c r="U351" s="53"/>
      <c r="W351" s="58"/>
    </row>
    <row r="352" spans="1:23" x14ac:dyDescent="0.2">
      <c r="A352" s="11"/>
      <c r="B352" s="15"/>
      <c r="C352" s="17"/>
      <c r="D352" s="17"/>
      <c r="E352" s="16"/>
      <c r="F352" s="16"/>
      <c r="G352" s="29"/>
      <c r="H352" s="16"/>
      <c r="I352" s="16"/>
      <c r="J352" s="17"/>
      <c r="K352" s="19"/>
      <c r="L352" s="18"/>
      <c r="T352" s="36"/>
      <c r="U352" s="53"/>
      <c r="W352" s="58"/>
    </row>
    <row r="353" spans="1:23" x14ac:dyDescent="0.2">
      <c r="A353" s="11"/>
      <c r="B353" s="15"/>
      <c r="C353" s="17"/>
      <c r="D353" s="17"/>
      <c r="E353" s="16"/>
      <c r="F353" s="16"/>
      <c r="G353" s="29"/>
      <c r="H353" s="16"/>
      <c r="I353" s="16"/>
      <c r="J353" s="17"/>
      <c r="K353" s="19"/>
      <c r="L353" s="18"/>
      <c r="T353" s="36"/>
      <c r="U353" s="53"/>
      <c r="W353" s="58"/>
    </row>
    <row r="354" spans="1:23" x14ac:dyDescent="0.2">
      <c r="A354" s="11"/>
      <c r="B354" s="15"/>
      <c r="C354" s="17"/>
      <c r="D354" s="17"/>
      <c r="E354" s="16"/>
      <c r="F354" s="16"/>
      <c r="G354" s="29"/>
      <c r="H354" s="16"/>
      <c r="I354" s="16"/>
      <c r="J354" s="17"/>
      <c r="K354" s="19"/>
      <c r="L354" s="18"/>
      <c r="T354" s="36"/>
      <c r="U354" s="53"/>
      <c r="W354" s="58"/>
    </row>
    <row r="355" spans="1:23" x14ac:dyDescent="0.2">
      <c r="A355" s="11"/>
      <c r="B355" s="15"/>
      <c r="C355" s="17"/>
      <c r="D355" s="17"/>
      <c r="E355" s="16"/>
      <c r="F355" s="16"/>
      <c r="G355" s="29"/>
      <c r="H355" s="16"/>
      <c r="I355" s="16"/>
      <c r="J355" s="17"/>
      <c r="K355" s="19"/>
      <c r="L355" s="18"/>
      <c r="T355" s="36"/>
      <c r="U355" s="53"/>
      <c r="W355" s="58"/>
    </row>
    <row r="356" spans="1:23" x14ac:dyDescent="0.2">
      <c r="A356" s="11"/>
      <c r="B356" s="15"/>
      <c r="C356" s="17"/>
      <c r="D356" s="17"/>
      <c r="E356" s="16"/>
      <c r="F356" s="16"/>
      <c r="G356" s="29"/>
      <c r="H356" s="16"/>
      <c r="I356" s="16"/>
      <c r="J356" s="17"/>
      <c r="K356" s="19"/>
      <c r="L356" s="18"/>
      <c r="T356" s="36"/>
      <c r="U356" s="53"/>
      <c r="W356" s="58"/>
    </row>
    <row r="357" spans="1:23" x14ac:dyDescent="0.2">
      <c r="A357" s="11"/>
      <c r="B357" s="15"/>
      <c r="C357" s="17"/>
      <c r="D357" s="17"/>
      <c r="E357" s="16"/>
      <c r="F357" s="16"/>
      <c r="G357" s="29"/>
      <c r="H357" s="16"/>
      <c r="I357" s="16"/>
      <c r="J357" s="17"/>
      <c r="K357" s="19"/>
      <c r="L357" s="18"/>
      <c r="T357" s="36"/>
      <c r="U357" s="53"/>
      <c r="W357" s="58"/>
    </row>
    <row r="358" spans="1:23" x14ac:dyDescent="0.2">
      <c r="A358" s="11"/>
      <c r="B358" s="15"/>
      <c r="C358" s="17"/>
      <c r="D358" s="17"/>
      <c r="E358" s="16"/>
      <c r="F358" s="16"/>
      <c r="G358" s="29"/>
      <c r="H358" s="16"/>
      <c r="I358" s="16"/>
      <c r="J358" s="17"/>
      <c r="K358" s="19"/>
      <c r="L358" s="18"/>
      <c r="T358" s="36"/>
      <c r="U358" s="53"/>
      <c r="W358" s="58"/>
    </row>
    <row r="359" spans="1:23" x14ac:dyDescent="0.2">
      <c r="A359" s="11"/>
      <c r="B359" s="15"/>
      <c r="C359" s="17"/>
      <c r="D359" s="17"/>
      <c r="E359" s="16"/>
      <c r="F359" s="16"/>
      <c r="G359" s="29"/>
      <c r="H359" s="16"/>
      <c r="I359" s="16"/>
      <c r="J359" s="17"/>
      <c r="K359" s="19"/>
      <c r="L359" s="18"/>
      <c r="T359" s="36"/>
      <c r="U359" s="53"/>
      <c r="W359" s="58"/>
    </row>
    <row r="360" spans="1:23" x14ac:dyDescent="0.2">
      <c r="A360" s="11"/>
      <c r="B360" s="15"/>
      <c r="C360" s="17"/>
      <c r="D360" s="17"/>
      <c r="E360" s="16"/>
      <c r="F360" s="16"/>
      <c r="G360" s="29"/>
      <c r="H360" s="16"/>
      <c r="I360" s="16"/>
      <c r="J360" s="17"/>
      <c r="K360" s="19"/>
      <c r="L360" s="18"/>
      <c r="T360" s="36"/>
      <c r="U360" s="53"/>
      <c r="W360" s="58"/>
    </row>
    <row r="361" spans="1:23" x14ac:dyDescent="0.2">
      <c r="A361" s="11"/>
      <c r="B361" s="15"/>
      <c r="C361" s="17"/>
      <c r="D361" s="17"/>
      <c r="E361" s="16"/>
      <c r="F361" s="16"/>
      <c r="G361" s="29"/>
      <c r="H361" s="16"/>
      <c r="I361" s="16"/>
      <c r="J361" s="17"/>
      <c r="K361" s="19"/>
      <c r="L361" s="18"/>
      <c r="T361" s="36"/>
      <c r="U361" s="53"/>
      <c r="W361" s="58"/>
    </row>
    <row r="362" spans="1:23" x14ac:dyDescent="0.2">
      <c r="A362" s="11"/>
      <c r="B362" s="15"/>
      <c r="C362" s="17"/>
      <c r="D362" s="17"/>
      <c r="E362" s="16"/>
      <c r="F362" s="16"/>
      <c r="G362" s="29"/>
      <c r="H362" s="16"/>
      <c r="I362" s="16"/>
      <c r="J362" s="17"/>
      <c r="K362" s="19"/>
      <c r="L362" s="18"/>
      <c r="T362" s="36"/>
      <c r="U362" s="53"/>
      <c r="W362" s="58"/>
    </row>
    <row r="363" spans="1:23" x14ac:dyDescent="0.2">
      <c r="A363" s="11"/>
      <c r="B363" s="15"/>
      <c r="C363" s="17"/>
      <c r="D363" s="17"/>
      <c r="E363" s="16"/>
      <c r="F363" s="16"/>
      <c r="G363" s="29"/>
      <c r="H363" s="16"/>
      <c r="I363" s="16"/>
      <c r="J363" s="17"/>
      <c r="K363" s="19"/>
      <c r="L363" s="18"/>
      <c r="T363" s="36"/>
      <c r="U363" s="53"/>
      <c r="W363" s="58"/>
    </row>
    <row r="364" spans="1:23" x14ac:dyDescent="0.2">
      <c r="A364" s="11"/>
      <c r="B364" s="15"/>
      <c r="C364" s="17"/>
      <c r="D364" s="17"/>
      <c r="E364" s="16"/>
      <c r="F364" s="16"/>
      <c r="G364" s="29"/>
      <c r="H364" s="16"/>
      <c r="I364" s="16"/>
      <c r="J364" s="17"/>
      <c r="K364" s="19"/>
      <c r="L364" s="18"/>
      <c r="T364" s="36"/>
      <c r="U364" s="53"/>
      <c r="W364" s="58"/>
    </row>
    <row r="365" spans="1:23" x14ac:dyDescent="0.2">
      <c r="A365" s="11"/>
      <c r="B365" s="15"/>
      <c r="C365" s="17"/>
      <c r="D365" s="17"/>
      <c r="E365" s="16"/>
      <c r="F365" s="16"/>
      <c r="G365" s="29"/>
      <c r="H365" s="16"/>
      <c r="I365" s="16"/>
      <c r="J365" s="17"/>
      <c r="K365" s="19"/>
      <c r="L365" s="18"/>
      <c r="T365" s="36"/>
      <c r="U365" s="53"/>
      <c r="W365" s="58"/>
    </row>
    <row r="366" spans="1:23" x14ac:dyDescent="0.2">
      <c r="A366" s="11"/>
      <c r="B366" s="15"/>
      <c r="C366" s="17"/>
      <c r="D366" s="17"/>
      <c r="E366" s="16"/>
      <c r="F366" s="16"/>
      <c r="G366" s="29"/>
      <c r="H366" s="16"/>
      <c r="I366" s="16"/>
      <c r="J366" s="17"/>
      <c r="K366" s="19"/>
      <c r="L366" s="18"/>
      <c r="T366" s="36"/>
      <c r="U366" s="53"/>
      <c r="W366" s="58"/>
    </row>
    <row r="367" spans="1:23" x14ac:dyDescent="0.2">
      <c r="A367" s="11"/>
      <c r="B367" s="15"/>
      <c r="C367" s="17"/>
      <c r="D367" s="17"/>
      <c r="E367" s="16"/>
      <c r="F367" s="16"/>
      <c r="G367" s="29"/>
      <c r="H367" s="16"/>
      <c r="I367" s="16"/>
      <c r="J367" s="17"/>
      <c r="K367" s="19"/>
      <c r="L367" s="18"/>
      <c r="T367" s="36"/>
      <c r="U367" s="53"/>
      <c r="W367" s="58"/>
    </row>
    <row r="368" spans="1:23" x14ac:dyDescent="0.2">
      <c r="A368" s="11"/>
      <c r="B368" s="15"/>
      <c r="C368" s="17"/>
      <c r="D368" s="17"/>
      <c r="E368" s="16"/>
      <c r="F368" s="16"/>
      <c r="G368" s="29"/>
      <c r="H368" s="16"/>
      <c r="I368" s="16"/>
      <c r="J368" s="17"/>
      <c r="K368" s="19"/>
      <c r="L368" s="18"/>
      <c r="T368" s="36"/>
      <c r="U368" s="53"/>
      <c r="W368" s="58"/>
    </row>
    <row r="369" spans="1:23" x14ac:dyDescent="0.2">
      <c r="A369" s="11"/>
      <c r="B369" s="15"/>
      <c r="C369" s="17"/>
      <c r="D369" s="17"/>
      <c r="E369" s="16"/>
      <c r="F369" s="16"/>
      <c r="G369" s="29"/>
      <c r="H369" s="16"/>
      <c r="I369" s="16"/>
      <c r="J369" s="17"/>
      <c r="K369" s="19"/>
      <c r="L369" s="18"/>
      <c r="T369" s="36"/>
      <c r="U369" s="53"/>
      <c r="W369" s="58"/>
    </row>
    <row r="370" spans="1:23" x14ac:dyDescent="0.2">
      <c r="A370" s="11"/>
      <c r="B370" s="15"/>
      <c r="C370" s="17"/>
      <c r="D370" s="17"/>
      <c r="E370" s="16"/>
      <c r="F370" s="16"/>
      <c r="G370" s="29"/>
      <c r="H370" s="16"/>
      <c r="I370" s="16"/>
      <c r="J370" s="17"/>
      <c r="K370" s="19"/>
      <c r="L370" s="18"/>
      <c r="T370" s="36"/>
      <c r="U370" s="53"/>
      <c r="W370" s="58"/>
    </row>
    <row r="371" spans="1:23" x14ac:dyDescent="0.2">
      <c r="A371" s="11"/>
      <c r="B371" s="15"/>
      <c r="C371" s="17"/>
      <c r="D371" s="17"/>
      <c r="E371" s="16"/>
      <c r="F371" s="16"/>
      <c r="G371" s="29"/>
      <c r="H371" s="16"/>
      <c r="I371" s="16"/>
      <c r="J371" s="17"/>
      <c r="K371" s="19"/>
      <c r="L371" s="18"/>
      <c r="T371" s="36"/>
      <c r="U371" s="53"/>
      <c r="W371" s="58"/>
    </row>
    <row r="372" spans="1:23" x14ac:dyDescent="0.2">
      <c r="A372" s="11"/>
      <c r="B372" s="15"/>
      <c r="C372" s="17"/>
      <c r="D372" s="17"/>
      <c r="E372" s="16"/>
      <c r="F372" s="16"/>
      <c r="G372" s="29"/>
      <c r="H372" s="16"/>
      <c r="I372" s="16"/>
      <c r="J372" s="17"/>
      <c r="K372" s="19"/>
      <c r="L372" s="18"/>
      <c r="T372" s="36"/>
      <c r="U372" s="53"/>
      <c r="W372" s="58"/>
    </row>
    <row r="373" spans="1:23" x14ac:dyDescent="0.2">
      <c r="A373" s="11"/>
      <c r="B373" s="15"/>
      <c r="C373" s="17"/>
      <c r="D373" s="17"/>
      <c r="E373" s="16"/>
      <c r="F373" s="16"/>
      <c r="G373" s="29"/>
      <c r="H373" s="16"/>
      <c r="I373" s="16"/>
      <c r="J373" s="17"/>
      <c r="K373" s="19"/>
      <c r="L373" s="18"/>
      <c r="T373" s="36"/>
      <c r="U373" s="53"/>
      <c r="W373" s="58"/>
    </row>
    <row r="374" spans="1:23" x14ac:dyDescent="0.2">
      <c r="A374" s="11"/>
      <c r="B374" s="15"/>
      <c r="C374" s="17"/>
      <c r="D374" s="17"/>
      <c r="E374" s="16"/>
      <c r="F374" s="16"/>
      <c r="G374" s="29"/>
      <c r="H374" s="16"/>
      <c r="I374" s="16"/>
      <c r="J374" s="17"/>
      <c r="K374" s="19"/>
      <c r="L374" s="18"/>
      <c r="T374" s="36"/>
      <c r="U374" s="53"/>
      <c r="W374" s="58"/>
    </row>
    <row r="375" spans="1:23" x14ac:dyDescent="0.2">
      <c r="A375" s="11"/>
      <c r="B375" s="15"/>
      <c r="C375" s="17"/>
      <c r="D375" s="17"/>
      <c r="E375" s="16"/>
      <c r="F375" s="16"/>
      <c r="G375" s="29"/>
      <c r="H375" s="16"/>
      <c r="I375" s="16"/>
      <c r="J375" s="17"/>
      <c r="K375" s="19"/>
      <c r="L375" s="18"/>
      <c r="T375" s="36"/>
      <c r="U375" s="53"/>
      <c r="W375" s="58"/>
    </row>
    <row r="376" spans="1:23" x14ac:dyDescent="0.2">
      <c r="A376" s="11"/>
      <c r="B376" s="15"/>
      <c r="C376" s="17"/>
      <c r="D376" s="17"/>
      <c r="E376" s="16"/>
      <c r="F376" s="16"/>
      <c r="G376" s="29"/>
      <c r="H376" s="16"/>
      <c r="I376" s="16"/>
      <c r="J376" s="17"/>
      <c r="K376" s="19"/>
      <c r="L376" s="18"/>
      <c r="T376" s="36"/>
      <c r="U376" s="53"/>
      <c r="W376" s="58"/>
    </row>
    <row r="377" spans="1:23" x14ac:dyDescent="0.2">
      <c r="A377" s="11"/>
      <c r="B377" s="15"/>
      <c r="C377" s="17"/>
      <c r="D377" s="17"/>
      <c r="E377" s="16"/>
      <c r="F377" s="16"/>
      <c r="G377" s="29"/>
      <c r="H377" s="16"/>
      <c r="I377" s="16"/>
      <c r="J377" s="17"/>
      <c r="K377" s="19"/>
      <c r="L377" s="18"/>
      <c r="T377" s="36"/>
      <c r="U377" s="53"/>
      <c r="W377" s="58"/>
    </row>
    <row r="378" spans="1:23" x14ac:dyDescent="0.2">
      <c r="A378" s="11"/>
      <c r="B378" s="15"/>
      <c r="C378" s="17"/>
      <c r="D378" s="17"/>
      <c r="E378" s="16"/>
      <c r="F378" s="16"/>
      <c r="G378" s="29"/>
      <c r="H378" s="16"/>
      <c r="I378" s="16"/>
      <c r="J378" s="17"/>
      <c r="K378" s="19"/>
      <c r="L378" s="18"/>
      <c r="T378" s="36"/>
      <c r="U378" s="53"/>
      <c r="W378" s="58"/>
    </row>
    <row r="379" spans="1:23" x14ac:dyDescent="0.2">
      <c r="A379" s="11"/>
      <c r="B379" s="15"/>
      <c r="C379" s="17"/>
      <c r="D379" s="17"/>
      <c r="E379" s="16"/>
      <c r="F379" s="16"/>
      <c r="G379" s="29"/>
      <c r="H379" s="16"/>
      <c r="I379" s="16"/>
      <c r="J379" s="17"/>
      <c r="K379" s="19"/>
      <c r="L379" s="18"/>
      <c r="T379" s="36"/>
      <c r="U379" s="53"/>
      <c r="W379" s="58"/>
    </row>
    <row r="380" spans="1:23" x14ac:dyDescent="0.2">
      <c r="A380" s="11"/>
      <c r="B380" s="15"/>
      <c r="C380" s="17"/>
      <c r="D380" s="17"/>
      <c r="E380" s="16"/>
      <c r="F380" s="16"/>
      <c r="G380" s="29"/>
      <c r="H380" s="16"/>
      <c r="I380" s="16"/>
      <c r="J380" s="17"/>
      <c r="K380" s="19"/>
      <c r="L380" s="18"/>
      <c r="T380" s="36"/>
      <c r="U380" s="53"/>
      <c r="W380" s="58"/>
    </row>
    <row r="381" spans="1:23" x14ac:dyDescent="0.2">
      <c r="A381" s="11"/>
      <c r="B381" s="15"/>
      <c r="C381" s="17"/>
      <c r="D381" s="17"/>
      <c r="E381" s="16"/>
      <c r="F381" s="16"/>
      <c r="G381" s="29"/>
      <c r="H381" s="16"/>
      <c r="I381" s="16"/>
      <c r="J381" s="17"/>
      <c r="K381" s="19"/>
      <c r="L381" s="18"/>
      <c r="T381" s="36"/>
      <c r="U381" s="53"/>
      <c r="W381" s="58"/>
    </row>
    <row r="382" spans="1:23" x14ac:dyDescent="0.2">
      <c r="T382" s="36"/>
      <c r="U382" s="53"/>
      <c r="W382" s="58"/>
    </row>
    <row r="383" spans="1:23" x14ac:dyDescent="0.2">
      <c r="T383" s="36"/>
      <c r="U383" s="53"/>
      <c r="W383" s="58"/>
    </row>
    <row r="384" spans="1:23" x14ac:dyDescent="0.2">
      <c r="T384" s="36"/>
      <c r="U384" s="53"/>
      <c r="W384" s="58"/>
    </row>
    <row r="385" spans="20:23" x14ac:dyDescent="0.2">
      <c r="T385" s="36"/>
      <c r="U385" s="53"/>
      <c r="W385" s="58"/>
    </row>
    <row r="386" spans="20:23" x14ac:dyDescent="0.2">
      <c r="T386" s="36"/>
      <c r="U386" s="53"/>
      <c r="W386" s="58"/>
    </row>
    <row r="387" spans="20:23" x14ac:dyDescent="0.2">
      <c r="T387" s="36"/>
      <c r="U387" s="53"/>
      <c r="W387" s="58"/>
    </row>
    <row r="388" spans="20:23" x14ac:dyDescent="0.2">
      <c r="T388" s="36"/>
      <c r="U388" s="53"/>
      <c r="W388" s="58"/>
    </row>
    <row r="389" spans="20:23" x14ac:dyDescent="0.2">
      <c r="T389" s="36"/>
      <c r="U389" s="53"/>
      <c r="W389" s="58"/>
    </row>
    <row r="390" spans="20:23" x14ac:dyDescent="0.2">
      <c r="T390" s="36"/>
      <c r="U390" s="53"/>
      <c r="W390" s="58"/>
    </row>
    <row r="391" spans="20:23" x14ac:dyDescent="0.2">
      <c r="T391" s="36"/>
      <c r="U391" s="53"/>
      <c r="W391" s="58"/>
    </row>
    <row r="392" spans="20:23" x14ac:dyDescent="0.2">
      <c r="T392" s="36"/>
      <c r="U392" s="53"/>
      <c r="W392" s="58"/>
    </row>
    <row r="393" spans="20:23" x14ac:dyDescent="0.2">
      <c r="T393" s="36"/>
      <c r="U393" s="56"/>
      <c r="V393" s="57"/>
      <c r="W393" s="58"/>
    </row>
    <row r="394" spans="20:23" x14ac:dyDescent="0.2">
      <c r="T394" s="36"/>
      <c r="U394" s="53"/>
      <c r="W394" s="58"/>
    </row>
    <row r="395" spans="20:23" x14ac:dyDescent="0.2">
      <c r="T395" s="36"/>
      <c r="U395" s="53"/>
      <c r="W395" s="58"/>
    </row>
    <row r="396" spans="20:23" x14ac:dyDescent="0.2">
      <c r="T396" s="36"/>
      <c r="U396" s="53"/>
      <c r="W396" s="58"/>
    </row>
    <row r="397" spans="20:23" x14ac:dyDescent="0.2">
      <c r="T397" s="36"/>
      <c r="U397" s="53"/>
      <c r="W397" s="58"/>
    </row>
    <row r="398" spans="20:23" x14ac:dyDescent="0.2">
      <c r="T398" s="36"/>
      <c r="U398" s="53"/>
      <c r="W398" s="58"/>
    </row>
    <row r="399" spans="20:23" x14ac:dyDescent="0.2">
      <c r="T399" s="36"/>
      <c r="U399" s="53"/>
      <c r="W399" s="58"/>
    </row>
    <row r="400" spans="20:23" x14ac:dyDescent="0.2">
      <c r="T400" s="36"/>
      <c r="U400" s="53"/>
      <c r="W400" s="58"/>
    </row>
    <row r="401" spans="20:23" x14ac:dyDescent="0.2">
      <c r="T401" s="36"/>
      <c r="U401" s="53"/>
      <c r="W401" s="58"/>
    </row>
    <row r="402" spans="20:23" x14ac:dyDescent="0.2">
      <c r="T402" s="36"/>
      <c r="U402" s="53"/>
      <c r="W402" s="58"/>
    </row>
    <row r="403" spans="20:23" x14ac:dyDescent="0.2">
      <c r="T403" s="36"/>
      <c r="U403" s="53"/>
      <c r="W403" s="58"/>
    </row>
    <row r="404" spans="20:23" x14ac:dyDescent="0.2">
      <c r="T404" s="36"/>
      <c r="U404" s="53"/>
      <c r="W404" s="58"/>
    </row>
    <row r="405" spans="20:23" x14ac:dyDescent="0.2">
      <c r="T405" s="36"/>
      <c r="U405" s="53"/>
      <c r="W405" s="58"/>
    </row>
    <row r="406" spans="20:23" x14ac:dyDescent="0.2">
      <c r="T406" s="36"/>
      <c r="U406" s="53"/>
      <c r="W406" s="58"/>
    </row>
    <row r="407" spans="20:23" x14ac:dyDescent="0.2">
      <c r="T407" s="36"/>
      <c r="U407" s="53"/>
      <c r="W407" s="58"/>
    </row>
    <row r="408" spans="20:23" x14ac:dyDescent="0.2">
      <c r="T408" s="36"/>
      <c r="U408" s="53"/>
      <c r="W408" s="58"/>
    </row>
    <row r="409" spans="20:23" x14ac:dyDescent="0.2">
      <c r="T409" s="36"/>
      <c r="U409" s="53"/>
      <c r="W409" s="58"/>
    </row>
    <row r="410" spans="20:23" x14ac:dyDescent="0.2">
      <c r="T410" s="36"/>
      <c r="U410" s="53"/>
      <c r="W410" s="58"/>
    </row>
    <row r="411" spans="20:23" x14ac:dyDescent="0.2">
      <c r="T411" s="36"/>
      <c r="U411" s="53"/>
      <c r="W411" s="58"/>
    </row>
    <row r="412" spans="20:23" x14ac:dyDescent="0.2">
      <c r="T412" s="36"/>
      <c r="U412" s="53"/>
      <c r="W412" s="58"/>
    </row>
    <row r="413" spans="20:23" x14ac:dyDescent="0.2">
      <c r="T413" s="36"/>
      <c r="U413" s="53"/>
      <c r="W413" s="58"/>
    </row>
    <row r="414" spans="20:23" x14ac:dyDescent="0.2">
      <c r="T414" s="36"/>
      <c r="U414" s="53"/>
      <c r="W414" s="58"/>
    </row>
    <row r="415" spans="20:23" x14ac:dyDescent="0.2">
      <c r="T415" s="36"/>
      <c r="U415" s="53"/>
      <c r="W415" s="58"/>
    </row>
    <row r="416" spans="20:23" x14ac:dyDescent="0.2">
      <c r="T416" s="36"/>
      <c r="U416" s="53"/>
      <c r="W416" s="58"/>
    </row>
    <row r="417" spans="20:23" x14ac:dyDescent="0.2">
      <c r="T417" s="36"/>
      <c r="U417" s="53"/>
      <c r="W417" s="58"/>
    </row>
    <row r="418" spans="20:23" x14ac:dyDescent="0.2">
      <c r="T418" s="36"/>
      <c r="U418" s="53"/>
      <c r="W418" s="58"/>
    </row>
    <row r="419" spans="20:23" x14ac:dyDescent="0.2">
      <c r="T419" s="36"/>
      <c r="U419" s="53"/>
      <c r="W419" s="58"/>
    </row>
    <row r="420" spans="20:23" x14ac:dyDescent="0.2">
      <c r="T420" s="36"/>
      <c r="U420" s="53"/>
      <c r="W420" s="58"/>
    </row>
    <row r="421" spans="20:23" x14ac:dyDescent="0.2">
      <c r="T421" s="36"/>
      <c r="U421" s="53"/>
      <c r="W421" s="58"/>
    </row>
    <row r="422" spans="20:23" x14ac:dyDescent="0.2">
      <c r="T422" s="36"/>
      <c r="U422" s="53"/>
      <c r="W422" s="58"/>
    </row>
    <row r="423" spans="20:23" x14ac:dyDescent="0.2">
      <c r="T423" s="36"/>
      <c r="U423" s="53"/>
      <c r="W423" s="58"/>
    </row>
    <row r="424" spans="20:23" x14ac:dyDescent="0.2">
      <c r="T424" s="36"/>
      <c r="U424" s="53"/>
      <c r="W424" s="58"/>
    </row>
    <row r="425" spans="20:23" x14ac:dyDescent="0.2">
      <c r="T425" s="36"/>
      <c r="U425" s="53"/>
      <c r="W425" s="58"/>
    </row>
    <row r="426" spans="20:23" x14ac:dyDescent="0.2">
      <c r="T426" s="36"/>
      <c r="U426" s="53"/>
      <c r="W426" s="58"/>
    </row>
    <row r="427" spans="20:23" x14ac:dyDescent="0.2">
      <c r="T427" s="36"/>
      <c r="U427" s="53"/>
      <c r="W427" s="58"/>
    </row>
    <row r="428" spans="20:23" x14ac:dyDescent="0.2">
      <c r="T428" s="36"/>
      <c r="U428" s="53"/>
      <c r="W428" s="58"/>
    </row>
    <row r="429" spans="20:23" x14ac:dyDescent="0.2">
      <c r="T429" s="36"/>
      <c r="U429" s="53"/>
      <c r="W429" s="58"/>
    </row>
    <row r="430" spans="20:23" x14ac:dyDescent="0.2">
      <c r="T430" s="36"/>
      <c r="U430" s="53"/>
      <c r="W430" s="58"/>
    </row>
    <row r="431" spans="20:23" x14ac:dyDescent="0.2">
      <c r="T431" s="36"/>
      <c r="U431" s="53"/>
      <c r="W431" s="58"/>
    </row>
    <row r="432" spans="20:23" x14ac:dyDescent="0.2">
      <c r="T432" s="36"/>
      <c r="U432" s="53"/>
      <c r="W432" s="58"/>
    </row>
    <row r="433" spans="20:23" x14ac:dyDescent="0.2">
      <c r="T433" s="36"/>
      <c r="U433" s="53"/>
      <c r="W433" s="58"/>
    </row>
    <row r="434" spans="20:23" x14ac:dyDescent="0.2">
      <c r="T434" s="36"/>
      <c r="U434" s="53"/>
      <c r="W434" s="58"/>
    </row>
    <row r="435" spans="20:23" x14ac:dyDescent="0.2">
      <c r="T435" s="36"/>
      <c r="U435" s="53"/>
      <c r="W435" s="58"/>
    </row>
    <row r="436" spans="20:23" x14ac:dyDescent="0.2">
      <c r="T436" s="36"/>
      <c r="U436" s="53"/>
      <c r="W436" s="58"/>
    </row>
    <row r="437" spans="20:23" x14ac:dyDescent="0.2">
      <c r="T437" s="36"/>
      <c r="U437" s="53"/>
      <c r="W437" s="58"/>
    </row>
    <row r="438" spans="20:23" x14ac:dyDescent="0.2">
      <c r="T438" s="36"/>
      <c r="U438" s="53"/>
      <c r="W438" s="58"/>
    </row>
    <row r="439" spans="20:23" x14ac:dyDescent="0.2">
      <c r="T439" s="36"/>
      <c r="U439" s="53"/>
      <c r="W439" s="58"/>
    </row>
    <row r="440" spans="20:23" x14ac:dyDescent="0.2">
      <c r="T440" s="36"/>
      <c r="U440" s="53"/>
      <c r="W440" s="58"/>
    </row>
    <row r="441" spans="20:23" x14ac:dyDescent="0.2">
      <c r="T441" s="36"/>
      <c r="U441" s="53"/>
      <c r="W441" s="58"/>
    </row>
    <row r="442" spans="20:23" x14ac:dyDescent="0.2">
      <c r="T442" s="36"/>
      <c r="U442" s="53"/>
      <c r="W442" s="58"/>
    </row>
    <row r="443" spans="20:23" x14ac:dyDescent="0.2">
      <c r="T443" s="36"/>
      <c r="U443" s="53"/>
      <c r="W443" s="58"/>
    </row>
    <row r="444" spans="20:23" x14ac:dyDescent="0.2">
      <c r="T444" s="36"/>
      <c r="U444" s="53"/>
      <c r="W444" s="58"/>
    </row>
    <row r="445" spans="20:23" x14ac:dyDescent="0.2">
      <c r="T445" s="36"/>
      <c r="U445" s="53"/>
      <c r="W445" s="58"/>
    </row>
    <row r="446" spans="20:23" x14ac:dyDescent="0.2">
      <c r="T446" s="36"/>
      <c r="U446" s="53"/>
      <c r="W446" s="58"/>
    </row>
    <row r="447" spans="20:23" x14ac:dyDescent="0.2">
      <c r="T447" s="36"/>
      <c r="U447" s="53"/>
      <c r="W447" s="58"/>
    </row>
    <row r="448" spans="20:23" x14ac:dyDescent="0.2">
      <c r="T448" s="36"/>
      <c r="U448" s="53"/>
      <c r="W448" s="58"/>
    </row>
    <row r="449" spans="20:23" x14ac:dyDescent="0.2">
      <c r="T449" s="36"/>
      <c r="U449" s="53"/>
      <c r="W449" s="58"/>
    </row>
    <row r="450" spans="20:23" x14ac:dyDescent="0.2">
      <c r="T450" s="36"/>
      <c r="U450" s="53"/>
      <c r="W450" s="58"/>
    </row>
    <row r="451" spans="20:23" x14ac:dyDescent="0.2">
      <c r="T451" s="36"/>
      <c r="U451" s="53"/>
      <c r="W451" s="58"/>
    </row>
    <row r="452" spans="20:23" x14ac:dyDescent="0.2">
      <c r="T452" s="36"/>
      <c r="U452" s="53"/>
      <c r="W452" s="58"/>
    </row>
    <row r="453" spans="20:23" x14ac:dyDescent="0.2">
      <c r="T453" s="36"/>
      <c r="U453" s="53"/>
      <c r="W453" s="58"/>
    </row>
    <row r="454" spans="20:23" x14ac:dyDescent="0.2">
      <c r="T454" s="36"/>
      <c r="U454" s="53"/>
      <c r="W454" s="58"/>
    </row>
    <row r="455" spans="20:23" x14ac:dyDescent="0.2">
      <c r="T455" s="36"/>
      <c r="U455" s="53"/>
      <c r="W455" s="58"/>
    </row>
    <row r="456" spans="20:23" x14ac:dyDescent="0.2">
      <c r="U456" s="53"/>
    </row>
    <row r="457" spans="20:23" x14ac:dyDescent="0.2">
      <c r="U457" s="53"/>
    </row>
    <row r="458" spans="20:23" x14ac:dyDescent="0.2">
      <c r="U458" s="53"/>
    </row>
    <row r="459" spans="20:23" x14ac:dyDescent="0.2">
      <c r="U459" s="53"/>
    </row>
    <row r="460" spans="20:23" x14ac:dyDescent="0.2">
      <c r="U460" s="53"/>
    </row>
    <row r="461" spans="20:23" x14ac:dyDescent="0.2">
      <c r="U461" s="53"/>
    </row>
    <row r="462" spans="20:23" x14ac:dyDescent="0.2">
      <c r="U462" s="53"/>
    </row>
    <row r="463" spans="20:23" x14ac:dyDescent="0.2">
      <c r="U463" s="53"/>
    </row>
    <row r="464" spans="20:23" x14ac:dyDescent="0.2">
      <c r="U464" s="53"/>
    </row>
    <row r="465" spans="21:21" x14ac:dyDescent="0.2">
      <c r="U465" s="5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ulate">
                <anchor moveWithCells="1" sizeWithCells="1">
                  <from>
                    <xdr:col>13</xdr:col>
                    <xdr:colOff>95250</xdr:colOff>
                    <xdr:row>0</xdr:row>
                    <xdr:rowOff>76200</xdr:rowOff>
                  </from>
                  <to>
                    <xdr:col>14</xdr:col>
                    <xdr:colOff>190500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P380"/>
  <sheetViews>
    <sheetView topLeftCell="A231" workbookViewId="0">
      <selection activeCell="J310" sqref="J310"/>
    </sheetView>
  </sheetViews>
  <sheetFormatPr defaultRowHeight="12.75" x14ac:dyDescent="0.2"/>
  <cols>
    <col min="1" max="1" width="11.5703125" bestFit="1" customWidth="1"/>
    <col min="2" max="2" width="13.7109375" bestFit="1" customWidth="1"/>
    <col min="3" max="3" width="14.5703125" bestFit="1" customWidth="1"/>
    <col min="9" max="9" width="12.42578125" bestFit="1" customWidth="1"/>
    <col min="10" max="10" width="20.85546875" customWidth="1"/>
    <col min="11" max="12" width="10.28515625" bestFit="1" customWidth="1"/>
    <col min="13" max="13" width="10.28515625" customWidth="1"/>
  </cols>
  <sheetData>
    <row r="1" spans="1:328" x14ac:dyDescent="0.2">
      <c r="A1" t="s">
        <v>34</v>
      </c>
      <c r="B1" t="s">
        <v>35</v>
      </c>
      <c r="C1" t="s">
        <v>36</v>
      </c>
      <c r="D1" t="s">
        <v>37</v>
      </c>
      <c r="E1" s="52" t="s">
        <v>38</v>
      </c>
      <c r="F1" s="52" t="s">
        <v>39</v>
      </c>
      <c r="H1" s="52" t="s">
        <v>40</v>
      </c>
      <c r="J1" s="52" t="s">
        <v>41</v>
      </c>
      <c r="K1" s="52">
        <v>1562.5</v>
      </c>
      <c r="L1" s="52">
        <v>1562.5</v>
      </c>
      <c r="M1" s="52"/>
      <c r="Y1" s="67"/>
      <c r="Z1" s="67"/>
      <c r="AA1" s="67"/>
      <c r="AB1" s="67"/>
      <c r="AC1" s="67"/>
      <c r="AD1" s="67"/>
      <c r="AE1" s="67"/>
      <c r="AG1" s="67"/>
      <c r="AI1" s="67"/>
      <c r="AJ1" s="67"/>
      <c r="AK1" s="67"/>
      <c r="AM1" s="67"/>
      <c r="AN1" s="67"/>
      <c r="AO1" s="67"/>
      <c r="AP1" s="67"/>
      <c r="AU1" s="67"/>
      <c r="AX1" s="67"/>
      <c r="AZ1" s="67"/>
      <c r="BB1" s="67"/>
      <c r="BC1" s="67"/>
      <c r="BD1" s="67"/>
      <c r="BE1" s="67"/>
      <c r="BU1" s="67"/>
      <c r="BW1" s="67"/>
      <c r="BX1" s="67"/>
      <c r="BY1" s="67"/>
      <c r="CC1" s="67"/>
      <c r="CD1" s="67"/>
      <c r="CE1" s="67"/>
      <c r="CH1" s="67"/>
      <c r="CI1" s="67"/>
      <c r="CJ1" s="67"/>
      <c r="CL1" s="67"/>
      <c r="CM1" s="67"/>
      <c r="CR1" s="67"/>
      <c r="CS1" s="67"/>
      <c r="CT1" s="67"/>
      <c r="CU1" s="67"/>
      <c r="CV1" s="67"/>
      <c r="DA1" s="67"/>
      <c r="DB1" s="67"/>
      <c r="DD1" s="67"/>
      <c r="DE1" s="67"/>
      <c r="DG1" s="67"/>
      <c r="DH1" s="67"/>
      <c r="DI1" s="67"/>
      <c r="DL1" s="67"/>
      <c r="DM1" s="67"/>
      <c r="DN1" s="67"/>
      <c r="GF1" s="67"/>
      <c r="GG1" s="67"/>
      <c r="HG1" s="67"/>
      <c r="HH1" s="67"/>
      <c r="HI1" s="67"/>
      <c r="HP1" s="67"/>
      <c r="HQ1" s="67"/>
      <c r="HR1" s="67"/>
      <c r="HS1" s="67"/>
      <c r="IC1" s="67"/>
      <c r="ID1" s="67"/>
      <c r="II1" s="67"/>
      <c r="IJ1" s="67"/>
      <c r="IK1" s="67"/>
      <c r="IM1" s="67"/>
      <c r="IN1" s="67"/>
      <c r="IP1" s="67"/>
      <c r="IQ1" s="67"/>
      <c r="IR1" s="67"/>
      <c r="IX1" s="67"/>
      <c r="IY1" s="67"/>
      <c r="IZ1" s="67"/>
      <c r="JC1" s="67"/>
      <c r="JD1" s="67"/>
      <c r="JE1" s="67"/>
      <c r="JF1" s="67"/>
      <c r="JG1" s="67"/>
      <c r="JI1" s="67"/>
      <c r="JJ1" s="67"/>
      <c r="JK1" s="67"/>
      <c r="JL1" s="67"/>
      <c r="JM1" s="67"/>
      <c r="JN1" s="67"/>
      <c r="JO1" s="67"/>
      <c r="KK1" s="67"/>
      <c r="KL1" s="67"/>
      <c r="KN1" s="67"/>
      <c r="KO1" s="67"/>
      <c r="KQ1" s="67"/>
      <c r="KR1" s="67"/>
      <c r="KS1" s="67"/>
      <c r="KV1" s="67"/>
      <c r="KW1" s="67"/>
      <c r="KY1" s="67"/>
      <c r="KZ1" s="67"/>
      <c r="LA1" s="67"/>
      <c r="LC1" s="67"/>
      <c r="LF1" s="67"/>
      <c r="LI1" s="67"/>
      <c r="LL1" s="67"/>
      <c r="LM1" s="67"/>
    </row>
    <row r="2" spans="1:328" x14ac:dyDescent="0.2">
      <c r="A2">
        <v>1.27307481762103</v>
      </c>
      <c r="B2" s="68">
        <v>-0.857868053737875</v>
      </c>
      <c r="C2">
        <v>-0.49820118568323501</v>
      </c>
      <c r="D2">
        <v>0</v>
      </c>
      <c r="E2">
        <v>0.109753849190006</v>
      </c>
      <c r="F2">
        <v>8.7448367531393796E-3</v>
      </c>
      <c r="G2">
        <f>SQRT(Calcs!J3)</f>
        <v>0.10471781610741841</v>
      </c>
      <c r="H2" s="71">
        <f>E2-G2</f>
        <v>5.0360330825875849E-3</v>
      </c>
      <c r="I2" s="70">
        <f>LN(Calcs!L4/Calcs!L3)</f>
        <v>1.6880930453360289E-3</v>
      </c>
      <c r="J2" s="76">
        <f>I2-F2</f>
        <v>-7.0567437078033505E-3</v>
      </c>
      <c r="K2" s="72">
        <f>EXP(I2)*K1</f>
        <v>1565.1398729320115</v>
      </c>
      <c r="L2" s="72">
        <f>EXP(F2)*L1</f>
        <v>1576.2237258410296</v>
      </c>
      <c r="M2" s="75">
        <f>K2-L2</f>
        <v>-11.083852909018105</v>
      </c>
      <c r="N2">
        <v>8.7448367531393796E-3</v>
      </c>
      <c r="O2">
        <v>-7.3209377175846504E-4</v>
      </c>
      <c r="P2">
        <v>-8.0538646525720597E-3</v>
      </c>
      <c r="Q2">
        <v>-1.1128297689692399E-2</v>
      </c>
      <c r="R2">
        <v>-1.4562573868788901E-2</v>
      </c>
      <c r="S2">
        <v>1.1655565834784399E-3</v>
      </c>
      <c r="T2">
        <v>-9.2146005513178402E-3</v>
      </c>
      <c r="U2">
        <v>9.7337080259572006E-3</v>
      </c>
      <c r="V2">
        <v>-2.7121586704163601E-3</v>
      </c>
      <c r="W2" s="67">
        <v>5.5174141467301098E-3</v>
      </c>
      <c r="X2" s="67">
        <v>-8.7922471678912005E-3</v>
      </c>
      <c r="Y2" s="67">
        <v>-7.7309661007166301E-3</v>
      </c>
      <c r="Z2" s="67">
        <v>1.5481402124789901E-2</v>
      </c>
      <c r="AA2" s="67">
        <v>1.08838771908272E-2</v>
      </c>
      <c r="AB2" s="67">
        <v>3.5817633574542701E-3</v>
      </c>
      <c r="AC2" s="67">
        <v>-1.6042852774736199E-2</v>
      </c>
      <c r="AD2" s="67">
        <v>9.5637866387933406E-3</v>
      </c>
      <c r="AE2" s="67">
        <v>1.1273526346962199E-2</v>
      </c>
      <c r="AF2">
        <v>1.0565102194300101E-3</v>
      </c>
      <c r="AG2" s="67">
        <v>-3.3101580007050303E-5</v>
      </c>
      <c r="AH2" s="67">
        <v>4.1958792555518801E-4</v>
      </c>
      <c r="AI2" s="67">
        <v>5.3450349371563003E-5</v>
      </c>
      <c r="AJ2" s="67">
        <v>5.3450349371563003E-5</v>
      </c>
      <c r="AK2" s="67">
        <v>5.3450349371563003E-5</v>
      </c>
      <c r="AL2" s="67">
        <v>5.3450349371563003E-5</v>
      </c>
      <c r="AM2" s="67">
        <v>5.3450349371563003E-5</v>
      </c>
      <c r="AN2" s="67">
        <v>-6.3989804858677205E-4</v>
      </c>
      <c r="AO2" s="67">
        <v>-7.6718087987511403E-3</v>
      </c>
      <c r="AP2" s="67">
        <v>-8.2434974115353707E-3</v>
      </c>
      <c r="AQ2">
        <v>-1.0033142029469101E-3</v>
      </c>
      <c r="AR2">
        <v>7.04786654443259E-3</v>
      </c>
      <c r="AS2" s="67">
        <v>-1.46985343965681E-3</v>
      </c>
      <c r="AT2">
        <v>-7.9700233917484702E-3</v>
      </c>
      <c r="AU2" s="67">
        <v>-7.9435615636169292E-3</v>
      </c>
      <c r="AV2" s="67">
        <v>-8.8398498439803894E-3</v>
      </c>
      <c r="AW2">
        <v>6.3550153746629798E-3</v>
      </c>
      <c r="AX2" s="67">
        <v>-3.6593960277366199E-3</v>
      </c>
      <c r="AY2">
        <v>-1.35335692530782E-3</v>
      </c>
      <c r="AZ2" s="67">
        <v>7.7540043342613999E-3</v>
      </c>
      <c r="BA2" s="67">
        <v>-1.0127301657490101E-3</v>
      </c>
      <c r="BB2" s="67">
        <v>-6.4815782616914298E-4</v>
      </c>
      <c r="BC2" s="67">
        <v>-2.8741727269612901E-4</v>
      </c>
      <c r="BD2" s="67">
        <v>-1.4876338510737301E-3</v>
      </c>
      <c r="BE2" s="67">
        <v>5.3495552228327104E-3</v>
      </c>
      <c r="BF2">
        <v>-5.6711315237095304E-4</v>
      </c>
      <c r="BG2">
        <v>3.8302497962070001E-3</v>
      </c>
      <c r="BH2" s="67">
        <v>5.9805187547615602E-5</v>
      </c>
      <c r="BI2">
        <v>1.7943016712711501E-3</v>
      </c>
      <c r="BJ2" s="67">
        <v>5.9805187547615602E-5</v>
      </c>
      <c r="BK2" s="67">
        <v>5.9805187547615602E-5</v>
      </c>
      <c r="BL2" s="67">
        <v>5.9805187547615602E-5</v>
      </c>
      <c r="BM2" s="67">
        <v>5.9805187547615602E-5</v>
      </c>
      <c r="BN2" s="67">
        <v>5.9805187547615602E-5</v>
      </c>
      <c r="BO2" s="67">
        <v>5.9805187547615602E-5</v>
      </c>
      <c r="BP2" s="67">
        <v>5.9805187547615602E-5</v>
      </c>
      <c r="BQ2" s="67">
        <v>5.9805187547615602E-5</v>
      </c>
      <c r="BR2">
        <v>-7.6350072148007096E-4</v>
      </c>
      <c r="BS2" s="67">
        <v>-4.3465133992089599E-4</v>
      </c>
      <c r="BT2" s="67">
        <v>5.9805187547615602E-5</v>
      </c>
      <c r="BU2" s="67">
        <v>-6.72297575403397E-4</v>
      </c>
      <c r="BV2" s="67">
        <v>-3.83776897752186E-3</v>
      </c>
      <c r="BW2" s="67">
        <v>4.8329651655705701E-3</v>
      </c>
      <c r="BX2" s="67">
        <v>-1.8894001745707099E-3</v>
      </c>
      <c r="BY2" s="67">
        <v>1.2529477570647299E-2</v>
      </c>
      <c r="BZ2">
        <v>-4.2950239556692801E-3</v>
      </c>
      <c r="CA2" s="67">
        <v>1.02362329891061E-3</v>
      </c>
      <c r="CB2" s="67">
        <v>7.7737965775115502E-3</v>
      </c>
      <c r="CC2" s="67">
        <v>6.92859712936463E-3</v>
      </c>
      <c r="CD2" s="67">
        <v>2.73383744736436E-5</v>
      </c>
      <c r="CE2" s="67">
        <v>2.73383744736436E-5</v>
      </c>
      <c r="CF2" s="67">
        <v>2.73383744736436E-5</v>
      </c>
      <c r="CG2" s="67">
        <v>-3.7620865770694799E-4</v>
      </c>
      <c r="CH2" s="67">
        <v>-9.6529563063429795E-4</v>
      </c>
      <c r="CI2" s="67">
        <v>-1.62702011281603E-3</v>
      </c>
      <c r="CJ2" s="67">
        <v>4.268184439167E-3</v>
      </c>
      <c r="CK2" s="67">
        <v>2.73383744736436E-5</v>
      </c>
      <c r="CL2" s="67">
        <v>-5.3463849741773996E-4</v>
      </c>
      <c r="CM2" s="67">
        <v>4.8191204168239899E-4</v>
      </c>
      <c r="CN2" s="67">
        <v>2.73383744736436E-5</v>
      </c>
      <c r="CO2" s="67">
        <v>2.73383744736436E-5</v>
      </c>
      <c r="CP2" s="67">
        <v>2.73383744736436E-5</v>
      </c>
      <c r="CQ2" s="67">
        <v>2.73383744736436E-5</v>
      </c>
      <c r="CR2" s="67">
        <v>2.73383744736436E-5</v>
      </c>
      <c r="CS2" s="67">
        <v>5.4876100276827201E-5</v>
      </c>
      <c r="CT2" s="67">
        <v>5.4876100276827201E-5</v>
      </c>
      <c r="CU2" s="67">
        <v>5.4876100276827201E-5</v>
      </c>
      <c r="CV2" s="67">
        <v>-5.9534441835687102E-3</v>
      </c>
      <c r="CW2">
        <v>-2.1785663915082402E-3</v>
      </c>
      <c r="CX2">
        <v>-2.6390796243845399E-4</v>
      </c>
      <c r="CY2" s="67">
        <v>9.9830406139676808E-4</v>
      </c>
      <c r="CZ2" s="67">
        <v>5.0658838390477603E-3</v>
      </c>
      <c r="DA2" s="67">
        <v>-7.4783007851291798E-3</v>
      </c>
      <c r="DB2" s="67">
        <v>1.06457733159017E-2</v>
      </c>
      <c r="DC2" s="67">
        <v>2.8348220830570199E-3</v>
      </c>
      <c r="DD2" s="67">
        <v>1.4278421569281099E-4</v>
      </c>
      <c r="DE2" s="67">
        <v>5.4876100276827201E-5</v>
      </c>
      <c r="DF2" s="67">
        <v>5.4876100276827201E-5</v>
      </c>
      <c r="DG2" s="67">
        <v>5.4876100276827201E-5</v>
      </c>
      <c r="DH2" s="67">
        <v>3.4748895303875701E-5</v>
      </c>
      <c r="DI2" s="67">
        <v>1.7535235055732401E-4</v>
      </c>
      <c r="DJ2" s="67">
        <v>6.95469791268618E-4</v>
      </c>
      <c r="DK2" s="67">
        <v>5.4876100276827201E-5</v>
      </c>
      <c r="DL2" s="67">
        <v>5.4876100276827201E-5</v>
      </c>
      <c r="DM2" s="67">
        <v>5.4876100276827201E-5</v>
      </c>
      <c r="DN2" s="67">
        <v>-1.7678274481331999E-4</v>
      </c>
      <c r="DO2">
        <v>2.1188985556756099E-4</v>
      </c>
      <c r="DP2">
        <v>-1.4361144274520701E-3</v>
      </c>
      <c r="DQ2">
        <v>-2.96423361618069E-3</v>
      </c>
      <c r="DR2">
        <v>2.9267713891366199E-3</v>
      </c>
      <c r="DS2">
        <v>-1.8841848645518001E-3</v>
      </c>
      <c r="DT2">
        <v>-3.29136285590656E-3</v>
      </c>
      <c r="DU2">
        <v>3.4602587364699301E-3</v>
      </c>
      <c r="DV2">
        <v>2.7130873415351299E-3</v>
      </c>
      <c r="DW2" s="67">
        <v>4.3725105950811999E-5</v>
      </c>
      <c r="DX2">
        <v>1.03916395232722E-3</v>
      </c>
      <c r="DY2" s="67">
        <v>4.3725105950811999E-5</v>
      </c>
      <c r="DZ2" s="67">
        <v>4.3725105950811999E-5</v>
      </c>
      <c r="EA2" s="67">
        <v>4.3725105950811999E-5</v>
      </c>
      <c r="EB2">
        <v>1.2065846716692299E-3</v>
      </c>
      <c r="EC2" s="67">
        <v>4.3725105950811999E-5</v>
      </c>
      <c r="ED2" s="67">
        <v>4.3725105950811999E-5</v>
      </c>
      <c r="EE2">
        <v>-1.2676630067548001E-3</v>
      </c>
      <c r="EF2">
        <v>-7.7627984378544402E-4</v>
      </c>
      <c r="EG2">
        <v>4.57493873132854E-4</v>
      </c>
      <c r="EH2">
        <v>6.6324264894764102E-3</v>
      </c>
      <c r="EI2">
        <v>-1.0195451498220399E-3</v>
      </c>
      <c r="EJ2">
        <v>4.3740537282764802E-4</v>
      </c>
      <c r="EK2" s="67">
        <v>4.3725105950811999E-5</v>
      </c>
      <c r="EL2" s="67">
        <v>4.3725105950811999E-5</v>
      </c>
      <c r="EM2" s="67">
        <v>4.3725105950811999E-5</v>
      </c>
      <c r="EN2" s="67">
        <v>4.3725105950811999E-5</v>
      </c>
      <c r="EO2">
        <v>5.2376225087426599E-3</v>
      </c>
      <c r="EP2">
        <v>4.5209594387531603E-3</v>
      </c>
      <c r="EQ2" s="67">
        <v>4.3725105950811999E-5</v>
      </c>
      <c r="ER2" s="67">
        <v>4.3725105950811999E-5</v>
      </c>
      <c r="ES2" s="67">
        <v>4.3725105950811999E-5</v>
      </c>
      <c r="ET2" s="67">
        <v>4.3725105950811999E-5</v>
      </c>
      <c r="EU2" s="67">
        <v>4.3725105950811999E-5</v>
      </c>
      <c r="EV2">
        <v>8.8350287651973601E-4</v>
      </c>
      <c r="EW2">
        <v>-1.02325910153241E-3</v>
      </c>
      <c r="EX2">
        <v>-5.3540073353615901E-3</v>
      </c>
      <c r="EY2">
        <v>-1.9606274668253999E-3</v>
      </c>
      <c r="EZ2">
        <v>-4.5353208139479601E-3</v>
      </c>
      <c r="FA2">
        <v>-4.1814373120067898E-3</v>
      </c>
      <c r="FB2">
        <v>1.6784959636771499E-2</v>
      </c>
      <c r="FC2">
        <v>-5.0867420630721196E-3</v>
      </c>
      <c r="FD2">
        <v>-5.1136905043968599E-3</v>
      </c>
      <c r="FE2">
        <v>1.2158483736844001E-3</v>
      </c>
      <c r="FF2">
        <v>3.2682707232123799E-4</v>
      </c>
      <c r="FG2">
        <v>1.12782682714262E-3</v>
      </c>
      <c r="FH2">
        <v>-1.1123764231362699E-3</v>
      </c>
      <c r="FI2">
        <v>-4.07018593288713E-3</v>
      </c>
      <c r="FJ2">
        <v>3.36747625083944E-4</v>
      </c>
      <c r="FK2">
        <v>3.7120001726040101E-3</v>
      </c>
      <c r="FL2" s="67">
        <v>4.3725105950811999E-5</v>
      </c>
      <c r="FM2">
        <v>1.04773386305025E-4</v>
      </c>
      <c r="FN2" s="67">
        <v>4.3725105950811999E-5</v>
      </c>
      <c r="FO2" s="67">
        <v>4.3725105950811999E-5</v>
      </c>
      <c r="FP2">
        <v>1.4011502137307201E-3</v>
      </c>
      <c r="FQ2" s="67">
        <v>4.3725105950811999E-5</v>
      </c>
      <c r="FR2">
        <v>8.4594407628738803E-4</v>
      </c>
      <c r="FS2">
        <v>-2.6900982662722002E-3</v>
      </c>
      <c r="FT2">
        <v>3.8907260430250802E-3</v>
      </c>
      <c r="FU2">
        <v>5.5249522318652597E-4</v>
      </c>
      <c r="FV2">
        <v>2.3182795071671602E-3</v>
      </c>
      <c r="FW2">
        <v>8.9297591236086802E-4</v>
      </c>
      <c r="FX2" s="67">
        <v>4.3725105950811999E-5</v>
      </c>
      <c r="FY2">
        <v>2.2919775618027599E-3</v>
      </c>
      <c r="FZ2" s="67">
        <v>4.3725105950811999E-5</v>
      </c>
      <c r="GA2">
        <v>-3.2811260233358299E-3</v>
      </c>
      <c r="GB2">
        <v>-1.07883796289742E-2</v>
      </c>
      <c r="GC2">
        <v>1.09550800807814E-2</v>
      </c>
      <c r="GD2" s="67">
        <v>3.5862631896530399E-3</v>
      </c>
      <c r="GE2" s="67">
        <v>-2.82178390958219E-3</v>
      </c>
      <c r="GF2" s="67">
        <v>7.5838486022598503E-4</v>
      </c>
      <c r="GG2" s="67">
        <v>-2.50456790235871E-3</v>
      </c>
      <c r="GH2">
        <v>-6.3522706893284703E-3</v>
      </c>
      <c r="GI2">
        <v>1.4943749710320099E-3</v>
      </c>
      <c r="GJ2">
        <v>-6.8328593026643E-3</v>
      </c>
      <c r="GK2">
        <v>-3.1381447785694102E-3</v>
      </c>
      <c r="GL2">
        <v>2.6857668098146498E-3</v>
      </c>
      <c r="GM2">
        <v>-4.01575035039267E-3</v>
      </c>
      <c r="GN2">
        <v>1.0190158145047901E-3</v>
      </c>
      <c r="GO2">
        <v>-5.8018825803354901E-3</v>
      </c>
      <c r="GP2">
        <v>-2.13811906246215E-3</v>
      </c>
      <c r="GQ2">
        <v>7.1995648178097499E-3</v>
      </c>
      <c r="GR2">
        <v>7.1378714602237498E-4</v>
      </c>
      <c r="GS2">
        <v>-4.7143232741238801E-3</v>
      </c>
      <c r="GT2">
        <v>-6.01494130560256E-3</v>
      </c>
      <c r="GU2">
        <v>-4.2000340494791396E-3</v>
      </c>
      <c r="GV2">
        <v>1.0439842571717E-2</v>
      </c>
      <c r="GW2">
        <v>1.84416495473584E-3</v>
      </c>
      <c r="GX2">
        <v>5.7512274620320205E-4</v>
      </c>
      <c r="GY2">
        <v>6.6778815199999603E-4</v>
      </c>
      <c r="GZ2" s="67">
        <v>6.2597647892768702E-5</v>
      </c>
      <c r="HA2" s="67">
        <v>6.2597647892768702E-5</v>
      </c>
      <c r="HB2">
        <v>-2.54381637788361E-4</v>
      </c>
      <c r="HC2">
        <v>-2.9012602256531602E-4</v>
      </c>
      <c r="HD2">
        <v>-1.5681275542151899E-3</v>
      </c>
      <c r="HE2" s="67">
        <v>6.2597647892768702E-5</v>
      </c>
      <c r="HF2" s="67">
        <v>-1.4516070407646501E-3</v>
      </c>
      <c r="HG2" s="67">
        <v>6.2597647892768702E-5</v>
      </c>
      <c r="HH2" s="67">
        <v>6.2597647892768702E-5</v>
      </c>
      <c r="HI2" s="67">
        <v>-6.8864303012821902E-5</v>
      </c>
      <c r="HJ2">
        <v>-1.3824447839737999E-4</v>
      </c>
      <c r="HK2" s="67">
        <v>6.2597647892768702E-5</v>
      </c>
      <c r="HL2" s="67">
        <v>6.2597647892768702E-5</v>
      </c>
      <c r="HM2" s="67">
        <v>6.2597647892768702E-5</v>
      </c>
      <c r="HN2" s="67">
        <v>6.2597647892768702E-5</v>
      </c>
      <c r="HO2" s="67">
        <v>6.3147164389991295E-5</v>
      </c>
      <c r="HP2" s="67">
        <v>6.2597647892768702E-5</v>
      </c>
      <c r="HQ2" s="67">
        <v>8.2426455197111596E-4</v>
      </c>
      <c r="HR2" s="67">
        <v>6.2597647892768702E-5</v>
      </c>
      <c r="HS2" s="67">
        <v>6.2597647892768702E-5</v>
      </c>
      <c r="HT2">
        <v>2.7492576115827399E-3</v>
      </c>
      <c r="HU2">
        <v>-6.21328070658295E-3</v>
      </c>
      <c r="HV2">
        <v>1.1301376155983E-3</v>
      </c>
      <c r="HW2">
        <v>-2.56796515464624E-3</v>
      </c>
      <c r="HX2">
        <v>-6.1104563684490198E-3</v>
      </c>
      <c r="HY2">
        <v>1.6742985671356202E-2</v>
      </c>
      <c r="HZ2">
        <v>3.4369944295595399E-3</v>
      </c>
      <c r="IA2" s="67">
        <v>1.0075197115285201E-2</v>
      </c>
      <c r="IB2" s="67">
        <v>-4.3005167975557299E-4</v>
      </c>
      <c r="IC2" s="67">
        <v>-3.2284455149884901E-3</v>
      </c>
      <c r="ID2" s="67">
        <v>-3.3991178816571601E-3</v>
      </c>
      <c r="IE2">
        <v>1.6455954866495201E-3</v>
      </c>
      <c r="IF2">
        <v>-1.10570381794351E-3</v>
      </c>
      <c r="IG2" s="67">
        <v>5.6269764565717402E-3</v>
      </c>
      <c r="IH2" s="67">
        <v>6.2597647892768702E-5</v>
      </c>
      <c r="II2" s="67">
        <v>-1.2192775630123599E-4</v>
      </c>
      <c r="IJ2" s="67">
        <v>6.2597647892768702E-5</v>
      </c>
      <c r="IK2" s="67">
        <v>3.7258281582696401E-3</v>
      </c>
      <c r="IL2" s="67">
        <v>9.7354689558202504E-4</v>
      </c>
      <c r="IM2" s="67">
        <v>-5.8950157676357397E-3</v>
      </c>
      <c r="IN2" s="67">
        <v>2.8514464661329002E-3</v>
      </c>
      <c r="IO2" s="67">
        <v>-7.3477391975164596E-3</v>
      </c>
      <c r="IP2" s="67">
        <v>-8.6951557883031706E-3</v>
      </c>
      <c r="IQ2" s="67">
        <v>-3.51436396955125E-3</v>
      </c>
      <c r="IR2" s="67">
        <v>1.7004059769972799E-2</v>
      </c>
      <c r="IS2">
        <v>-3.5007592952993201E-3</v>
      </c>
      <c r="IT2">
        <v>1.14783058264336E-2</v>
      </c>
      <c r="IU2">
        <v>4.1386144398171902E-4</v>
      </c>
      <c r="IV2" s="67">
        <v>8.6101076695549901E-3</v>
      </c>
      <c r="IW2" s="67">
        <v>-1.74341661566102E-3</v>
      </c>
      <c r="IX2" s="67">
        <v>5.8881463396270298E-4</v>
      </c>
      <c r="IY2" s="67">
        <v>4.7157683734896597E-3</v>
      </c>
      <c r="IZ2" s="67">
        <v>-4.7378601434236002E-3</v>
      </c>
      <c r="JA2" s="67">
        <v>-6.1246969978833296E-3</v>
      </c>
      <c r="JB2" s="67">
        <v>-2.57374654508456E-3</v>
      </c>
      <c r="JC2" s="67">
        <v>-2.0573620394721001E-3</v>
      </c>
      <c r="JD2" s="67">
        <v>-6.0311789548299797E-3</v>
      </c>
      <c r="JE2" s="67">
        <v>1.05437821637939E-2</v>
      </c>
      <c r="JF2" s="67">
        <v>-7.0540893944168398E-4</v>
      </c>
      <c r="JG2" s="67">
        <v>3.36924138495073E-3</v>
      </c>
      <c r="JH2" s="67">
        <v>1.9857578938766801E-2</v>
      </c>
      <c r="JI2" s="67">
        <v>-1.4015700692036801E-3</v>
      </c>
      <c r="JJ2" s="67">
        <v>-4.94639482582251E-3</v>
      </c>
      <c r="JK2" s="67">
        <v>-4.4416016581360299E-3</v>
      </c>
      <c r="JL2" s="67">
        <v>-4.4314320768239499E-3</v>
      </c>
      <c r="JM2" s="67">
        <v>-1.93311201191014E-3</v>
      </c>
      <c r="JN2" s="67">
        <v>8.1205645936676292E-3</v>
      </c>
      <c r="JO2" s="67">
        <v>1.63754026182008E-3</v>
      </c>
      <c r="JP2">
        <v>-1.53472607905428E-3</v>
      </c>
      <c r="JQ2">
        <v>-1.20331987543965E-3</v>
      </c>
      <c r="JR2">
        <v>9.7412856955059104E-4</v>
      </c>
      <c r="JS2">
        <v>9.0713335034999702E-4</v>
      </c>
      <c r="JT2">
        <v>-1.52164150786545E-4</v>
      </c>
      <c r="JU2" s="67">
        <v>6.2597647892768702E-5</v>
      </c>
      <c r="JV2">
        <v>5.9812865489835198E-4</v>
      </c>
      <c r="JW2">
        <v>-1.36979240120622E-3</v>
      </c>
      <c r="JX2">
        <v>-2.6674575549493699E-4</v>
      </c>
      <c r="JY2">
        <v>9.4311397878392195E-4</v>
      </c>
      <c r="JZ2" s="67">
        <v>6.2597647892768702E-5</v>
      </c>
      <c r="KA2" s="67">
        <v>6.2597647892768702E-5</v>
      </c>
      <c r="KB2">
        <v>4.51315158402123E-4</v>
      </c>
      <c r="KC2" s="67">
        <v>9.0220110896822202E-5</v>
      </c>
      <c r="KD2" s="67">
        <v>6.2597647892768702E-5</v>
      </c>
      <c r="KE2">
        <v>3.44963219591626E-3</v>
      </c>
      <c r="KF2">
        <v>-1.1248171221277599E-3</v>
      </c>
      <c r="KG2">
        <v>5.4326160298717599E-4</v>
      </c>
      <c r="KH2" s="67">
        <v>6.2597647892768702E-5</v>
      </c>
      <c r="KI2" s="67">
        <v>6.2597647892768702E-5</v>
      </c>
      <c r="KJ2" s="67">
        <v>5.8931649082079101E-4</v>
      </c>
      <c r="KK2" s="67">
        <v>6.2597647892768702E-5</v>
      </c>
      <c r="KL2" s="67">
        <v>7.8957870625648297E-4</v>
      </c>
      <c r="KM2" s="67">
        <v>6.2597647892768702E-5</v>
      </c>
      <c r="KN2" s="67">
        <v>6.2597647892768702E-5</v>
      </c>
      <c r="KO2" s="67">
        <v>6.2597647892768702E-5</v>
      </c>
      <c r="KP2" s="67">
        <v>6.2597647892768702E-5</v>
      </c>
      <c r="KQ2" s="67">
        <v>6.2597647892768702E-5</v>
      </c>
      <c r="KR2" s="67">
        <v>6.2597647892768702E-5</v>
      </c>
      <c r="KS2" s="67">
        <v>6.2597647892768702E-5</v>
      </c>
      <c r="KT2" s="67">
        <v>-6.52679467026407E-4</v>
      </c>
      <c r="KU2" s="67">
        <v>1.1897675366957601E-3</v>
      </c>
      <c r="KV2" s="67">
        <v>-7.4040384010438801E-4</v>
      </c>
      <c r="KW2" s="67">
        <v>6.2597647892768702E-5</v>
      </c>
      <c r="KX2" s="67">
        <v>-1.78449257101423E-3</v>
      </c>
      <c r="KY2" s="67">
        <v>-1.2455990630500201E-3</v>
      </c>
      <c r="KZ2" s="67">
        <v>-2.6115237171777999E-3</v>
      </c>
      <c r="LA2" s="67">
        <v>-5.21137843721257E-3</v>
      </c>
      <c r="LB2">
        <v>-7.2103731582983596E-3</v>
      </c>
      <c r="LC2" s="67">
        <v>-4.4020489882285897E-3</v>
      </c>
      <c r="LD2" s="67">
        <v>3.6456858073664299E-3</v>
      </c>
      <c r="LE2">
        <v>5.0989605565155E-3</v>
      </c>
      <c r="LF2" s="67">
        <v>-2.4537795509439798E-3</v>
      </c>
      <c r="LG2" s="67">
        <v>1.7900150793250099E-4</v>
      </c>
      <c r="LH2">
        <v>6.4919711500071899E-3</v>
      </c>
      <c r="LI2" s="67">
        <v>2.2238446826766499E-4</v>
      </c>
      <c r="LJ2" s="67">
        <v>6.2597647892768702E-5</v>
      </c>
      <c r="LK2" s="67">
        <v>-1.5231625759315999E-3</v>
      </c>
      <c r="LL2" s="67">
        <v>1.0722638580550701E-3</v>
      </c>
      <c r="LM2" s="67">
        <v>-2.82690588340872E-4</v>
      </c>
      <c r="LN2">
        <v>1.75351196342656E-3</v>
      </c>
      <c r="LO2" s="67">
        <v>6.2597647892768702E-5</v>
      </c>
      <c r="LP2" s="67">
        <v>6.2597647892768702E-5</v>
      </c>
    </row>
    <row r="3" spans="1:328" x14ac:dyDescent="0.2">
      <c r="A3">
        <v>-0.12923167998551399</v>
      </c>
      <c r="B3" s="69">
        <v>0.45986423973707402</v>
      </c>
      <c r="C3">
        <v>0.62443847529174701</v>
      </c>
      <c r="D3">
        <v>0</v>
      </c>
      <c r="E3">
        <v>8.4137167621339298E-2</v>
      </c>
      <c r="F3">
        <v>-7.3209377175846504E-4</v>
      </c>
      <c r="G3">
        <f>SQRT(Calcs!J4)</f>
        <v>0.12146209205513843</v>
      </c>
      <c r="H3" s="71">
        <f t="shared" ref="H3:H66" si="0">E3-G3</f>
        <v>-3.7324924433799131E-2</v>
      </c>
      <c r="I3" s="70">
        <f>LN(Calcs!L5/Calcs!L4)</f>
        <v>1.1686436596265969E-3</v>
      </c>
      <c r="J3" s="76">
        <f t="shared" ref="J3:J66" si="1">I3-F3</f>
        <v>1.9007374313850618E-3</v>
      </c>
      <c r="K3" s="72">
        <f>EXP(I3)*K2</f>
        <v>1566.9700329150808</v>
      </c>
      <c r="L3" s="72">
        <f>EXP(F3)*L2</f>
        <v>1575.0702045628354</v>
      </c>
      <c r="M3" s="75">
        <f t="shared" ref="M3:M66" si="2">K3-L3</f>
        <v>-8.1001716477546779</v>
      </c>
      <c r="N3">
        <v>0.109753849190006</v>
      </c>
      <c r="O3">
        <v>8.4137167621339298E-2</v>
      </c>
      <c r="P3">
        <v>9.35385224628449E-2</v>
      </c>
      <c r="Q3">
        <v>0.126572961380161</v>
      </c>
      <c r="R3">
        <v>0.15977118208883601</v>
      </c>
      <c r="S3">
        <v>0.198188460804993</v>
      </c>
      <c r="T3">
        <v>0.20271852795093301</v>
      </c>
      <c r="U3">
        <v>0.179397639112097</v>
      </c>
      <c r="V3">
        <v>0.189285582084226</v>
      </c>
      <c r="W3">
        <v>0.20219124778829101</v>
      </c>
      <c r="X3">
        <v>0.171237241727725</v>
      </c>
      <c r="Y3">
        <v>0.19194709207961799</v>
      </c>
      <c r="Z3">
        <v>0.182092051652371</v>
      </c>
      <c r="AA3">
        <v>0.16872654368920101</v>
      </c>
      <c r="AB3">
        <v>0.14110471751850101</v>
      </c>
      <c r="AC3">
        <v>0.11870558676859</v>
      </c>
      <c r="AD3">
        <v>0.152613279632521</v>
      </c>
      <c r="AE3">
        <v>9.8064474825304004E-2</v>
      </c>
      <c r="AF3">
        <v>3.56258369520027E-2</v>
      </c>
      <c r="AG3">
        <v>0</v>
      </c>
      <c r="AH3">
        <v>1.6460706333839101E-2</v>
      </c>
      <c r="AI3">
        <v>0</v>
      </c>
      <c r="AJ3">
        <v>0</v>
      </c>
      <c r="AK3">
        <v>0</v>
      </c>
      <c r="AL3">
        <v>0</v>
      </c>
      <c r="AM3">
        <v>0</v>
      </c>
      <c r="AN3">
        <v>4.6655038321956797E-2</v>
      </c>
      <c r="AO3">
        <v>6.3266314151354697E-2</v>
      </c>
      <c r="AP3">
        <v>8.7131874857163394E-2</v>
      </c>
      <c r="AQ3">
        <v>0.110382255521941</v>
      </c>
      <c r="AR3">
        <v>0.11544213846726301</v>
      </c>
      <c r="AS3">
        <v>0.110600569471133</v>
      </c>
      <c r="AT3">
        <v>8.7588862291387598E-2</v>
      </c>
      <c r="AU3">
        <v>9.4451820633404099E-2</v>
      </c>
      <c r="AV3">
        <v>0.100859633894104</v>
      </c>
      <c r="AW3">
        <v>0.101902552244111</v>
      </c>
      <c r="AX3">
        <v>5.41087112668149E-2</v>
      </c>
      <c r="AY3">
        <v>2.4153433744292001E-2</v>
      </c>
      <c r="AZ3">
        <v>5.12376444882396E-2</v>
      </c>
      <c r="BA3">
        <v>3.9661430565129198E-2</v>
      </c>
      <c r="BB3">
        <v>2.1842388392275699E-2</v>
      </c>
      <c r="BC3">
        <v>5.1967829139853896E-3</v>
      </c>
      <c r="BD3">
        <v>2.3308233104646501E-2</v>
      </c>
      <c r="BE3">
        <v>7.3858529176301202E-2</v>
      </c>
      <c r="BF3">
        <v>4.1111470229249901E-2</v>
      </c>
      <c r="BG3">
        <v>3.8924319366369399E-2</v>
      </c>
      <c r="BH3">
        <v>0</v>
      </c>
      <c r="BI3">
        <v>5.1228219811456303E-2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1.2913820401865299E-2</v>
      </c>
      <c r="BS3">
        <v>1.6930954514419901E-2</v>
      </c>
      <c r="BT3">
        <v>0</v>
      </c>
      <c r="BU3">
        <v>5.8572991589521603E-2</v>
      </c>
      <c r="BV3">
        <v>4.6558776884076197E-2</v>
      </c>
      <c r="BW3">
        <v>7.8338425802457007E-2</v>
      </c>
      <c r="BX3">
        <v>9.7217356025804405E-2</v>
      </c>
      <c r="BY3">
        <v>0.11173326052606</v>
      </c>
      <c r="BZ3">
        <v>8.1927700106675799E-2</v>
      </c>
      <c r="CA3">
        <v>8.6985661008213602E-2</v>
      </c>
      <c r="CB3">
        <v>8.8886434385669802E-2</v>
      </c>
      <c r="CC3">
        <v>4.94103389053532E-2</v>
      </c>
      <c r="CD3">
        <v>0</v>
      </c>
      <c r="CE3">
        <v>0</v>
      </c>
      <c r="CF3">
        <v>0</v>
      </c>
      <c r="CG3">
        <v>1.6480626390850801E-2</v>
      </c>
      <c r="CH3">
        <v>2.5226269731841999E-2</v>
      </c>
      <c r="CI3">
        <v>4.3125115869443099E-2</v>
      </c>
      <c r="CJ3">
        <v>6.3154880461682397E-2</v>
      </c>
      <c r="CK3">
        <v>0</v>
      </c>
      <c r="CL3">
        <v>1.08573534578444E-2</v>
      </c>
      <c r="CM3">
        <v>7.6905911471630102E-3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3.9411204974484401E-2</v>
      </c>
      <c r="CW3">
        <v>6.2314495827434299E-2</v>
      </c>
      <c r="CX3">
        <v>7.7691653372158304E-2</v>
      </c>
      <c r="CY3">
        <v>7.2742825861484298E-2</v>
      </c>
      <c r="CZ3">
        <v>9.0815631710279301E-2</v>
      </c>
      <c r="DA3">
        <v>8.13538274092616E-2</v>
      </c>
      <c r="DB3">
        <v>9.3715348508735599E-2</v>
      </c>
      <c r="DC3">
        <v>7.0537542447394699E-2</v>
      </c>
      <c r="DD3">
        <v>1.2765683980526099E-2</v>
      </c>
      <c r="DE3">
        <v>0</v>
      </c>
      <c r="DF3">
        <v>0</v>
      </c>
      <c r="DG3">
        <v>0</v>
      </c>
      <c r="DH3">
        <v>2.4223723588655498E-2</v>
      </c>
      <c r="DI3">
        <v>3.5097849515957798E-2</v>
      </c>
      <c r="DJ3">
        <v>1.1645941476073901E-2</v>
      </c>
      <c r="DK3">
        <v>0</v>
      </c>
      <c r="DL3">
        <v>0</v>
      </c>
      <c r="DM3">
        <v>0</v>
      </c>
      <c r="DN3">
        <v>3.0807372783703199E-3</v>
      </c>
      <c r="DO3">
        <v>1.4536246235672399E-2</v>
      </c>
      <c r="DP3">
        <v>2.6143782463783401E-2</v>
      </c>
      <c r="DQ3">
        <v>2.95514419878578E-2</v>
      </c>
      <c r="DR3">
        <v>6.1749514229612598E-2</v>
      </c>
      <c r="DS3">
        <v>8.5206949891957401E-2</v>
      </c>
      <c r="DT3">
        <v>7.8936585996626105E-2</v>
      </c>
      <c r="DU3">
        <v>6.8255191946897303E-2</v>
      </c>
      <c r="DV3">
        <v>5.0997451857661302E-2</v>
      </c>
      <c r="DW3">
        <v>0</v>
      </c>
      <c r="DX3">
        <v>1.6695018855321899E-2</v>
      </c>
      <c r="DY3">
        <v>0</v>
      </c>
      <c r="DZ3">
        <v>0</v>
      </c>
      <c r="EA3">
        <v>0</v>
      </c>
      <c r="EB3">
        <v>2.42878554913111E-2</v>
      </c>
      <c r="EC3">
        <v>0</v>
      </c>
      <c r="ED3">
        <v>0</v>
      </c>
      <c r="EE3">
        <v>2.9618968839458599E-2</v>
      </c>
      <c r="EF3">
        <v>2.48733590115865E-2</v>
      </c>
      <c r="EG3">
        <v>5.7737551454868996E-3</v>
      </c>
      <c r="EH3">
        <v>7.3326276198062298E-2</v>
      </c>
      <c r="EI3">
        <v>2.5443203829395199E-2</v>
      </c>
      <c r="EJ3">
        <v>2.24619218123954E-2</v>
      </c>
      <c r="EK3">
        <v>0</v>
      </c>
      <c r="EL3">
        <v>0</v>
      </c>
      <c r="EM3">
        <v>0</v>
      </c>
      <c r="EN3">
        <v>0</v>
      </c>
      <c r="EO3">
        <v>6.9718675790475207E-2</v>
      </c>
      <c r="EP3">
        <v>4.7352732041465798E-2</v>
      </c>
      <c r="EQ3">
        <v>0</v>
      </c>
      <c r="ER3">
        <v>0</v>
      </c>
      <c r="ES3">
        <v>0</v>
      </c>
      <c r="ET3">
        <v>0</v>
      </c>
      <c r="EU3">
        <v>0</v>
      </c>
      <c r="EV3">
        <v>5.5438101517256998E-2</v>
      </c>
      <c r="EW3">
        <v>4.9881323562159199E-2</v>
      </c>
      <c r="EX3">
        <v>5.2850008129180101E-2</v>
      </c>
      <c r="EY3">
        <v>9.0175521604589498E-2</v>
      </c>
      <c r="EZ3">
        <v>9.5278644700080004E-2</v>
      </c>
      <c r="FA3">
        <v>9.5859343064330693E-2</v>
      </c>
      <c r="FB3">
        <v>0.12681984605414801</v>
      </c>
      <c r="FC3">
        <v>8.5041327936795905E-2</v>
      </c>
      <c r="FD3">
        <v>7.5631064842844806E-2</v>
      </c>
      <c r="FE3">
        <v>9.5504028137319105E-2</v>
      </c>
      <c r="FF3">
        <v>9.24496492761675E-2</v>
      </c>
      <c r="FG3">
        <v>9.08905707596699E-2</v>
      </c>
      <c r="FH3">
        <v>6.6213913295201807E-2</v>
      </c>
      <c r="FI3">
        <v>5.4500941542484201E-2</v>
      </c>
      <c r="FJ3">
        <v>3.6450524107393002E-2</v>
      </c>
      <c r="FK3">
        <v>2.9412590273933399E-2</v>
      </c>
      <c r="FL3">
        <v>0</v>
      </c>
      <c r="FM3">
        <v>6.7351261937510596E-3</v>
      </c>
      <c r="FN3">
        <v>0</v>
      </c>
      <c r="FO3">
        <v>0</v>
      </c>
      <c r="FP3">
        <v>1.49228308157711E-2</v>
      </c>
      <c r="FQ3">
        <v>0</v>
      </c>
      <c r="FR3">
        <v>2.6422788196115401E-2</v>
      </c>
      <c r="FS3">
        <v>2.0713968206556601E-2</v>
      </c>
      <c r="FT3">
        <v>6.0319314884150703E-2</v>
      </c>
      <c r="FU3">
        <v>3.9376142541804597E-2</v>
      </c>
      <c r="FV3">
        <v>3.6459375202360603E-2</v>
      </c>
      <c r="FW3">
        <v>1.9373786155823799E-2</v>
      </c>
      <c r="FX3">
        <v>0</v>
      </c>
      <c r="FY3">
        <v>4.4791094999396902E-2</v>
      </c>
      <c r="FZ3">
        <v>0</v>
      </c>
      <c r="GA3">
        <v>5.8591841039570901E-2</v>
      </c>
      <c r="GB3">
        <v>8.0622284488920698E-2</v>
      </c>
      <c r="GC3">
        <v>0.12030542967464999</v>
      </c>
      <c r="GD3">
        <v>8.3103237940440694E-2</v>
      </c>
      <c r="GE3">
        <v>7.1836427221717805E-2</v>
      </c>
      <c r="GF3">
        <v>5.9732379852549998E-2</v>
      </c>
      <c r="GG3">
        <v>4.9773835977930399E-2</v>
      </c>
      <c r="GH3">
        <v>8.4827968938276099E-2</v>
      </c>
      <c r="GI3">
        <v>0.117012452719398</v>
      </c>
      <c r="GJ3">
        <v>0.134585710063543</v>
      </c>
      <c r="GK3">
        <v>0.150377970749973</v>
      </c>
      <c r="GL3">
        <v>0.13818235188956299</v>
      </c>
      <c r="GM3">
        <v>0.156811224758268</v>
      </c>
      <c r="GN3">
        <v>0.15016088226263799</v>
      </c>
      <c r="GO3">
        <v>0.11267769324930201</v>
      </c>
      <c r="GP3">
        <v>0.117976390194135</v>
      </c>
      <c r="GQ3">
        <v>9.6563559882627797E-2</v>
      </c>
      <c r="GR3">
        <v>6.7879652983043395E-2</v>
      </c>
      <c r="GS3">
        <v>7.2772775050850405E-2</v>
      </c>
      <c r="GT3">
        <v>7.6120243222905698E-2</v>
      </c>
      <c r="GU3">
        <v>6.5721951674647505E-2</v>
      </c>
      <c r="GV3">
        <v>9.5755506864025106E-2</v>
      </c>
      <c r="GW3">
        <v>4.2044871337360901E-2</v>
      </c>
      <c r="GX3">
        <v>5.2830630964808299E-2</v>
      </c>
      <c r="GY3">
        <v>3.3057392820689799E-2</v>
      </c>
      <c r="GZ3">
        <v>0</v>
      </c>
      <c r="HA3">
        <v>0</v>
      </c>
      <c r="HB3">
        <v>3.3011216214828498E-2</v>
      </c>
      <c r="HC3">
        <v>4.6815886926205502E-2</v>
      </c>
      <c r="HD3">
        <v>2.9835081184871399E-2</v>
      </c>
      <c r="HE3">
        <v>0</v>
      </c>
      <c r="HF3">
        <v>4.2482812398116999E-2</v>
      </c>
      <c r="HG3">
        <v>0</v>
      </c>
      <c r="HH3">
        <v>0</v>
      </c>
      <c r="HI3">
        <v>1.9629477429248799E-2</v>
      </c>
      <c r="HJ3">
        <v>4.2857171763796501E-3</v>
      </c>
      <c r="HK3">
        <v>0</v>
      </c>
      <c r="HL3">
        <v>0</v>
      </c>
      <c r="HM3">
        <v>0</v>
      </c>
      <c r="HN3">
        <v>0</v>
      </c>
      <c r="HO3">
        <v>2.1806746610367599E-2</v>
      </c>
      <c r="HP3">
        <v>0</v>
      </c>
      <c r="HQ3">
        <v>1.2879458390110799E-2</v>
      </c>
      <c r="HR3">
        <v>0</v>
      </c>
      <c r="HS3">
        <v>0</v>
      </c>
      <c r="HT3">
        <v>7.3901403739509694E-2</v>
      </c>
      <c r="HU3">
        <v>7.6822702996019607E-2</v>
      </c>
      <c r="HV3">
        <v>6.8458359410986602E-2</v>
      </c>
      <c r="HW3">
        <v>7.3316139195244198E-2</v>
      </c>
      <c r="HX3">
        <v>8.0191220729203302E-2</v>
      </c>
      <c r="HY3">
        <v>0.13480230378692201</v>
      </c>
      <c r="HZ3">
        <v>8.5840612862253099E-2</v>
      </c>
      <c r="IA3">
        <v>7.9603934223167999E-2</v>
      </c>
      <c r="IB3">
        <v>5.0829012453785599E-2</v>
      </c>
      <c r="IC3">
        <v>4.5783645225799897E-2</v>
      </c>
      <c r="ID3">
        <v>6.2901909349386498E-2</v>
      </c>
      <c r="IE3">
        <v>5.5019554889676997E-2</v>
      </c>
      <c r="IF3">
        <v>2.38852679658265E-2</v>
      </c>
      <c r="IG3">
        <v>4.6108003655521597E-2</v>
      </c>
      <c r="IH3">
        <v>0</v>
      </c>
      <c r="II3">
        <v>3.5099988485046002E-3</v>
      </c>
      <c r="IJ3">
        <v>0</v>
      </c>
      <c r="IK3">
        <v>6.3690322310070102E-2</v>
      </c>
      <c r="IL3">
        <v>6.0845547568202603E-2</v>
      </c>
      <c r="IM3">
        <v>7.0449069247083801E-2</v>
      </c>
      <c r="IN3">
        <v>7.3474089769209605E-2</v>
      </c>
      <c r="IO3">
        <v>7.7619992574003802E-2</v>
      </c>
      <c r="IP3">
        <v>0.142158776386307</v>
      </c>
      <c r="IQ3">
        <v>0.135143689964877</v>
      </c>
      <c r="IR3">
        <v>0.146827989755865</v>
      </c>
      <c r="IS3">
        <v>0.10885207070868801</v>
      </c>
      <c r="IT3">
        <v>0.12677593151320399</v>
      </c>
      <c r="IU3">
        <v>0.116726207180872</v>
      </c>
      <c r="IV3">
        <v>9.7993001512033398E-2</v>
      </c>
      <c r="IW3">
        <v>7.9354914481356204E-2</v>
      </c>
      <c r="IX3">
        <v>6.7324800872834503E-2</v>
      </c>
      <c r="IY3">
        <v>8.0676039832244098E-2</v>
      </c>
      <c r="IZ3">
        <v>5.0244486892788202E-2</v>
      </c>
      <c r="JA3">
        <v>8.7152681079877101E-2</v>
      </c>
      <c r="JB3">
        <v>8.8087175599894804E-2</v>
      </c>
      <c r="JC3">
        <v>0.127945346305748</v>
      </c>
      <c r="JD3">
        <v>0.12852492535542701</v>
      </c>
      <c r="JE3">
        <v>0.141335369038155</v>
      </c>
      <c r="JF3">
        <v>9.5245865716985206E-2</v>
      </c>
      <c r="JG3">
        <v>8.6833758327871505E-2</v>
      </c>
      <c r="JH3">
        <v>0.110361508102719</v>
      </c>
      <c r="JI3">
        <v>7.8145221438069901E-2</v>
      </c>
      <c r="JJ3">
        <v>7.8921389945577999E-2</v>
      </c>
      <c r="JK3">
        <v>0.114009237903814</v>
      </c>
      <c r="JL3">
        <v>0.108010424252292</v>
      </c>
      <c r="JM3">
        <v>9.1077306172839698E-2</v>
      </c>
      <c r="JN3">
        <v>7.1785094400360405E-2</v>
      </c>
      <c r="JO3">
        <v>4.1420294688803601E-2</v>
      </c>
      <c r="JP3">
        <v>2.9268519568423801E-2</v>
      </c>
      <c r="JQ3">
        <v>3.45852438239138E-2</v>
      </c>
      <c r="JR3">
        <v>4.6327270650465303E-2</v>
      </c>
      <c r="JS3">
        <v>3.05395987345502E-2</v>
      </c>
      <c r="JT3">
        <v>2.09378557122674E-2</v>
      </c>
      <c r="JU3">
        <v>0</v>
      </c>
      <c r="JV3">
        <v>3.4720554315660603E-2</v>
      </c>
      <c r="JW3">
        <v>2.66188050773336E-2</v>
      </c>
      <c r="JX3">
        <v>4.5372200712966097E-2</v>
      </c>
      <c r="JY3">
        <v>1.2612651298512099E-2</v>
      </c>
      <c r="JZ3">
        <v>0</v>
      </c>
      <c r="KA3">
        <v>0</v>
      </c>
      <c r="KB3">
        <v>7.0182090076524498E-2</v>
      </c>
      <c r="KC3">
        <v>2.3124434278496701E-2</v>
      </c>
      <c r="KD3">
        <v>0</v>
      </c>
      <c r="KE3">
        <v>3.0198104239379801E-2</v>
      </c>
      <c r="KF3">
        <v>1.6680442701626001E-2</v>
      </c>
      <c r="KG3">
        <v>5.2541706329368902E-3</v>
      </c>
      <c r="KH3">
        <v>0</v>
      </c>
      <c r="KI3">
        <v>0</v>
      </c>
      <c r="KJ3">
        <v>2.70122069463084E-2</v>
      </c>
      <c r="KK3">
        <v>0</v>
      </c>
      <c r="KL3">
        <v>1.08103129125464E-2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1.31703695011359E-2</v>
      </c>
      <c r="KU3">
        <v>3.8920273573950802E-2</v>
      </c>
      <c r="KV3">
        <v>3.2306139561407002E-2</v>
      </c>
      <c r="KW3">
        <v>0</v>
      </c>
      <c r="KX3">
        <v>2.7713276653924101E-2</v>
      </c>
      <c r="KY3">
        <v>4.4815049807295997E-2</v>
      </c>
      <c r="KZ3">
        <v>5.5621819721039599E-2</v>
      </c>
      <c r="LA3">
        <v>6.1086128741404802E-2</v>
      </c>
      <c r="LB3">
        <v>8.8824473770487203E-2</v>
      </c>
      <c r="LC3">
        <v>0.14886428444001301</v>
      </c>
      <c r="LD3">
        <v>0.140275995493678</v>
      </c>
      <c r="LE3">
        <v>0.12859111039833099</v>
      </c>
      <c r="LF3">
        <v>8.6980452929918295E-2</v>
      </c>
      <c r="LG3">
        <v>5.7532526211512398E-2</v>
      </c>
      <c r="LH3">
        <v>3.8635793489403499E-2</v>
      </c>
      <c r="LI3">
        <v>1.19559878189631E-2</v>
      </c>
      <c r="LJ3">
        <v>0</v>
      </c>
      <c r="LK3">
        <v>3.8911358386467101E-2</v>
      </c>
      <c r="LL3">
        <v>2.31353383849991E-2</v>
      </c>
      <c r="LM3">
        <v>3.6854221895069803E-2</v>
      </c>
      <c r="LN3">
        <v>2.62405952198916E-2</v>
      </c>
      <c r="LO3">
        <v>0</v>
      </c>
      <c r="LP3">
        <v>0</v>
      </c>
    </row>
    <row r="4" spans="1:328" x14ac:dyDescent="0.2">
      <c r="A4">
        <v>-1.3582648219133699</v>
      </c>
      <c r="B4" s="69">
        <v>1.3342698972527001</v>
      </c>
      <c r="C4">
        <v>-0.70735244914328199</v>
      </c>
      <c r="D4">
        <v>0</v>
      </c>
      <c r="E4">
        <v>9.35385224628449E-2</v>
      </c>
      <c r="F4">
        <v>-8.0538646525720597E-3</v>
      </c>
      <c r="G4">
        <f>SQRT(Calcs!J5)</f>
        <v>0.12047776026284886</v>
      </c>
      <c r="H4" s="71">
        <f t="shared" si="0"/>
        <v>-2.6939237800003957E-2</v>
      </c>
      <c r="I4" s="70">
        <f>LN(Calcs!L6/Calcs!L5)</f>
        <v>-3.7289169850492259E-3</v>
      </c>
      <c r="J4" s="76">
        <f t="shared" si="1"/>
        <v>4.3249476675228339E-3</v>
      </c>
      <c r="K4" s="72">
        <f>EXP(I4)*K3</f>
        <v>1561.1378124352818</v>
      </c>
      <c r="L4" s="72">
        <f t="shared" ref="L4:L66" si="3">EXP(F4)*L3</f>
        <v>1562.4357487098332</v>
      </c>
      <c r="M4" s="75">
        <f t="shared" si="2"/>
        <v>-1.2979362745513754</v>
      </c>
      <c r="N4">
        <v>1562.5</v>
      </c>
      <c r="O4">
        <v>1560.11535721939</v>
      </c>
      <c r="P4">
        <v>1512.7057796721001</v>
      </c>
      <c r="Q4">
        <v>1525.2225687544101</v>
      </c>
      <c r="R4">
        <v>1564.8006317257</v>
      </c>
      <c r="S4">
        <v>1572.77520742513</v>
      </c>
      <c r="T4">
        <v>1583.0946818325599</v>
      </c>
      <c r="U4">
        <v>1586.3907657386001</v>
      </c>
      <c r="V4">
        <v>1596.8444888653601</v>
      </c>
      <c r="W4">
        <v>1548.23979314947</v>
      </c>
      <c r="X4">
        <v>1564.4954241738701</v>
      </c>
      <c r="Y4">
        <v>1594.9911856564599</v>
      </c>
      <c r="Z4">
        <v>1608.9027679523399</v>
      </c>
    </row>
    <row r="5" spans="1:328" x14ac:dyDescent="0.2">
      <c r="A5">
        <v>-1.3875488961427001</v>
      </c>
      <c r="B5" s="69">
        <v>1.32803707710875</v>
      </c>
      <c r="C5">
        <v>-1.2489415287872001</v>
      </c>
      <c r="D5">
        <v>0</v>
      </c>
      <c r="E5">
        <v>0.126572961380161</v>
      </c>
      <c r="F5">
        <v>-1.1128297689692399E-2</v>
      </c>
      <c r="G5">
        <f>SQRT(Calcs!J6)</f>
        <v>0.10714426976745084</v>
      </c>
      <c r="H5" s="71">
        <f t="shared" si="0"/>
        <v>1.9428691612710158E-2</v>
      </c>
      <c r="I5" s="70">
        <f>LN(Calcs!L7/Calcs!L6)</f>
        <v>-9.5913965654016997E-3</v>
      </c>
      <c r="J5" s="76">
        <f t="shared" si="1"/>
        <v>1.5369011242906995E-3</v>
      </c>
      <c r="K5" s="72">
        <f t="shared" ref="K5:K66" si="4">EXP(I5)*K4</f>
        <v>1546.2358999007947</v>
      </c>
      <c r="L5" s="72">
        <f t="shared" si="3"/>
        <v>1545.1448859511261</v>
      </c>
      <c r="M5" s="75">
        <f t="shared" si="2"/>
        <v>1.0910139496686497</v>
      </c>
    </row>
    <row r="6" spans="1:328" x14ac:dyDescent="0.2">
      <c r="A6">
        <v>-1.4385836015439799</v>
      </c>
      <c r="B6" s="69">
        <v>1.51782667433635</v>
      </c>
      <c r="C6">
        <v>-1.6826152280608899</v>
      </c>
      <c r="D6">
        <v>0</v>
      </c>
      <c r="E6">
        <v>0.15977118208883601</v>
      </c>
      <c r="F6">
        <v>-1.4562573868788901E-2</v>
      </c>
      <c r="G6">
        <f>SQRT(Calcs!J7)</f>
        <v>0.12078461309765554</v>
      </c>
      <c r="H6" s="71">
        <f t="shared" si="0"/>
        <v>3.898656899118047E-2</v>
      </c>
      <c r="I6" s="70">
        <f>LN(Calcs!L8/Calcs!L7)</f>
        <v>-6.6607208613436502E-3</v>
      </c>
      <c r="J6" s="76">
        <f t="shared" si="1"/>
        <v>7.9018530074452496E-3</v>
      </c>
      <c r="K6" s="72">
        <f t="shared" si="4"/>
        <v>1535.9710776935221</v>
      </c>
      <c r="L6" s="72">
        <f t="shared" si="3"/>
        <v>1522.8066453196063</v>
      </c>
      <c r="M6" s="75">
        <f t="shared" si="2"/>
        <v>13.164432373915815</v>
      </c>
    </row>
    <row r="7" spans="1:328" x14ac:dyDescent="0.2">
      <c r="A7">
        <v>0.102252522948086</v>
      </c>
      <c r="B7" s="69">
        <v>0.231642974923394</v>
      </c>
      <c r="C7">
        <v>-1.8891988223921301</v>
      </c>
      <c r="D7">
        <v>0</v>
      </c>
      <c r="E7">
        <v>0.198188460804993</v>
      </c>
      <c r="F7">
        <v>1.1655565834784399E-3</v>
      </c>
      <c r="G7">
        <f>SQRT(Calcs!J8)</f>
        <v>0.16240424640017734</v>
      </c>
      <c r="H7" s="71">
        <f t="shared" si="0"/>
        <v>3.5784214404815662E-2</v>
      </c>
      <c r="I7" s="70">
        <f>LN(Calcs!L9/Calcs!L8)</f>
        <v>-1.9488716321303993E-3</v>
      </c>
      <c r="J7" s="76">
        <f t="shared" si="1"/>
        <v>-3.1144282156088392E-3</v>
      </c>
      <c r="K7" s="72">
        <f t="shared" si="4"/>
        <v>1532.9805822248418</v>
      </c>
      <c r="L7" s="72">
        <f t="shared" si="3"/>
        <v>1524.5825974156965</v>
      </c>
      <c r="M7" s="75">
        <f t="shared" si="2"/>
        <v>8.3979848091453277</v>
      </c>
    </row>
    <row r="8" spans="1:328" x14ac:dyDescent="0.2">
      <c r="A8">
        <v>-0.71260093746941799</v>
      </c>
      <c r="B8" s="69">
        <v>-0.82013405719910704</v>
      </c>
      <c r="C8">
        <v>0.42356628602965402</v>
      </c>
      <c r="D8">
        <v>0</v>
      </c>
      <c r="E8">
        <v>0.20271852795093301</v>
      </c>
      <c r="F8">
        <v>-9.2146005513178402E-3</v>
      </c>
      <c r="G8">
        <f>SQRT(Calcs!J9)</f>
        <v>0.21020910383725502</v>
      </c>
      <c r="H8" s="71">
        <f t="shared" si="0"/>
        <v>-7.4905758863220151E-3</v>
      </c>
      <c r="I8" s="70">
        <f>LN(Calcs!L10/Calcs!L9)</f>
        <v>5.286804237623211E-3</v>
      </c>
      <c r="J8" s="76">
        <f t="shared" si="1"/>
        <v>1.450140478894105E-2</v>
      </c>
      <c r="K8" s="72">
        <f t="shared" si="4"/>
        <v>1541.1066119001323</v>
      </c>
      <c r="L8" s="72">
        <f t="shared" si="3"/>
        <v>1510.5987047119584</v>
      </c>
      <c r="M8" s="75">
        <f t="shared" si="2"/>
        <v>30.507907188173931</v>
      </c>
    </row>
    <row r="9" spans="1:328" x14ac:dyDescent="0.2">
      <c r="A9">
        <v>0.869894286606959</v>
      </c>
      <c r="B9" s="69">
        <v>0.43701984126176102</v>
      </c>
      <c r="C9">
        <v>0.70303700793823498</v>
      </c>
      <c r="D9">
        <v>0</v>
      </c>
      <c r="E9">
        <v>0.179397639112097</v>
      </c>
      <c r="F9">
        <v>9.7337080259572006E-3</v>
      </c>
      <c r="G9">
        <f>SQRT(Calcs!J10)</f>
        <v>0.21252747261837635</v>
      </c>
      <c r="H9" s="71">
        <f t="shared" si="0"/>
        <v>-3.3129833506279349E-2</v>
      </c>
      <c r="I9" s="70">
        <f>LN(Calcs!L11/Calcs!L10)</f>
        <v>-1.259954306661671E-2</v>
      </c>
      <c r="J9" s="76">
        <f t="shared" si="1"/>
        <v>-2.2333251092573912E-2</v>
      </c>
      <c r="K9" s="72">
        <f t="shared" si="4"/>
        <v>1521.811184814834</v>
      </c>
      <c r="L9" s="72">
        <f t="shared" si="3"/>
        <v>1525.3742250898645</v>
      </c>
      <c r="M9" s="75">
        <f t="shared" si="2"/>
        <v>-3.5630402750305166</v>
      </c>
    </row>
    <row r="10" spans="1:328" x14ac:dyDescent="0.2">
      <c r="A10">
        <v>-0.21871821392958499</v>
      </c>
      <c r="B10" s="69">
        <v>0.54936525503025802</v>
      </c>
      <c r="C10">
        <v>1.49831629251386</v>
      </c>
      <c r="D10">
        <v>0</v>
      </c>
      <c r="E10">
        <v>0.189285582084226</v>
      </c>
      <c r="F10">
        <v>-2.7121586704163601E-3</v>
      </c>
      <c r="G10">
        <f>SQRT(Calcs!J11)</f>
        <v>0.22518833539830502</v>
      </c>
      <c r="H10" s="71">
        <f t="shared" si="0"/>
        <v>-3.5902753314079022E-2</v>
      </c>
      <c r="I10" s="70">
        <f>LN(Calcs!L12/Calcs!L11)</f>
        <v>2.0246727919815338E-2</v>
      </c>
      <c r="J10" s="76">
        <f t="shared" si="1"/>
        <v>2.2958886590231698E-2</v>
      </c>
      <c r="K10" s="72">
        <f t="shared" si="4"/>
        <v>1552.9369156472294</v>
      </c>
      <c r="L10" s="72">
        <f t="shared" si="3"/>
        <v>1521.242773268609</v>
      </c>
      <c r="M10" s="75">
        <f t="shared" si="2"/>
        <v>31.694142378620427</v>
      </c>
    </row>
    <row r="11" spans="1:328" x14ac:dyDescent="0.2">
      <c r="A11">
        <v>0.44215240018315499</v>
      </c>
      <c r="B11" s="69">
        <v>-1.1075916727347099</v>
      </c>
      <c r="C11">
        <v>0.39368998174951603</v>
      </c>
      <c r="D11">
        <v>0</v>
      </c>
      <c r="E11">
        <v>0.20219124778829101</v>
      </c>
      <c r="F11">
        <v>5.5174141467301098E-3</v>
      </c>
      <c r="G11">
        <f>SQRT(Calcs!J12)</f>
        <v>0.20414508209680923</v>
      </c>
      <c r="H11" s="71">
        <f t="shared" si="0"/>
        <v>-1.9538343085182264E-3</v>
      </c>
      <c r="I11" s="70">
        <f>LN(Calcs!L13/Calcs!L12)</f>
        <v>-1.5598323434757326E-2</v>
      </c>
      <c r="J11" s="76">
        <f t="shared" si="1"/>
        <v>-2.1115737581487437E-2</v>
      </c>
      <c r="K11" s="72">
        <f t="shared" si="4"/>
        <v>1528.9016456493573</v>
      </c>
      <c r="L11" s="72">
        <f t="shared" si="3"/>
        <v>1529.6592970389022</v>
      </c>
      <c r="M11" s="75">
        <f t="shared" si="2"/>
        <v>-0.75765138954488975</v>
      </c>
    </row>
    <row r="12" spans="1:328" x14ac:dyDescent="0.2">
      <c r="A12">
        <v>-0.80662104736555595</v>
      </c>
      <c r="B12" s="69">
        <v>0.84703118045502801</v>
      </c>
      <c r="C12">
        <v>0.107126240962632</v>
      </c>
      <c r="D12">
        <v>0</v>
      </c>
      <c r="E12">
        <v>0.171237241727725</v>
      </c>
      <c r="F12">
        <v>-8.7922471678912005E-3</v>
      </c>
      <c r="G12">
        <f>SQRT(Calcs!J13)</f>
        <v>0.21794442229471839</v>
      </c>
      <c r="H12" s="71">
        <f t="shared" si="0"/>
        <v>-4.6707180566993384E-2</v>
      </c>
      <c r="I12" s="70">
        <f>LN(Calcs!L14/Calcs!L13)</f>
        <v>1.2247513035197584E-3</v>
      </c>
      <c r="J12" s="76">
        <f t="shared" si="1"/>
        <v>1.0016998471410958E-2</v>
      </c>
      <c r="K12" s="72">
        <f t="shared" si="4"/>
        <v>1530.7753170893777</v>
      </c>
      <c r="L12" s="72">
        <f t="shared" si="3"/>
        <v>1516.2691056120657</v>
      </c>
      <c r="M12" s="75">
        <f t="shared" si="2"/>
        <v>14.506211477312036</v>
      </c>
    </row>
    <row r="13" spans="1:328" x14ac:dyDescent="0.2">
      <c r="A13">
        <v>-0.630587015108243</v>
      </c>
      <c r="B13" s="69">
        <v>-0.31025191390309897</v>
      </c>
      <c r="C13">
        <v>0.33528186026675799</v>
      </c>
      <c r="D13">
        <v>0</v>
      </c>
      <c r="E13">
        <v>0.19194709207961799</v>
      </c>
      <c r="F13">
        <v>-7.7309661007166301E-3</v>
      </c>
      <c r="G13">
        <f>SQRT(Calcs!J14)</f>
        <v>0.22375614339526972</v>
      </c>
      <c r="H13" s="71">
        <f t="shared" si="0"/>
        <v>-3.1809051315651732E-2</v>
      </c>
      <c r="I13" s="70">
        <f>LN(Calcs!L15/Calcs!L14)</f>
        <v>-7.8821462281706191E-3</v>
      </c>
      <c r="J13" s="76">
        <f t="shared" si="1"/>
        <v>-1.5118012745398909E-4</v>
      </c>
      <c r="K13" s="72">
        <f t="shared" si="4"/>
        <v>1518.7569496855149</v>
      </c>
      <c r="L13" s="72">
        <f t="shared" si="3"/>
        <v>1504.5920760759404</v>
      </c>
      <c r="M13" s="75">
        <f t="shared" si="2"/>
        <v>14.164873609574443</v>
      </c>
    </row>
    <row r="14" spans="1:328" x14ac:dyDescent="0.2">
      <c r="A14">
        <v>1.35826617595956</v>
      </c>
      <c r="B14" s="69">
        <v>-0.440382482135663</v>
      </c>
      <c r="C14">
        <v>2.5583685021270099E-2</v>
      </c>
      <c r="D14">
        <v>0</v>
      </c>
      <c r="E14">
        <v>0.182092051652371</v>
      </c>
      <c r="F14">
        <v>1.5481402124789901E-2</v>
      </c>
      <c r="G14">
        <f>SQRT(Calcs!J15)</f>
        <v>0.23080154786401577</v>
      </c>
      <c r="H14" s="71">
        <f t="shared" si="0"/>
        <v>-4.8709496211644776E-2</v>
      </c>
      <c r="I14" s="70">
        <f>LN(Calcs!L16/Calcs!L15)</f>
        <v>-2.0874488741991506E-3</v>
      </c>
      <c r="J14" s="76">
        <f t="shared" si="1"/>
        <v>-1.7568850998989052E-2</v>
      </c>
      <c r="K14" s="72">
        <f t="shared" si="4"/>
        <v>1515.5899288477622</v>
      </c>
      <c r="L14" s="72">
        <f t="shared" si="3"/>
        <v>1528.0665107723071</v>
      </c>
      <c r="M14" s="75">
        <f t="shared" si="2"/>
        <v>-12.476581924544917</v>
      </c>
    </row>
    <row r="15" spans="1:328" x14ac:dyDescent="0.2">
      <c r="A15">
        <v>1.0324299878866201</v>
      </c>
      <c r="B15" s="69">
        <v>-0.97225666140278799</v>
      </c>
      <c r="C15">
        <v>-0.36859352981987098</v>
      </c>
      <c r="D15">
        <v>0</v>
      </c>
      <c r="E15">
        <v>0.16872654368920101</v>
      </c>
      <c r="F15">
        <v>1.08838771908272E-2</v>
      </c>
      <c r="G15">
        <f>SQRT(Calcs!J16)</f>
        <v>0.22263257853796739</v>
      </c>
      <c r="H15" s="71">
        <f t="shared" si="0"/>
        <v>-5.3906034848766382E-2</v>
      </c>
      <c r="I15" s="70">
        <f>LN(Calcs!L17/Calcs!L16)</f>
        <v>2.0115479892544134E-3</v>
      </c>
      <c r="J15" s="76">
        <f t="shared" si="1"/>
        <v>-8.8723292015727862E-3</v>
      </c>
      <c r="K15" s="72">
        <f t="shared" si="4"/>
        <v>1518.6416790636442</v>
      </c>
      <c r="L15" s="72">
        <f t="shared" si="3"/>
        <v>1544.7886347134297</v>
      </c>
      <c r="M15" s="75">
        <f t="shared" si="2"/>
        <v>-26.146955649785468</v>
      </c>
    </row>
    <row r="16" spans="1:328" x14ac:dyDescent="0.2">
      <c r="A16">
        <v>0.411122505400211</v>
      </c>
      <c r="B16" s="69">
        <v>-0.76400112826463495</v>
      </c>
      <c r="C16">
        <v>1.1576046127072299</v>
      </c>
      <c r="D16">
        <v>0</v>
      </c>
      <c r="E16">
        <v>0.14110471751850101</v>
      </c>
      <c r="F16">
        <v>3.5817633574542701E-3</v>
      </c>
      <c r="G16">
        <f>SQRT(Calcs!J17)</f>
        <v>0.2121742134390226</v>
      </c>
      <c r="H16" s="71">
        <f t="shared" si="0"/>
        <v>-7.1069495920521586E-2</v>
      </c>
      <c r="I16" s="70">
        <f>LN(Calcs!L18/Calcs!L17)</f>
        <v>-8.7483107581997621E-3</v>
      </c>
      <c r="J16" s="76">
        <f t="shared" si="1"/>
        <v>-1.2330074115654031E-2</v>
      </c>
      <c r="K16" s="72">
        <f t="shared" si="4"/>
        <v>1505.4140736882343</v>
      </c>
      <c r="L16" s="72">
        <f t="shared" si="3"/>
        <v>1550.3316229504087</v>
      </c>
      <c r="M16" s="75">
        <f t="shared" si="2"/>
        <v>-44.917549262174362</v>
      </c>
    </row>
    <row r="17" spans="1:13" x14ac:dyDescent="0.2">
      <c r="A17">
        <v>-2.1372464674087799</v>
      </c>
      <c r="B17" s="69">
        <v>1.3571072297478399</v>
      </c>
      <c r="C17">
        <v>0.134662448436912</v>
      </c>
      <c r="D17">
        <v>0</v>
      </c>
      <c r="E17">
        <v>0.11870558676859</v>
      </c>
      <c r="F17">
        <v>-1.6042852774736199E-2</v>
      </c>
      <c r="G17">
        <f>SQRT(Calcs!J18)</f>
        <v>0.24570109343908234</v>
      </c>
      <c r="H17" s="71">
        <f t="shared" si="0"/>
        <v>-0.12699550667049234</v>
      </c>
      <c r="I17" s="70">
        <f>LN(Calcs!L19/Calcs!L18)</f>
        <v>1.3863107954721311E-3</v>
      </c>
      <c r="J17" s="76">
        <f t="shared" si="1"/>
        <v>1.7429163570208329E-2</v>
      </c>
      <c r="K17" s="72">
        <f t="shared" si="4"/>
        <v>1507.5024927347085</v>
      </c>
      <c r="L17" s="72">
        <f t="shared" si="3"/>
        <v>1525.6583251977631</v>
      </c>
      <c r="M17" s="75">
        <f t="shared" si="2"/>
        <v>-18.155832463054594</v>
      </c>
    </row>
    <row r="18" spans="1:13" x14ac:dyDescent="0.2">
      <c r="A18">
        <v>1.0030547115539401</v>
      </c>
      <c r="B18" s="69">
        <v>-1.9671291984710799</v>
      </c>
      <c r="C18">
        <v>2.0144445058714201E-2</v>
      </c>
      <c r="D18">
        <v>0</v>
      </c>
      <c r="E18">
        <v>0.152613279632521</v>
      </c>
      <c r="F18">
        <v>9.5637866387933406E-3</v>
      </c>
      <c r="G18">
        <f>SQRT(Calcs!J19)</f>
        <v>0.25962911434981306</v>
      </c>
      <c r="H18" s="71">
        <f t="shared" si="0"/>
        <v>-0.10701583471729206</v>
      </c>
      <c r="I18" s="70">
        <f>LN(Calcs!L20/Calcs!L19)</f>
        <v>1.2570045549862952E-2</v>
      </c>
      <c r="J18" s="76">
        <f t="shared" si="1"/>
        <v>3.0062589110696116E-3</v>
      </c>
      <c r="K18" s="72">
        <f t="shared" si="4"/>
        <v>1526.5714655797876</v>
      </c>
      <c r="L18" s="72">
        <f t="shared" si="3"/>
        <v>1540.3193918112063</v>
      </c>
      <c r="M18" s="75">
        <f t="shared" si="2"/>
        <v>-13.74792623141866</v>
      </c>
    </row>
    <row r="19" spans="1:13" x14ac:dyDescent="0.2">
      <c r="A19">
        <v>1.83338614739877</v>
      </c>
      <c r="B19" s="69">
        <v>-2.12346379778073</v>
      </c>
      <c r="C19">
        <v>0.42768727510325499</v>
      </c>
      <c r="D19">
        <v>0</v>
      </c>
      <c r="E19">
        <v>9.8064474825304004E-2</v>
      </c>
      <c r="F19">
        <v>1.1273526346962199E-2</v>
      </c>
      <c r="G19">
        <f>SQRT(Calcs!J20)</f>
        <v>0.25755213164673874</v>
      </c>
      <c r="H19" s="71">
        <f t="shared" si="0"/>
        <v>-0.15948765682143473</v>
      </c>
      <c r="I19" s="70">
        <f>LN(Calcs!L21/Calcs!L20)</f>
        <v>-1.2534891832324192E-2</v>
      </c>
      <c r="J19" s="76">
        <f t="shared" si="1"/>
        <v>-2.3808418179286389E-2</v>
      </c>
      <c r="K19" s="72">
        <f t="shared" si="4"/>
        <v>1507.5554879830117</v>
      </c>
      <c r="L19" s="72">
        <f t="shared" si="3"/>
        <v>1557.7824733608195</v>
      </c>
      <c r="M19" s="75">
        <f t="shared" si="2"/>
        <v>-50.22698537780775</v>
      </c>
    </row>
    <row r="20" spans="1:13" x14ac:dyDescent="0.2">
      <c r="A20">
        <v>0.48664196031103402</v>
      </c>
      <c r="B20" s="69">
        <v>-0.74369975678554001</v>
      </c>
      <c r="C20">
        <v>-0.92071759942884601</v>
      </c>
      <c r="D20">
        <v>0</v>
      </c>
      <c r="E20">
        <v>3.56258369520027E-2</v>
      </c>
      <c r="F20">
        <v>1.0565102194300101E-3</v>
      </c>
      <c r="G20">
        <f>SQRT(Calcs!J21)</f>
        <v>0.27581838306445144</v>
      </c>
      <c r="H20" s="71">
        <f t="shared" si="0"/>
        <v>-0.24019254611244875</v>
      </c>
      <c r="I20" s="70">
        <f>LN(Calcs!L22/Calcs!L21)</f>
        <v>2.0190362396134184E-2</v>
      </c>
      <c r="J20" s="76">
        <f t="shared" si="1"/>
        <v>1.9133852176704175E-2</v>
      </c>
      <c r="K20" s="72">
        <f t="shared" si="4"/>
        <v>1538.3029361672466</v>
      </c>
      <c r="L20" s="72">
        <f t="shared" si="3"/>
        <v>1559.429156179016</v>
      </c>
      <c r="M20" s="75">
        <f t="shared" si="2"/>
        <v>-21.126220011769419</v>
      </c>
    </row>
    <row r="21" spans="1:13" x14ac:dyDescent="0.2">
      <c r="A21">
        <v>1.3812935175782199</v>
      </c>
      <c r="B21" s="69">
        <v>-1.0438855340706701</v>
      </c>
      <c r="C21">
        <v>0.52401019110888603</v>
      </c>
      <c r="D21">
        <v>0</v>
      </c>
      <c r="E21">
        <v>0</v>
      </c>
      <c r="F21">
        <v>-3.3101580007050303E-5</v>
      </c>
      <c r="G21">
        <f>SQRT(Calcs!J22)</f>
        <v>0.2413999215853305</v>
      </c>
      <c r="H21" s="71">
        <f t="shared" si="0"/>
        <v>-0.2413999215853305</v>
      </c>
      <c r="I21" s="70">
        <f>LN(Calcs!L23/Calcs!L22)</f>
        <v>-1.8906114745851809E-2</v>
      </c>
      <c r="J21" s="76">
        <f t="shared" si="1"/>
        <v>-1.8873013165844759E-2</v>
      </c>
      <c r="K21" s="72">
        <f t="shared" si="4"/>
        <v>1509.4928063081106</v>
      </c>
      <c r="L21" s="72">
        <f t="shared" si="3"/>
        <v>1559.3775374643726</v>
      </c>
      <c r="M21" s="75">
        <f t="shared" si="2"/>
        <v>-49.884731156261978</v>
      </c>
    </row>
    <row r="22" spans="1:13" x14ac:dyDescent="0.2">
      <c r="A22">
        <v>0.353617152930219</v>
      </c>
      <c r="B22" s="69">
        <v>-1.2569717859729299</v>
      </c>
      <c r="C22">
        <v>-0.92650501646941996</v>
      </c>
      <c r="D22">
        <v>0</v>
      </c>
      <c r="E22">
        <v>1.6460706333839101E-2</v>
      </c>
      <c r="F22">
        <v>4.1958792555518801E-4</v>
      </c>
      <c r="G22">
        <f>SQRT(Calcs!J23)</f>
        <v>0.23664173719419093</v>
      </c>
      <c r="H22" s="71">
        <f t="shared" si="0"/>
        <v>-0.22018103086035185</v>
      </c>
      <c r="I22" s="70">
        <f>LN(Calcs!L24/Calcs!L23)</f>
        <v>-6.6765687415959261E-3</v>
      </c>
      <c r="J22" s="76">
        <f t="shared" si="1"/>
        <v>-7.096156667151114E-3</v>
      </c>
      <c r="K22" s="72">
        <f t="shared" si="4"/>
        <v>1499.4481430771491</v>
      </c>
      <c r="L22" s="72">
        <f t="shared" si="3"/>
        <v>1560.0319707370229</v>
      </c>
      <c r="M22" s="75">
        <f t="shared" si="2"/>
        <v>-60.583827659873805</v>
      </c>
    </row>
    <row r="23" spans="1:13" x14ac:dyDescent="0.2">
      <c r="A23">
        <v>-0.26114675567256601</v>
      </c>
      <c r="B23" s="69">
        <v>0.563907377615399</v>
      </c>
      <c r="C23">
        <v>0.43803898272045599</v>
      </c>
      <c r="D23">
        <v>0</v>
      </c>
      <c r="E23">
        <v>0</v>
      </c>
      <c r="F23">
        <v>5.3450349371563003E-5</v>
      </c>
      <c r="G23">
        <f>SQRT(Calcs!J24)</f>
        <v>0.25615946290153802</v>
      </c>
      <c r="H23" s="71">
        <f>E23-G23</f>
        <v>-0.25615946290153802</v>
      </c>
      <c r="I23" s="70">
        <f>LN(Calcs!L25/Calcs!L24)</f>
        <v>2.3029761981591707E-2</v>
      </c>
      <c r="J23" s="76">
        <f t="shared" si="1"/>
        <v>2.2976311632220144E-2</v>
      </c>
      <c r="K23" s="72">
        <f t="shared" si="4"/>
        <v>1534.380778129977</v>
      </c>
      <c r="L23" s="72">
        <f t="shared" si="3"/>
        <v>1560.1153572193882</v>
      </c>
      <c r="M23" s="75">
        <f t="shared" si="2"/>
        <v>-25.734579089411227</v>
      </c>
    </row>
    <row r="24" spans="1:13" x14ac:dyDescent="0.2">
      <c r="A24">
        <v>-0.546028535829299</v>
      </c>
      <c r="B24" s="69">
        <v>-0.17682599930629</v>
      </c>
      <c r="C24">
        <v>-1.1196689361940599</v>
      </c>
      <c r="D24">
        <v>0</v>
      </c>
      <c r="E24">
        <v>0</v>
      </c>
      <c r="F24">
        <v>5.3450349371563003E-5</v>
      </c>
      <c r="G24">
        <f>SQRT(Calcs!J25)</f>
        <v>0.19839591992964165</v>
      </c>
      <c r="H24" s="71">
        <f t="shared" si="0"/>
        <v>-0.19839591992964165</v>
      </c>
      <c r="I24" s="70">
        <f>LN(Calcs!L26/Calcs!L25)</f>
        <v>-2.113847397631566E-3</v>
      </c>
      <c r="J24" s="76">
        <f t="shared" si="1"/>
        <v>-2.1672977470031289E-3</v>
      </c>
      <c r="K24" s="72">
        <f t="shared" si="4"/>
        <v>1531.140756976755</v>
      </c>
      <c r="L24" s="72">
        <f t="shared" si="3"/>
        <v>1560.1987481589092</v>
      </c>
      <c r="M24" s="75">
        <f t="shared" si="2"/>
        <v>-29.057991182154183</v>
      </c>
    </row>
    <row r="25" spans="1:13" x14ac:dyDescent="0.2">
      <c r="A25">
        <v>-0.44818105993318402</v>
      </c>
      <c r="B25" s="69">
        <v>0.16781263473788099</v>
      </c>
      <c r="C25">
        <v>-0.25626184691682102</v>
      </c>
      <c r="D25">
        <v>0</v>
      </c>
      <c r="E25">
        <v>0</v>
      </c>
      <c r="F25">
        <v>5.3450349371563003E-5</v>
      </c>
      <c r="G25">
        <f>SQRT(Calcs!J26)</f>
        <v>0.16613992312233516</v>
      </c>
      <c r="H25" s="71">
        <f t="shared" si="0"/>
        <v>-0.16613992312233516</v>
      </c>
      <c r="I25" s="70">
        <f>LN(Calcs!L27/Calcs!L26)</f>
        <v>-1.3052190997429771E-2</v>
      </c>
      <c r="J25" s="76">
        <f t="shared" si="1"/>
        <v>-1.3105641346801334E-2</v>
      </c>
      <c r="K25" s="72">
        <f t="shared" si="4"/>
        <v>1511.2858721193095</v>
      </c>
      <c r="L25" s="72">
        <f t="shared" si="3"/>
        <v>1560.2821435558242</v>
      </c>
      <c r="M25" s="75">
        <f t="shared" si="2"/>
        <v>-48.996271436514689</v>
      </c>
    </row>
    <row r="26" spans="1:13" x14ac:dyDescent="0.2">
      <c r="A26">
        <v>0.61583010118686698</v>
      </c>
      <c r="B26" s="69">
        <v>-0.68201218421781296</v>
      </c>
      <c r="C26">
        <v>-0.55349706999063197</v>
      </c>
      <c r="D26">
        <v>0</v>
      </c>
      <c r="E26">
        <v>0</v>
      </c>
      <c r="F26">
        <v>5.3450349371563003E-5</v>
      </c>
      <c r="G26">
        <f>SQRT(Calcs!J27)</f>
        <v>0.16756326087571694</v>
      </c>
      <c r="H26" s="71">
        <f t="shared" si="0"/>
        <v>-0.16756326087571694</v>
      </c>
      <c r="I26" s="70">
        <f>LN(Calcs!L28/Calcs!L27)</f>
        <v>1.259230880559282E-3</v>
      </c>
      <c r="J26" s="76">
        <f t="shared" si="1"/>
        <v>1.2057805311877191E-3</v>
      </c>
      <c r="K26" s="72">
        <f t="shared" si="4"/>
        <v>1513.1901286565276</v>
      </c>
      <c r="L26" s="72">
        <f t="shared" si="3"/>
        <v>1560.3655434103714</v>
      </c>
      <c r="M26" s="75">
        <f t="shared" si="2"/>
        <v>-47.175414753843825</v>
      </c>
    </row>
    <row r="27" spans="1:13" x14ac:dyDescent="0.2">
      <c r="A27">
        <v>-1.7422070477623599</v>
      </c>
      <c r="B27" s="69">
        <v>1.96239057898919</v>
      </c>
      <c r="C27">
        <v>-1.32544210912272</v>
      </c>
      <c r="D27">
        <v>0</v>
      </c>
      <c r="E27">
        <v>0</v>
      </c>
      <c r="F27">
        <v>5.3450349371563003E-5</v>
      </c>
      <c r="G27">
        <f>SQRT(Calcs!J28)</f>
        <v>0.19007424290050889</v>
      </c>
      <c r="H27" s="71">
        <f t="shared" si="0"/>
        <v>-0.19007424290050889</v>
      </c>
      <c r="I27" s="70">
        <f>LN(Calcs!L29/Calcs!L28)</f>
        <v>1.3392617799818426E-2</v>
      </c>
      <c r="J27" s="76">
        <f t="shared" si="1"/>
        <v>1.3339167450446863E-2</v>
      </c>
      <c r="K27" s="72">
        <f t="shared" si="4"/>
        <v>1533.5920181189754</v>
      </c>
      <c r="L27" s="72">
        <f t="shared" si="3"/>
        <v>1560.4489477227889</v>
      </c>
      <c r="M27" s="75">
        <f t="shared" si="2"/>
        <v>-26.856929603813569</v>
      </c>
    </row>
    <row r="28" spans="1:13" x14ac:dyDescent="0.2">
      <c r="A28">
        <v>-0.23444424478677101</v>
      </c>
      <c r="B28" s="69">
        <v>0.775324954077655</v>
      </c>
      <c r="C28">
        <v>-0.97802878910983904</v>
      </c>
      <c r="D28">
        <v>0</v>
      </c>
      <c r="E28">
        <v>4.6655038321956797E-2</v>
      </c>
      <c r="F28">
        <v>-6.3989804858677205E-4</v>
      </c>
      <c r="G28">
        <f>SQRT(Calcs!J29)</f>
        <v>0.18553710547744912</v>
      </c>
      <c r="H28" s="71">
        <f t="shared" si="0"/>
        <v>-0.13888206715549231</v>
      </c>
      <c r="I28" s="70">
        <f>LN(Calcs!L30/Calcs!L29)</f>
        <v>7.2314007533201127E-3</v>
      </c>
      <c r="J28" s="76">
        <f t="shared" si="1"/>
        <v>7.8712988019068852E-3</v>
      </c>
      <c r="K28" s="72">
        <f t="shared" si="4"/>
        <v>1544.7222316084017</v>
      </c>
      <c r="L28" s="72">
        <f t="shared" si="3"/>
        <v>1559.4507388962234</v>
      </c>
      <c r="M28" s="75">
        <f t="shared" si="2"/>
        <v>-14.728507287821685</v>
      </c>
    </row>
    <row r="29" spans="1:13" x14ac:dyDescent="0.2">
      <c r="A29">
        <v>-1.93639566134407</v>
      </c>
      <c r="B29" s="69">
        <v>1.01519278884648</v>
      </c>
      <c r="C29">
        <v>1.8691096161930001</v>
      </c>
      <c r="D29">
        <v>0</v>
      </c>
      <c r="E29">
        <v>6.3266314151354697E-2</v>
      </c>
      <c r="F29">
        <v>-7.6718087987511403E-3</v>
      </c>
      <c r="G29">
        <f>SQRT(Calcs!J30)</f>
        <v>0.15252686465024523</v>
      </c>
      <c r="H29" s="71">
        <f t="shared" si="0"/>
        <v>-8.9260550498890534E-2</v>
      </c>
      <c r="I29" s="70">
        <f>LN(Calcs!L31/Calcs!L30)</f>
        <v>-4.9779013882086586E-3</v>
      </c>
      <c r="J29" s="76">
        <f t="shared" si="1"/>
        <v>2.6939074105424817E-3</v>
      </c>
      <c r="K29" s="72">
        <f t="shared" si="4"/>
        <v>1537.0518636738611</v>
      </c>
      <c r="L29" s="72">
        <f t="shared" si="3"/>
        <v>1547.5327058861631</v>
      </c>
      <c r="M29" s="75">
        <f t="shared" si="2"/>
        <v>-10.480842212301923</v>
      </c>
    </row>
    <row r="30" spans="1:13" x14ac:dyDescent="0.2">
      <c r="A30">
        <v>-1.5088719063577201</v>
      </c>
      <c r="B30" s="69">
        <v>0.97213669130157498</v>
      </c>
      <c r="C30">
        <v>-0.17796817227209599</v>
      </c>
      <c r="D30">
        <v>0</v>
      </c>
      <c r="E30">
        <v>8.7131874857163394E-2</v>
      </c>
      <c r="F30">
        <v>-8.2434974115353707E-3</v>
      </c>
      <c r="G30">
        <f>SQRT(Calcs!J31)</f>
        <v>0.20778408246995894</v>
      </c>
      <c r="H30" s="71">
        <f t="shared" si="0"/>
        <v>-0.12065220761279555</v>
      </c>
      <c r="I30" s="70">
        <f>LN(Calcs!L32/Calcs!L31)</f>
        <v>-8.9472094255860755E-4</v>
      </c>
      <c r="J30" s="76">
        <f t="shared" si="1"/>
        <v>7.3487764689767632E-3</v>
      </c>
      <c r="K30" s="72">
        <f t="shared" si="4"/>
        <v>1535.6772462228455</v>
      </c>
      <c r="L30" s="72">
        <f t="shared" si="3"/>
        <v>1534.8280613287122</v>
      </c>
      <c r="M30" s="75">
        <f t="shared" si="2"/>
        <v>0.84918489413325915</v>
      </c>
    </row>
    <row r="31" spans="1:13" x14ac:dyDescent="0.2">
      <c r="A31">
        <v>-0.148500767266635</v>
      </c>
      <c r="B31" s="69">
        <v>0.27884628518247401</v>
      </c>
      <c r="C31">
        <v>0.74563467871593303</v>
      </c>
      <c r="D31">
        <v>0</v>
      </c>
      <c r="E31">
        <v>0.110382255521941</v>
      </c>
      <c r="F31">
        <v>-1.0033142029469101E-3</v>
      </c>
      <c r="G31">
        <f>SQRT(Calcs!J32)</f>
        <v>0.19779090186636236</v>
      </c>
      <c r="H31" s="71">
        <f t="shared" si="0"/>
        <v>-8.7408646344421359E-2</v>
      </c>
      <c r="I31" s="70">
        <f>LN(Calcs!L33/Calcs!L32)</f>
        <v>2.226876557709658E-3</v>
      </c>
      <c r="J31" s="76">
        <f t="shared" si="1"/>
        <v>3.2301907606565681E-3</v>
      </c>
      <c r="K31" s="72">
        <f t="shared" si="4"/>
        <v>1539.1008204064278</v>
      </c>
      <c r="L31" s="72">
        <f t="shared" si="3"/>
        <v>1533.2889187865994</v>
      </c>
      <c r="M31" s="75">
        <f t="shared" si="2"/>
        <v>5.8119016198284044</v>
      </c>
    </row>
    <row r="32" spans="1:13" x14ac:dyDescent="0.2">
      <c r="A32">
        <v>0.96544185584848696</v>
      </c>
      <c r="B32" s="69">
        <v>-9.3608065749432798E-2</v>
      </c>
      <c r="C32">
        <v>0.26327508205705002</v>
      </c>
      <c r="D32">
        <v>0</v>
      </c>
      <c r="E32">
        <v>0.11544213846726301</v>
      </c>
      <c r="F32">
        <v>7.04786654443259E-3</v>
      </c>
      <c r="G32">
        <f>SQRT(Calcs!J33)</f>
        <v>0.20945591414658724</v>
      </c>
      <c r="H32" s="71">
        <f t="shared" si="0"/>
        <v>-9.401377567932423E-2</v>
      </c>
      <c r="I32" s="70">
        <f>LN(Calcs!L34/Calcs!L33)</f>
        <v>-2.9581924267950196E-3</v>
      </c>
      <c r="J32" s="76">
        <f t="shared" si="1"/>
        <v>-1.000605897122761E-2</v>
      </c>
      <c r="K32" s="72">
        <f t="shared" si="4"/>
        <v>1534.5545916404803</v>
      </c>
      <c r="L32" s="72">
        <f t="shared" si="3"/>
        <v>1544.1335051693393</v>
      </c>
      <c r="M32" s="75">
        <f t="shared" si="2"/>
        <v>-9.5789135288589478</v>
      </c>
    </row>
    <row r="33" spans="1:13" x14ac:dyDescent="0.2">
      <c r="A33">
        <v>-0.215156314320364</v>
      </c>
      <c r="B33" s="69">
        <v>-0.76302413327823204</v>
      </c>
      <c r="C33">
        <v>1.4170156053959699</v>
      </c>
      <c r="D33">
        <v>0</v>
      </c>
      <c r="E33">
        <v>0.110600569471133</v>
      </c>
      <c r="F33">
        <v>-1.46985343965681E-3</v>
      </c>
      <c r="G33">
        <f>SQRT(Calcs!J34)</f>
        <v>0.20805866666179751</v>
      </c>
      <c r="H33" s="71">
        <f t="shared" si="0"/>
        <v>-9.7458097190664505E-2</v>
      </c>
      <c r="I33" s="70">
        <f>LN(Calcs!L35/Calcs!L34)</f>
        <v>-7.5222470532025961E-3</v>
      </c>
      <c r="J33" s="76">
        <f t="shared" si="1"/>
        <v>-6.0523936135457859E-3</v>
      </c>
      <c r="K33" s="72">
        <f t="shared" si="4"/>
        <v>1523.05460000108</v>
      </c>
      <c r="L33" s="72">
        <f t="shared" si="3"/>
        <v>1541.8655224349138</v>
      </c>
      <c r="M33" s="75">
        <f t="shared" si="2"/>
        <v>-18.810922433833866</v>
      </c>
    </row>
    <row r="34" spans="1:13" x14ac:dyDescent="0.2">
      <c r="A34">
        <v>-1.45140665638679</v>
      </c>
      <c r="B34" s="69">
        <v>0.36273077229571798</v>
      </c>
      <c r="C34">
        <v>1.64923045667284</v>
      </c>
      <c r="D34">
        <v>0</v>
      </c>
      <c r="E34">
        <v>8.7588862291387598E-2</v>
      </c>
      <c r="F34">
        <v>-7.9700233917484702E-3</v>
      </c>
      <c r="G34">
        <f>SQRT(Calcs!J35)</f>
        <v>0.25980969003292803</v>
      </c>
      <c r="H34" s="71">
        <f t="shared" si="0"/>
        <v>-0.17222082774154043</v>
      </c>
      <c r="I34" s="70">
        <f>LN(Calcs!L36/Calcs!L35)</f>
        <v>-2.5447968535960198E-2</v>
      </c>
      <c r="J34" s="76">
        <f t="shared" si="1"/>
        <v>-1.7477945144211728E-2</v>
      </c>
      <c r="K34" s="72">
        <f t="shared" si="4"/>
        <v>1484.7849619933004</v>
      </c>
      <c r="L34" s="72">
        <f t="shared" si="3"/>
        <v>1529.6256589442503</v>
      </c>
      <c r="M34" s="75">
        <f t="shared" si="2"/>
        <v>-44.840696950949905</v>
      </c>
    </row>
    <row r="35" spans="1:13" x14ac:dyDescent="0.2">
      <c r="A35">
        <v>-1.34108202436347</v>
      </c>
      <c r="B35" s="69">
        <v>0.34000845125148199</v>
      </c>
      <c r="C35">
        <v>9.8184230391015107E-2</v>
      </c>
      <c r="D35">
        <v>0</v>
      </c>
      <c r="E35">
        <v>9.4451820633404099E-2</v>
      </c>
      <c r="F35">
        <v>-7.9435615636169292E-3</v>
      </c>
      <c r="G35">
        <f>SQRT(Calcs!J36)</f>
        <v>0.25811718903106251</v>
      </c>
      <c r="H35" s="71">
        <f t="shared" si="0"/>
        <v>-0.16366536839765841</v>
      </c>
      <c r="I35" s="70">
        <f>LN(Calcs!L37/Calcs!L36)</f>
        <v>-2.4212121875081321E-3</v>
      </c>
      <c r="J35" s="76">
        <f t="shared" si="1"/>
        <v>5.5223493761087971E-3</v>
      </c>
      <c r="K35" s="72">
        <f t="shared" si="4"/>
        <v>1481.1943311411867</v>
      </c>
      <c r="L35" s="72">
        <f t="shared" si="3"/>
        <v>1517.5231156413518</v>
      </c>
      <c r="M35" s="75">
        <f t="shared" si="2"/>
        <v>-36.328784500165057</v>
      </c>
    </row>
    <row r="36" spans="1:13" x14ac:dyDescent="0.2">
      <c r="A36">
        <v>-1.39655826206267</v>
      </c>
      <c r="B36" s="69">
        <v>0.13571731450637201</v>
      </c>
      <c r="C36">
        <v>-0.60669387352705295</v>
      </c>
      <c r="D36">
        <v>0</v>
      </c>
      <c r="E36">
        <v>0.100859633894104</v>
      </c>
      <c r="F36">
        <v>-8.8398498439803894E-3</v>
      </c>
      <c r="G36">
        <f>SQRT(Calcs!J37)</f>
        <v>0.26090089081647577</v>
      </c>
      <c r="H36" s="71">
        <f t="shared" si="0"/>
        <v>-0.16004125692237176</v>
      </c>
      <c r="I36" s="70">
        <f>LN(Calcs!L38/Calcs!L37)</f>
        <v>-4.0099244224843698E-2</v>
      </c>
      <c r="J36" s="76">
        <f t="shared" si="1"/>
        <v>-3.1259394380863309E-2</v>
      </c>
      <c r="K36" s="72">
        <f t="shared" si="4"/>
        <v>1422.97464166949</v>
      </c>
      <c r="L36" s="72">
        <f t="shared" si="3"/>
        <v>1504.1675567022276</v>
      </c>
      <c r="M36" s="75">
        <f t="shared" si="2"/>
        <v>-81.192915032737574</v>
      </c>
    </row>
    <row r="37" spans="1:13" x14ac:dyDescent="0.2">
      <c r="A37">
        <v>0.98487536093202799</v>
      </c>
      <c r="B37" s="69">
        <v>-1.6434129033218801</v>
      </c>
      <c r="C37">
        <v>-0.52507365986019805</v>
      </c>
      <c r="D37">
        <v>0</v>
      </c>
      <c r="E37">
        <v>0.101902552244111</v>
      </c>
      <c r="F37">
        <v>6.3550153746629798E-3</v>
      </c>
      <c r="G37">
        <f>SQRT(Calcs!J38)</f>
        <v>0.29921501939072676</v>
      </c>
      <c r="H37" s="71">
        <f t="shared" si="0"/>
        <v>-0.19731246714661577</v>
      </c>
      <c r="I37" s="70">
        <f>LN(Calcs!L39/Calcs!L38)</f>
        <v>3.4867810826651129E-2</v>
      </c>
      <c r="J37" s="76">
        <f t="shared" si="1"/>
        <v>2.8512795451988149E-2</v>
      </c>
      <c r="K37" s="72">
        <f t="shared" si="4"/>
        <v>1473.4657949353937</v>
      </c>
      <c r="L37" s="72">
        <f t="shared" si="3"/>
        <v>1513.7570029167678</v>
      </c>
      <c r="M37" s="75">
        <f t="shared" si="2"/>
        <v>-40.2912079813741</v>
      </c>
    </row>
    <row r="38" spans="1:13" x14ac:dyDescent="0.2">
      <c r="A38">
        <v>-1.0875770666531499</v>
      </c>
      <c r="B38" s="69">
        <v>-0.81111871872147201</v>
      </c>
      <c r="C38">
        <v>1.0985303051333</v>
      </c>
      <c r="D38">
        <v>0</v>
      </c>
      <c r="E38">
        <v>5.41087112668149E-2</v>
      </c>
      <c r="F38">
        <v>-3.6593960277366199E-3</v>
      </c>
      <c r="G38">
        <f>SQRT(Calcs!J39)</f>
        <v>0.22394345964842519</v>
      </c>
      <c r="H38" s="71">
        <f t="shared" si="0"/>
        <v>-0.16983474838161028</v>
      </c>
      <c r="I38" s="70">
        <f>LN(Calcs!L40/Calcs!L39)</f>
        <v>1.86217763182395E-2</v>
      </c>
      <c r="J38" s="76">
        <f t="shared" si="1"/>
        <v>2.2281172345976121E-2</v>
      </c>
      <c r="K38" s="72">
        <f t="shared" si="4"/>
        <v>1501.161415879508</v>
      </c>
      <c r="L38" s="72">
        <f t="shared" si="3"/>
        <v>1508.2276896970857</v>
      </c>
      <c r="M38" s="75">
        <f t="shared" si="2"/>
        <v>-7.0662738175776667</v>
      </c>
    </row>
    <row r="39" spans="1:13" x14ac:dyDescent="0.2">
      <c r="A39">
        <v>-0.92384372252827796</v>
      </c>
      <c r="B39" s="69">
        <v>1.2029240078557899</v>
      </c>
      <c r="C39">
        <v>-0.185600784984186</v>
      </c>
      <c r="D39">
        <v>0</v>
      </c>
      <c r="E39">
        <v>2.4153433744292001E-2</v>
      </c>
      <c r="F39">
        <v>-1.35335692530782E-3</v>
      </c>
      <c r="G39">
        <f>SQRT(Calcs!J40)</f>
        <v>0.21979084199225288</v>
      </c>
      <c r="H39" s="71">
        <f t="shared" si="0"/>
        <v>-0.19563740824796089</v>
      </c>
      <c r="I39" s="70">
        <f>LN(Calcs!L41/Calcs!L40)</f>
        <v>1.7657026841095515E-2</v>
      </c>
      <c r="J39" s="76">
        <f t="shared" si="1"/>
        <v>1.9010383766403335E-2</v>
      </c>
      <c r="K39" s="72">
        <f t="shared" si="4"/>
        <v>1527.9028556901517</v>
      </c>
      <c r="L39" s="72">
        <f t="shared" si="3"/>
        <v>1506.1878999014518</v>
      </c>
      <c r="M39" s="75">
        <f t="shared" si="2"/>
        <v>21.714955788699854</v>
      </c>
    </row>
    <row r="40" spans="1:13" x14ac:dyDescent="0.2">
      <c r="A40">
        <v>2.3874086150671201</v>
      </c>
      <c r="B40" s="69">
        <v>-0.220893302424963</v>
      </c>
      <c r="C40">
        <v>-0.79777761237895695</v>
      </c>
      <c r="D40">
        <v>0</v>
      </c>
      <c r="E40">
        <v>5.12376444882396E-2</v>
      </c>
      <c r="F40">
        <v>7.7540043342613999E-3</v>
      </c>
      <c r="G40">
        <f>SQRT(Calcs!J41)</f>
        <v>0.19299495859024737</v>
      </c>
      <c r="H40" s="71">
        <f t="shared" si="0"/>
        <v>-0.14175731410200776</v>
      </c>
      <c r="I40" s="70">
        <f>LN(Calcs!L42/Calcs!L41)</f>
        <v>6.2200311220742387E-3</v>
      </c>
      <c r="J40" s="76">
        <f t="shared" si="1"/>
        <v>-1.5339732121871612E-3</v>
      </c>
      <c r="K40" s="72">
        <f t="shared" si="4"/>
        <v>1537.4360767341338</v>
      </c>
      <c r="L40" s="72">
        <f t="shared" si="3"/>
        <v>1517.9122841249584</v>
      </c>
      <c r="M40" s="75">
        <f t="shared" si="2"/>
        <v>19.523792609175416</v>
      </c>
    </row>
    <row r="41" spans="1:13" x14ac:dyDescent="0.2">
      <c r="A41">
        <v>-0.42549007877553402</v>
      </c>
      <c r="B41" s="69">
        <v>-0.327677572705243</v>
      </c>
      <c r="C41">
        <v>-2.2110373851251701</v>
      </c>
      <c r="D41">
        <v>0</v>
      </c>
      <c r="E41">
        <v>3.9661430565129198E-2</v>
      </c>
      <c r="F41">
        <v>-1.0127301657490101E-3</v>
      </c>
      <c r="G41">
        <f>SQRT(Calcs!J42)</f>
        <v>0.17853020435770164</v>
      </c>
      <c r="H41" s="71">
        <f t="shared" si="0"/>
        <v>-0.13886877379257245</v>
      </c>
      <c r="I41" s="70">
        <f>LN(Calcs!L43/Calcs!L42)</f>
        <v>-4.5641522299244108E-4</v>
      </c>
      <c r="J41" s="76">
        <f t="shared" si="1"/>
        <v>5.5631494275656902E-4</v>
      </c>
      <c r="K41" s="72">
        <f t="shared" si="4"/>
        <v>1536.7345276153619</v>
      </c>
      <c r="L41" s="72">
        <f t="shared" si="3"/>
        <v>1516.3758267055714</v>
      </c>
      <c r="M41" s="75">
        <f t="shared" si="2"/>
        <v>20.358700909790514</v>
      </c>
    </row>
    <row r="42" spans="1:13" x14ac:dyDescent="0.2">
      <c r="A42">
        <v>-0.50922350530695004</v>
      </c>
      <c r="B42" s="69">
        <v>2.8170646911348001E-2</v>
      </c>
      <c r="C42">
        <v>1.3241526545731801</v>
      </c>
      <c r="D42">
        <v>0</v>
      </c>
      <c r="E42">
        <v>2.1842388392275699E-2</v>
      </c>
      <c r="F42">
        <v>-6.4815782616914298E-4</v>
      </c>
      <c r="G42">
        <f>SQRT(Calcs!J43)</f>
        <v>0.19765596744558309</v>
      </c>
      <c r="H42" s="71">
        <f t="shared" si="0"/>
        <v>-0.17581357905330738</v>
      </c>
      <c r="I42" s="70">
        <f>LN(Calcs!L44/Calcs!L43)</f>
        <v>-5.8396975412342124E-3</v>
      </c>
      <c r="J42" s="76">
        <f t="shared" si="1"/>
        <v>-5.1915397150650699E-3</v>
      </c>
      <c r="K42" s="72">
        <f t="shared" si="4"/>
        <v>1527.7866147537979</v>
      </c>
      <c r="L42" s="72">
        <f t="shared" si="3"/>
        <v>1515.3932942985107</v>
      </c>
      <c r="M42" s="75">
        <f t="shared" si="2"/>
        <v>12.393320455287267</v>
      </c>
    </row>
    <row r="43" spans="1:13" x14ac:dyDescent="0.2">
      <c r="A43">
        <v>-1.0410777611851001</v>
      </c>
      <c r="B43" s="69">
        <v>1.0205529070702</v>
      </c>
      <c r="C43">
        <v>0.48361148568839901</v>
      </c>
      <c r="D43">
        <v>0</v>
      </c>
      <c r="E43">
        <v>5.1967829139853896E-3</v>
      </c>
      <c r="F43">
        <v>-2.8741727269612901E-4</v>
      </c>
      <c r="G43">
        <f>SQRT(Calcs!J44)</f>
        <v>0.21917445846604883</v>
      </c>
      <c r="H43" s="71">
        <f t="shared" si="0"/>
        <v>-0.21397767555206343</v>
      </c>
      <c r="I43" s="70">
        <f>LN(Calcs!L45/Calcs!L44)</f>
        <v>-4.9078359638214056E-3</v>
      </c>
      <c r="J43" s="76">
        <f t="shared" si="1"/>
        <v>-4.6204186911252762E-3</v>
      </c>
      <c r="K43" s="72">
        <f t="shared" si="4"/>
        <v>1520.3068583831664</v>
      </c>
      <c r="L43" s="72">
        <f t="shared" si="3"/>
        <v>1514.9578066771314</v>
      </c>
      <c r="M43" s="75">
        <f t="shared" si="2"/>
        <v>5.3490517060349703</v>
      </c>
    </row>
    <row r="44" spans="1:13" x14ac:dyDescent="0.2">
      <c r="A44">
        <v>-1.0488500625025099</v>
      </c>
      <c r="B44" s="69">
        <v>2.0460644005593802</v>
      </c>
      <c r="C44">
        <v>0.50909101883881003</v>
      </c>
      <c r="D44">
        <v>0</v>
      </c>
      <c r="E44">
        <v>2.3308233104646501E-2</v>
      </c>
      <c r="F44">
        <v>-1.4876338510737301E-3</v>
      </c>
      <c r="G44">
        <f>SQRT(Calcs!J45)</f>
        <v>0.24733120745461351</v>
      </c>
      <c r="H44" s="71">
        <f t="shared" si="0"/>
        <v>-0.22402297434996701</v>
      </c>
      <c r="I44" s="70">
        <f>LN(Calcs!L46/Calcs!L45)</f>
        <v>-5.0775600963206659E-3</v>
      </c>
      <c r="J44" s="76">
        <f t="shared" si="1"/>
        <v>-3.5899262452469358E-3</v>
      </c>
      <c r="K44" s="72">
        <f t="shared" si="4"/>
        <v>1512.6069738011761</v>
      </c>
      <c r="L44" s="72">
        <f t="shared" si="3"/>
        <v>1512.7057796720949</v>
      </c>
      <c r="M44" s="75">
        <f t="shared" si="2"/>
        <v>-9.8805870918795335E-2</v>
      </c>
    </row>
    <row r="45" spans="1:13" x14ac:dyDescent="0.2">
      <c r="A45">
        <v>1.14062489949019</v>
      </c>
      <c r="B45" s="69">
        <v>-1.02911221638938</v>
      </c>
      <c r="C45">
        <v>0.57361824315431098</v>
      </c>
      <c r="D45">
        <v>0</v>
      </c>
      <c r="E45">
        <v>7.3858529176301202E-2</v>
      </c>
      <c r="F45">
        <v>5.3495552228327104E-3</v>
      </c>
      <c r="G45">
        <f>SQRT(Calcs!J46)</f>
        <v>0.27018277738987445</v>
      </c>
      <c r="H45" s="71">
        <f t="shared" si="0"/>
        <v>-0.19632424821357325</v>
      </c>
      <c r="I45" s="70">
        <f>LN(Calcs!L47/Calcs!L46)</f>
        <v>9.0572958669053114E-3</v>
      </c>
      <c r="J45" s="76">
        <f t="shared" si="1"/>
        <v>3.707740644072601E-3</v>
      </c>
      <c r="K45" s="72">
        <f t="shared" si="4"/>
        <v>1526.3693334926602</v>
      </c>
      <c r="L45" s="72">
        <f t="shared" si="3"/>
        <v>1520.819766536431</v>
      </c>
      <c r="M45" s="75">
        <f t="shared" si="2"/>
        <v>5.5495669562292278</v>
      </c>
    </row>
    <row r="46" spans="1:13" x14ac:dyDescent="0.2">
      <c r="A46">
        <v>-0.240779160858268</v>
      </c>
      <c r="B46" s="69">
        <v>0.13858208515915499</v>
      </c>
      <c r="C46">
        <v>2.1534967078640301</v>
      </c>
      <c r="D46">
        <v>0</v>
      </c>
      <c r="E46">
        <v>4.1111470229249901E-2</v>
      </c>
      <c r="F46">
        <v>-5.6711315237095304E-4</v>
      </c>
      <c r="G46">
        <f>SQRT(Calcs!J47)</f>
        <v>0.25398369392145986</v>
      </c>
      <c r="H46" s="71">
        <f t="shared" si="0"/>
        <v>-0.21287222369220996</v>
      </c>
      <c r="I46" s="70">
        <f>LN(Calcs!L48/Calcs!L47)</f>
        <v>4.2646752615502076E-3</v>
      </c>
      <c r="J46" s="76">
        <f t="shared" si="1"/>
        <v>4.8317884139211604E-3</v>
      </c>
      <c r="K46" s="72">
        <f t="shared" si="4"/>
        <v>1532.8927031688804</v>
      </c>
      <c r="L46" s="72">
        <f t="shared" si="3"/>
        <v>1519.9575341592122</v>
      </c>
      <c r="M46" s="75">
        <f t="shared" si="2"/>
        <v>12.935169009668243</v>
      </c>
    </row>
    <row r="47" spans="1:13" x14ac:dyDescent="0.2">
      <c r="A47">
        <v>1.5389266870318601</v>
      </c>
      <c r="B47" s="69">
        <v>-1.1720480010474501</v>
      </c>
      <c r="C47">
        <v>-0.103828621360535</v>
      </c>
      <c r="D47">
        <v>0</v>
      </c>
      <c r="E47">
        <v>3.8924319366369399E-2</v>
      </c>
      <c r="F47">
        <v>3.8302497962070001E-3</v>
      </c>
      <c r="G47">
        <f>SQRT(Calcs!J48)</f>
        <v>0.23989755054486958</v>
      </c>
      <c r="H47" s="71">
        <f t="shared" si="0"/>
        <v>-0.20097323117850019</v>
      </c>
      <c r="I47" s="70">
        <f>LN(Calcs!L49/Calcs!L48)</f>
        <v>2.4739743163836375E-3</v>
      </c>
      <c r="J47" s="76">
        <f t="shared" si="1"/>
        <v>-1.3562754798233626E-3</v>
      </c>
      <c r="K47" s="72">
        <f t="shared" si="4"/>
        <v>1536.6897352896049</v>
      </c>
      <c r="L47" s="72">
        <f t="shared" si="3"/>
        <v>1525.7905149501992</v>
      </c>
      <c r="M47" s="75">
        <f t="shared" si="2"/>
        <v>10.899220339405701</v>
      </c>
    </row>
    <row r="48" spans="1:13" x14ac:dyDescent="0.2">
      <c r="A48">
        <v>2.4401277306430398</v>
      </c>
      <c r="B48" s="69">
        <v>-2.1212195974908798</v>
      </c>
      <c r="C48">
        <v>1.43709076905599</v>
      </c>
      <c r="D48">
        <v>0</v>
      </c>
      <c r="E48">
        <v>0</v>
      </c>
      <c r="F48">
        <v>5.9805187547615602E-5</v>
      </c>
      <c r="G48">
        <f>SQRT(Calcs!J49)</f>
        <v>0.21983448392071431</v>
      </c>
      <c r="H48" s="71">
        <f t="shared" si="0"/>
        <v>-0.21983448392071431</v>
      </c>
      <c r="I48" s="70">
        <f>LN(Calcs!L50/Calcs!L49)</f>
        <v>5.1579019024186532E-3</v>
      </c>
      <c r="J48" s="76">
        <f t="shared" si="1"/>
        <v>5.0980967148710372E-3</v>
      </c>
      <c r="K48" s="72">
        <f t="shared" si="4"/>
        <v>1544.6363063982933</v>
      </c>
      <c r="L48" s="72">
        <f t="shared" si="3"/>
        <v>1525.8817678667758</v>
      </c>
      <c r="M48" s="75">
        <f t="shared" si="2"/>
        <v>18.754538531517483</v>
      </c>
    </row>
    <row r="49" spans="1:13" x14ac:dyDescent="0.2">
      <c r="A49">
        <v>0.53909616258569903</v>
      </c>
      <c r="B49" s="69">
        <v>-1.95102235798345</v>
      </c>
      <c r="C49">
        <v>1.41999996680622</v>
      </c>
      <c r="D49">
        <v>0</v>
      </c>
      <c r="E49">
        <v>5.1228219811456303E-2</v>
      </c>
      <c r="F49">
        <v>1.7943016712711501E-3</v>
      </c>
      <c r="G49">
        <f>SQRT(Calcs!J50)</f>
        <v>0.24577421223572146</v>
      </c>
      <c r="H49" s="71">
        <f t="shared" si="0"/>
        <v>-0.19454599242426515</v>
      </c>
      <c r="I49" s="70">
        <f>LN(Calcs!L51/Calcs!L50)</f>
        <v>-9.6114717356244449E-3</v>
      </c>
      <c r="J49" s="76">
        <f t="shared" si="1"/>
        <v>-1.1405773406895595E-2</v>
      </c>
      <c r="K49" s="72">
        <f t="shared" si="4"/>
        <v>1529.8611972137053</v>
      </c>
      <c r="L49" s="72">
        <f t="shared" si="3"/>
        <v>1528.6221178450769</v>
      </c>
      <c r="M49" s="75">
        <f t="shared" si="2"/>
        <v>1.2390793686283814</v>
      </c>
    </row>
    <row r="50" spans="1:13" x14ac:dyDescent="0.2">
      <c r="A50">
        <v>-7.6046752029386197E-2</v>
      </c>
      <c r="B50" s="69">
        <v>-0.30227942781269401</v>
      </c>
      <c r="C50">
        <v>-0.48688984092215398</v>
      </c>
      <c r="D50">
        <v>0</v>
      </c>
      <c r="E50">
        <v>0</v>
      </c>
      <c r="F50">
        <v>5.9805187547615602E-5</v>
      </c>
      <c r="G50">
        <f>SQRT(Calcs!J51)</f>
        <v>0.26209435574736872</v>
      </c>
      <c r="H50" s="71">
        <f t="shared" si="0"/>
        <v>-0.26209435574736872</v>
      </c>
      <c r="I50" s="70">
        <f>LN(Calcs!L52/Calcs!L51)</f>
        <v>2.3643886614562865E-2</v>
      </c>
      <c r="J50" s="76">
        <f t="shared" si="1"/>
        <v>2.3584081427015249E-2</v>
      </c>
      <c r="K50" s="72">
        <f t="shared" si="4"/>
        <v>1566.4640738593175</v>
      </c>
      <c r="L50" s="72">
        <f t="shared" si="3"/>
        <v>1528.7135401112596</v>
      </c>
      <c r="M50" s="75">
        <f t="shared" si="2"/>
        <v>37.750533748057933</v>
      </c>
    </row>
    <row r="51" spans="1:13" x14ac:dyDescent="0.2">
      <c r="A51">
        <v>0.114497810181573</v>
      </c>
      <c r="B51" s="69">
        <v>-0.68167499085616901</v>
      </c>
      <c r="C51">
        <v>1.56447773340494</v>
      </c>
      <c r="D51">
        <v>0</v>
      </c>
      <c r="E51">
        <v>0</v>
      </c>
      <c r="F51">
        <v>5.9805187547615602E-5</v>
      </c>
      <c r="G51">
        <f>SQRT(Calcs!J52)</f>
        <v>0.21083943707761377</v>
      </c>
      <c r="H51" s="71">
        <f t="shared" si="0"/>
        <v>-0.21083943707761377</v>
      </c>
      <c r="I51" s="70">
        <f>LN(Calcs!L53/Calcs!L52)</f>
        <v>1.4629515676265485E-3</v>
      </c>
      <c r="J51" s="76">
        <f t="shared" si="1"/>
        <v>1.4031463800789328E-3</v>
      </c>
      <c r="K51" s="72">
        <f t="shared" si="4"/>
        <v>1568.757412044125</v>
      </c>
      <c r="L51" s="72">
        <f t="shared" si="3"/>
        <v>1528.8049678451316</v>
      </c>
      <c r="M51" s="75">
        <f t="shared" si="2"/>
        <v>39.952444198993362</v>
      </c>
    </row>
    <row r="52" spans="1:13" x14ac:dyDescent="0.2">
      <c r="A52">
        <v>1.05148590812006</v>
      </c>
      <c r="B52" s="69">
        <v>-0.11663864455858</v>
      </c>
      <c r="C52">
        <v>-6.0602336681647804E-3</v>
      </c>
      <c r="D52">
        <v>0</v>
      </c>
      <c r="E52">
        <v>0</v>
      </c>
      <c r="F52">
        <v>5.9805187547615602E-5</v>
      </c>
      <c r="G52">
        <f>SQRT(Calcs!J53)</f>
        <v>0.18154954075389615</v>
      </c>
      <c r="H52" s="71">
        <f t="shared" si="0"/>
        <v>-0.18154954075389615</v>
      </c>
      <c r="I52" s="70">
        <f>LN(Calcs!L54/Calcs!L53)</f>
        <v>1.0172147439396297E-2</v>
      </c>
      <c r="J52" s="76">
        <f t="shared" si="1"/>
        <v>1.0112342251848681E-2</v>
      </c>
      <c r="K52" s="72">
        <f t="shared" si="4"/>
        <v>1584.7964813247506</v>
      </c>
      <c r="L52" s="72">
        <f t="shared" si="3"/>
        <v>1528.8964010470199</v>
      </c>
      <c r="M52" s="75">
        <f t="shared" si="2"/>
        <v>55.900080277730694</v>
      </c>
    </row>
    <row r="53" spans="1:13" x14ac:dyDescent="0.2">
      <c r="A53">
        <v>2.04338995999978</v>
      </c>
      <c r="B53" s="69">
        <v>3.5252159096778E-2</v>
      </c>
      <c r="C53">
        <v>-0.21861208616650901</v>
      </c>
      <c r="D53">
        <v>0</v>
      </c>
      <c r="E53">
        <v>0</v>
      </c>
      <c r="F53">
        <v>5.9805187547615602E-5</v>
      </c>
      <c r="G53">
        <f>SQRT(Calcs!J54)</f>
        <v>0.1391749665560415</v>
      </c>
      <c r="H53" s="71">
        <f t="shared" si="0"/>
        <v>-0.1391749665560415</v>
      </c>
      <c r="I53" s="70">
        <f>LN(Calcs!L55/Calcs!L54)</f>
        <v>2.9369278804730692E-3</v>
      </c>
      <c r="J53" s="76">
        <f t="shared" si="1"/>
        <v>2.8771226929254537E-3</v>
      </c>
      <c r="K53" s="72">
        <f t="shared" si="4"/>
        <v>1589.457755858695</v>
      </c>
      <c r="L53" s="72">
        <f t="shared" si="3"/>
        <v>1528.9878397172515</v>
      </c>
      <c r="M53" s="75">
        <f t="shared" si="2"/>
        <v>60.469916141443491</v>
      </c>
    </row>
    <row r="54" spans="1:13" x14ac:dyDescent="0.2">
      <c r="A54">
        <v>-1.3857751696423499</v>
      </c>
      <c r="B54" s="69">
        <v>0.78637777857817903</v>
      </c>
      <c r="C54">
        <v>0.62585592815521696</v>
      </c>
      <c r="D54">
        <v>0</v>
      </c>
      <c r="E54">
        <v>0</v>
      </c>
      <c r="F54">
        <v>5.9805187547615602E-5</v>
      </c>
      <c r="G54">
        <f>SQRT(Calcs!J55)</f>
        <v>0.14582165912455117</v>
      </c>
      <c r="H54" s="71">
        <f t="shared" si="0"/>
        <v>-0.14582165912455117</v>
      </c>
      <c r="I54" s="70">
        <f>LN(Calcs!L56/Calcs!L55)</f>
        <v>-4.6536176843142516E-3</v>
      </c>
      <c r="J54" s="76">
        <f t="shared" si="1"/>
        <v>-4.7134228718618675E-3</v>
      </c>
      <c r="K54" s="72">
        <f t="shared" si="4"/>
        <v>1582.0782112449292</v>
      </c>
      <c r="L54" s="72">
        <f t="shared" si="3"/>
        <v>1529.0792838561536</v>
      </c>
      <c r="M54" s="75">
        <f t="shared" si="2"/>
        <v>52.998927388775655</v>
      </c>
    </row>
    <row r="55" spans="1:13" x14ac:dyDescent="0.2">
      <c r="A55">
        <v>2.85945795513899</v>
      </c>
      <c r="B55" s="69">
        <v>-0.37993650934939999</v>
      </c>
      <c r="C55">
        <v>-0.41472075771365202</v>
      </c>
      <c r="D55">
        <v>0</v>
      </c>
      <c r="E55">
        <v>0</v>
      </c>
      <c r="F55">
        <v>5.9805187547615602E-5</v>
      </c>
      <c r="G55">
        <f>SQRT(Calcs!J56)</f>
        <v>0.12374961867586978</v>
      </c>
      <c r="H55" s="71">
        <f t="shared" si="0"/>
        <v>-0.12374961867586978</v>
      </c>
      <c r="I55" s="70">
        <f>LN(Calcs!L57/Calcs!L56)</f>
        <v>-1.3656974304801896E-2</v>
      </c>
      <c r="J55" s="76">
        <f t="shared" si="1"/>
        <v>-1.3716779492349512E-2</v>
      </c>
      <c r="K55" s="72">
        <f t="shared" si="4"/>
        <v>1560.6186794419898</v>
      </c>
      <c r="L55" s="72">
        <f t="shared" si="3"/>
        <v>1529.170733464053</v>
      </c>
      <c r="M55" s="75">
        <f t="shared" si="2"/>
        <v>31.447945977936797</v>
      </c>
    </row>
    <row r="56" spans="1:13" x14ac:dyDescent="0.2">
      <c r="A56">
        <v>0.13172004680820401</v>
      </c>
      <c r="B56" s="69">
        <v>0.619875294300402</v>
      </c>
      <c r="C56">
        <v>-0.54963965425083405</v>
      </c>
      <c r="D56">
        <v>0</v>
      </c>
      <c r="E56">
        <v>0</v>
      </c>
      <c r="F56">
        <v>5.9805187547615602E-5</v>
      </c>
      <c r="G56">
        <f>SQRT(Calcs!J57)</f>
        <v>0.13439004051595826</v>
      </c>
      <c r="H56" s="71">
        <f t="shared" si="0"/>
        <v>-0.13439004051595826</v>
      </c>
      <c r="I56" s="70">
        <f>LN(Calcs!L58/Calcs!L57)</f>
        <v>1.5123280086762466E-3</v>
      </c>
      <c r="J56" s="76">
        <f t="shared" si="1"/>
        <v>1.4525228211286309E-3</v>
      </c>
      <c r="K56" s="72">
        <f t="shared" si="4"/>
        <v>1562.9806323553707</v>
      </c>
      <c r="L56" s="72">
        <f t="shared" si="3"/>
        <v>1529.2621885412768</v>
      </c>
      <c r="M56" s="75">
        <f t="shared" si="2"/>
        <v>33.718443814093916</v>
      </c>
    </row>
    <row r="57" spans="1:13" x14ac:dyDescent="0.2">
      <c r="A57">
        <v>-0.27737531033471702</v>
      </c>
      <c r="B57" s="69">
        <v>-0.96888378848446299</v>
      </c>
      <c r="C57">
        <v>2.9827565727921401E-2</v>
      </c>
      <c r="D57">
        <v>0</v>
      </c>
      <c r="E57">
        <v>0</v>
      </c>
      <c r="F57">
        <v>5.9805187547615602E-5</v>
      </c>
      <c r="G57">
        <f>SQRT(Calcs!J58)</f>
        <v>0.12386490755925425</v>
      </c>
      <c r="H57" s="71">
        <f t="shared" si="0"/>
        <v>-0.12386490755925425</v>
      </c>
      <c r="I57" s="70">
        <f>LN(Calcs!L59/Calcs!L58)</f>
        <v>-1.9532614146857306E-3</v>
      </c>
      <c r="J57" s="76">
        <f t="shared" si="1"/>
        <v>-2.0130666022333461E-3</v>
      </c>
      <c r="K57" s="72">
        <f t="shared" si="4"/>
        <v>1559.930702219398</v>
      </c>
      <c r="L57" s="72">
        <f t="shared" si="3"/>
        <v>1529.3536490881522</v>
      </c>
      <c r="M57" s="75">
        <f t="shared" si="2"/>
        <v>30.577053131245748</v>
      </c>
    </row>
    <row r="58" spans="1:13" x14ac:dyDescent="0.2">
      <c r="A58">
        <v>-1.0116544185705001</v>
      </c>
      <c r="B58" s="69">
        <v>0.56360769419746104</v>
      </c>
      <c r="C58">
        <v>0.22675373248547701</v>
      </c>
      <c r="D58">
        <v>0</v>
      </c>
      <c r="E58">
        <v>1.2913820401865299E-2</v>
      </c>
      <c r="F58">
        <v>-7.6350072148007096E-4</v>
      </c>
      <c r="G58">
        <f>SQRT(Calcs!J59)</f>
        <v>0.1321766844970779</v>
      </c>
      <c r="H58" s="71">
        <f t="shared" si="0"/>
        <v>-0.1192628640952126</v>
      </c>
      <c r="I58" s="70">
        <f>LN(Calcs!L60/Calcs!L59)</f>
        <v>-2.1333628861553711E-3</v>
      </c>
      <c r="J58" s="76">
        <f t="shared" si="1"/>
        <v>-1.3698621646753002E-3</v>
      </c>
      <c r="K58" s="72">
        <f t="shared" si="4"/>
        <v>1556.6063512386361</v>
      </c>
      <c r="L58" s="72">
        <f t="shared" si="3"/>
        <v>1528.1864321158762</v>
      </c>
      <c r="M58" s="75">
        <f t="shared" si="2"/>
        <v>28.419919122759893</v>
      </c>
    </row>
    <row r="59" spans="1:13" x14ac:dyDescent="0.2">
      <c r="A59">
        <v>-0.46307047688458802</v>
      </c>
      <c r="B59" s="69">
        <v>-0.84564151659602904</v>
      </c>
      <c r="C59">
        <v>-1.19002274217169</v>
      </c>
      <c r="D59">
        <v>0</v>
      </c>
      <c r="E59">
        <v>1.6930954514419901E-2</v>
      </c>
      <c r="F59">
        <v>-4.3465133992089599E-4</v>
      </c>
      <c r="G59">
        <f>SQRT(Calcs!J60)</f>
        <v>0.12646874431827571</v>
      </c>
      <c r="H59" s="71">
        <f t="shared" si="0"/>
        <v>-0.10953778980385581</v>
      </c>
      <c r="I59" s="70">
        <f>LN(Calcs!L61/Calcs!L60)</f>
        <v>7.9832374467994002E-3</v>
      </c>
      <c r="J59" s="76">
        <f t="shared" si="1"/>
        <v>8.4178887867202967E-3</v>
      </c>
      <c r="K59" s="72">
        <f t="shared" si="4"/>
        <v>1569.0828444931788</v>
      </c>
      <c r="L59" s="72">
        <f t="shared" si="3"/>
        <v>1527.5223481684518</v>
      </c>
      <c r="M59" s="75">
        <f t="shared" si="2"/>
        <v>41.560496324726955</v>
      </c>
    </row>
    <row r="60" spans="1:13" x14ac:dyDescent="0.2">
      <c r="A60">
        <v>0.95721559643471499</v>
      </c>
      <c r="B60" s="69">
        <v>-2.3807736837138802</v>
      </c>
      <c r="C60">
        <v>0.55628239444624905</v>
      </c>
      <c r="D60">
        <v>0</v>
      </c>
      <c r="E60">
        <v>0</v>
      </c>
      <c r="F60">
        <v>5.9805187547615602E-5</v>
      </c>
      <c r="G60">
        <f>SQRT(Calcs!J61)</f>
        <v>0.10080303126033399</v>
      </c>
      <c r="H60" s="71">
        <f t="shared" si="0"/>
        <v>-0.10080303126033399</v>
      </c>
      <c r="I60" s="70">
        <f>LN(Calcs!L62/Calcs!L61)</f>
        <v>-6.1046799654333305E-3</v>
      </c>
      <c r="J60" s="76">
        <f t="shared" si="1"/>
        <v>-6.1644851529809464E-3</v>
      </c>
      <c r="K60" s="72">
        <f t="shared" si="4"/>
        <v>1559.5332740809449</v>
      </c>
      <c r="L60" s="72">
        <f t="shared" si="3"/>
        <v>1527.6137046607359</v>
      </c>
      <c r="M60" s="75">
        <f t="shared" si="2"/>
        <v>31.919569420208973</v>
      </c>
    </row>
    <row r="61" spans="1:13" x14ac:dyDescent="0.2">
      <c r="A61">
        <v>-0.19657031100584099</v>
      </c>
      <c r="B61" s="69">
        <v>-0.26559322368745703</v>
      </c>
      <c r="C61">
        <v>-0.70713053618055699</v>
      </c>
      <c r="D61">
        <v>0</v>
      </c>
      <c r="E61">
        <v>5.8572991589521603E-2</v>
      </c>
      <c r="F61">
        <v>-6.72297575403397E-4</v>
      </c>
      <c r="G61">
        <f>SQRT(Calcs!J62)</f>
        <v>0.14284405733908206</v>
      </c>
      <c r="H61" s="71">
        <f t="shared" si="0"/>
        <v>-8.4271065749560461E-2</v>
      </c>
      <c r="I61" s="70">
        <f>LN(Calcs!L63/Calcs!L62)</f>
        <v>-1.4048234025444784E-3</v>
      </c>
      <c r="J61" s="76">
        <f t="shared" si="1"/>
        <v>-7.3252582714108136E-4</v>
      </c>
      <c r="K61" s="72">
        <f t="shared" si="4"/>
        <v>1557.343943412008</v>
      </c>
      <c r="L61" s="72">
        <f t="shared" si="3"/>
        <v>1526.5870388220862</v>
      </c>
      <c r="M61" s="75">
        <f t="shared" si="2"/>
        <v>30.75690458992176</v>
      </c>
    </row>
    <row r="62" spans="1:13" x14ac:dyDescent="0.2">
      <c r="A62">
        <v>-1.3274359664583399</v>
      </c>
      <c r="B62" s="69">
        <v>1.32632947898745</v>
      </c>
      <c r="C62">
        <v>-0.29050614399211</v>
      </c>
      <c r="D62">
        <v>0</v>
      </c>
      <c r="E62">
        <v>4.6558776884076197E-2</v>
      </c>
      <c r="F62">
        <v>-3.83776897752186E-3</v>
      </c>
      <c r="G62">
        <f>SQRT(Calcs!J63)</f>
        <v>0.16311386429881236</v>
      </c>
      <c r="H62" s="71">
        <f t="shared" si="0"/>
        <v>-0.11655508741473616</v>
      </c>
      <c r="I62" s="70">
        <f>LN(Calcs!L64/Calcs!L63)</f>
        <v>1.3078592577422726E-2</v>
      </c>
      <c r="J62" s="76">
        <f t="shared" si="1"/>
        <v>1.6916361554944585E-2</v>
      </c>
      <c r="K62" s="72">
        <f t="shared" si="4"/>
        <v>1577.8455844235259</v>
      </c>
      <c r="L62" s="72">
        <f t="shared" si="3"/>
        <v>1520.7395782214639</v>
      </c>
      <c r="M62" s="75">
        <f t="shared" si="2"/>
        <v>57.106006202061963</v>
      </c>
    </row>
    <row r="63" spans="1:13" x14ac:dyDescent="0.2">
      <c r="A63">
        <v>0.969701130752048</v>
      </c>
      <c r="B63" s="69">
        <v>0.816173008866109</v>
      </c>
      <c r="C63">
        <v>-1.9772203017088299</v>
      </c>
      <c r="D63">
        <v>0</v>
      </c>
      <c r="E63">
        <v>7.8338425802457007E-2</v>
      </c>
      <c r="F63">
        <v>4.8329651655705701E-3</v>
      </c>
      <c r="G63">
        <f>SQRT(Calcs!J64)</f>
        <v>0.15953608906882522</v>
      </c>
      <c r="H63" s="71">
        <f t="shared" si="0"/>
        <v>-8.1197663266368209E-2</v>
      </c>
      <c r="I63" s="70">
        <f>LN(Calcs!L65/Calcs!L64)</f>
        <v>3.9253895125685185E-3</v>
      </c>
      <c r="J63" s="76">
        <f t="shared" si="1"/>
        <v>-9.0757565300205161E-4</v>
      </c>
      <c r="K63" s="72">
        <f t="shared" si="4"/>
        <v>1584.051415115795</v>
      </c>
      <c r="L63" s="72">
        <f t="shared" si="3"/>
        <v>1528.1070486523874</v>
      </c>
      <c r="M63" s="75">
        <f t="shared" si="2"/>
        <v>55.944366463407505</v>
      </c>
    </row>
    <row r="64" spans="1:13" x14ac:dyDescent="0.2">
      <c r="A64">
        <v>-0.315221394997308</v>
      </c>
      <c r="B64" s="69">
        <v>0.639828742375955</v>
      </c>
      <c r="C64">
        <v>-0.42573842943247597</v>
      </c>
      <c r="D64">
        <v>0</v>
      </c>
      <c r="E64">
        <v>9.7217356025804405E-2</v>
      </c>
      <c r="F64">
        <v>-1.8894001745707099E-3</v>
      </c>
      <c r="G64">
        <f>SQRT(Calcs!J65)</f>
        <v>0.14174903404136729</v>
      </c>
      <c r="H64" s="71">
        <f t="shared" si="0"/>
        <v>-4.4531678015562889E-2</v>
      </c>
      <c r="I64" s="70">
        <f>LN(Calcs!L66/Calcs!L65)</f>
        <v>4.5103112117096771E-3</v>
      </c>
      <c r="J64" s="76">
        <f t="shared" si="1"/>
        <v>6.3997113862803868E-3</v>
      </c>
      <c r="K64" s="72">
        <f t="shared" si="4"/>
        <v>1591.2121163296813</v>
      </c>
      <c r="L64" s="72">
        <f t="shared" si="3"/>
        <v>1525.2225687544048</v>
      </c>
      <c r="M64" s="75">
        <f t="shared" si="2"/>
        <v>65.989547575276447</v>
      </c>
    </row>
    <row r="65" spans="1:13" x14ac:dyDescent="0.2">
      <c r="A65">
        <v>1.7797612389247399</v>
      </c>
      <c r="B65" s="69">
        <v>-1.01389218396798</v>
      </c>
      <c r="C65">
        <v>0.18392624042671099</v>
      </c>
      <c r="D65">
        <v>0</v>
      </c>
      <c r="E65">
        <v>0.11173326052606</v>
      </c>
      <c r="F65">
        <v>1.2529477570647299E-2</v>
      </c>
      <c r="G65">
        <f>SQRT(Calcs!J66)</f>
        <v>0.11596343736028136</v>
      </c>
      <c r="H65" s="71">
        <f t="shared" si="0"/>
        <v>-4.2301768342213608E-3</v>
      </c>
      <c r="I65" s="70">
        <f>LN(Calcs!L67/Calcs!L66)</f>
        <v>5.4302184182423927E-3</v>
      </c>
      <c r="J65" s="76">
        <f t="shared" si="1"/>
        <v>-7.0992591524049065E-3</v>
      </c>
      <c r="K65" s="72">
        <f t="shared" si="4"/>
        <v>1599.8762484458782</v>
      </c>
      <c r="L65" s="72">
        <f t="shared" si="3"/>
        <v>1544.453032976553</v>
      </c>
      <c r="M65" s="75">
        <f t="shared" si="2"/>
        <v>55.423215469325214</v>
      </c>
    </row>
    <row r="66" spans="1:13" x14ac:dyDescent="0.2">
      <c r="A66">
        <v>-0.83493082230579396</v>
      </c>
      <c r="B66" s="69">
        <v>0.30167960461814702</v>
      </c>
      <c r="C66">
        <v>-1.02975879450077</v>
      </c>
      <c r="D66">
        <v>0</v>
      </c>
      <c r="E66">
        <v>8.1927700106675799E-2</v>
      </c>
      <c r="F66">
        <v>-4.2950239556692801E-3</v>
      </c>
      <c r="G66">
        <f>SQRT(Calcs!J67)</f>
        <v>9.7720685836126212E-2</v>
      </c>
      <c r="H66" s="71">
        <f t="shared" si="0"/>
        <v>-1.5792985729450412E-2</v>
      </c>
      <c r="I66" s="70">
        <f>LN(Calcs!L68/Calcs!L67)</f>
        <v>6.6850968456227868E-3</v>
      </c>
      <c r="J66" s="76">
        <f t="shared" si="1"/>
        <v>1.0980120801292067E-2</v>
      </c>
      <c r="K66" s="72">
        <f t="shared" si="4"/>
        <v>1610.6074055549677</v>
      </c>
      <c r="L66" s="72">
        <f t="shared" si="3"/>
        <v>1537.8337952693205</v>
      </c>
      <c r="M66" s="75">
        <f t="shared" si="2"/>
        <v>72.773610285647237</v>
      </c>
    </row>
    <row r="67" spans="1:13" x14ac:dyDescent="0.2">
      <c r="A67">
        <v>0.18455749139874</v>
      </c>
      <c r="B67" s="69">
        <v>0.17992585616065901</v>
      </c>
      <c r="C67">
        <v>0.85075844299574099</v>
      </c>
      <c r="D67">
        <v>0</v>
      </c>
      <c r="E67">
        <v>8.6985661008213602E-2</v>
      </c>
      <c r="F67">
        <v>1.02362329891061E-3</v>
      </c>
      <c r="G67">
        <f>SQRT(Calcs!J68)</f>
        <v>8.3705848064144231E-2</v>
      </c>
      <c r="H67" s="71">
        <f t="shared" ref="H67:H130" si="5">E67-G67</f>
        <v>3.2798129440693713E-3</v>
      </c>
      <c r="I67" s="70">
        <f>LN(Calcs!L69/Calcs!L68)</f>
        <v>1.1417862237263227E-3</v>
      </c>
      <c r="J67" s="76">
        <f t="shared" ref="J67:J130" si="6">I67-F67</f>
        <v>1.1816292481571272E-4</v>
      </c>
      <c r="K67" s="72">
        <f t="shared" ref="K67:K130" si="7">EXP(I67)*K66</f>
        <v>1612.4474251570794</v>
      </c>
      <c r="L67" s="72">
        <f t="shared" ref="L67:L130" si="8">EXP(F67)*L66</f>
        <v>1539.4087637216901</v>
      </c>
      <c r="M67" s="75">
        <f t="shared" ref="M67:M130" si="9">K67-L67</f>
        <v>73.038661435389258</v>
      </c>
    </row>
    <row r="68" spans="1:13" x14ac:dyDescent="0.2">
      <c r="A68">
        <v>1.3862639927598199</v>
      </c>
      <c r="B68" s="69">
        <v>-1.3149257139999599</v>
      </c>
      <c r="C68">
        <v>1.20614844255112</v>
      </c>
      <c r="D68">
        <v>0</v>
      </c>
      <c r="E68">
        <v>8.8886434385669802E-2</v>
      </c>
      <c r="F68">
        <v>7.7737965775115502E-3</v>
      </c>
      <c r="G68">
        <f>SQRT(Calcs!J69)</f>
        <v>0.10165966720968383</v>
      </c>
      <c r="H68" s="71">
        <f t="shared" si="5"/>
        <v>-1.2773232824014033E-2</v>
      </c>
      <c r="I68" s="70">
        <f>LN(Calcs!L70/Calcs!L69)</f>
        <v>-7.3471611836554125E-3</v>
      </c>
      <c r="J68" s="76">
        <f t="shared" si="6"/>
        <v>-1.5120957761166964E-2</v>
      </c>
      <c r="K68" s="72">
        <f t="shared" si="7"/>
        <v>1600.6439282183308</v>
      </c>
      <c r="L68" s="72">
        <f t="shared" si="8"/>
        <v>1551.4224497754901</v>
      </c>
      <c r="M68" s="75">
        <f t="shared" si="9"/>
        <v>49.221478442840635</v>
      </c>
    </row>
    <row r="69" spans="1:13" x14ac:dyDescent="0.2">
      <c r="A69">
        <v>2.2187862927775202</v>
      </c>
      <c r="B69" s="69">
        <v>-1.61237193304302</v>
      </c>
      <c r="C69">
        <v>0.64735271397912897</v>
      </c>
      <c r="D69">
        <v>0</v>
      </c>
      <c r="E69">
        <v>4.94103389053532E-2</v>
      </c>
      <c r="F69">
        <v>6.92859712936463E-3</v>
      </c>
      <c r="G69">
        <f>SQRT(Calcs!J70)</f>
        <v>0.11786603185324558</v>
      </c>
      <c r="H69" s="71">
        <f t="shared" si="5"/>
        <v>-6.8455692947892388E-2</v>
      </c>
      <c r="I69" s="70">
        <f>LN(Calcs!L71/Calcs!L70)</f>
        <v>-1.048023211533906E-2</v>
      </c>
      <c r="J69" s="76">
        <f t="shared" si="6"/>
        <v>-1.7408829244703689E-2</v>
      </c>
      <c r="K69" s="72">
        <f t="shared" si="7"/>
        <v>1583.9564056113629</v>
      </c>
      <c r="L69" s="72">
        <f t="shared" si="8"/>
        <v>1562.208955432608</v>
      </c>
      <c r="M69" s="75">
        <f t="shared" si="9"/>
        <v>21.747450178754889</v>
      </c>
    </row>
    <row r="70" spans="1:13" x14ac:dyDescent="0.2">
      <c r="A70">
        <v>0.57585453372471296</v>
      </c>
      <c r="B70" s="69">
        <v>0.13689431935853799</v>
      </c>
      <c r="C70">
        <v>-1.43272414578359</v>
      </c>
      <c r="D70">
        <v>0</v>
      </c>
      <c r="E70">
        <v>0</v>
      </c>
      <c r="F70">
        <v>2.73383744736436E-5</v>
      </c>
      <c r="G70">
        <f>SQRT(Calcs!J71)</f>
        <v>0.1207969339826597</v>
      </c>
      <c r="H70" s="71">
        <f t="shared" si="5"/>
        <v>-0.1207969339826597</v>
      </c>
      <c r="I70" s="70">
        <f>LN(Calcs!L72/Calcs!L71)</f>
        <v>-2.5591800041029201E-3</v>
      </c>
      <c r="J70" s="76">
        <f t="shared" si="6"/>
        <v>-2.5865183785765637E-3</v>
      </c>
      <c r="K70" s="72">
        <f t="shared" si="7"/>
        <v>1579.9079586126304</v>
      </c>
      <c r="L70" s="72">
        <f t="shared" si="8"/>
        <v>1562.2516642698301</v>
      </c>
      <c r="M70" s="75">
        <f t="shared" si="9"/>
        <v>17.656294342800265</v>
      </c>
    </row>
    <row r="71" spans="1:13" x14ac:dyDescent="0.2">
      <c r="A71">
        <v>-0.45463879645510602</v>
      </c>
      <c r="B71" s="69">
        <v>-0.47376053931809498</v>
      </c>
      <c r="C71">
        <v>-0.123636223732262</v>
      </c>
      <c r="D71">
        <v>0</v>
      </c>
      <c r="E71">
        <v>0</v>
      </c>
      <c r="F71">
        <v>2.73383744736436E-5</v>
      </c>
      <c r="G71">
        <f>SQRT(Calcs!J72)</f>
        <v>0.10701723187506276</v>
      </c>
      <c r="H71" s="71">
        <f t="shared" si="5"/>
        <v>-0.10701723187506276</v>
      </c>
      <c r="I71" s="70">
        <f>LN(Calcs!L73/Calcs!L72)</f>
        <v>-4.7651952552902541E-3</v>
      </c>
      <c r="J71" s="76">
        <f t="shared" si="6"/>
        <v>-4.792533629763898E-3</v>
      </c>
      <c r="K71" s="72">
        <f t="shared" si="7"/>
        <v>1572.3972977991866</v>
      </c>
      <c r="L71" s="72">
        <f t="shared" si="8"/>
        <v>1562.2943742746584</v>
      </c>
      <c r="M71" s="75">
        <f t="shared" si="9"/>
        <v>10.102923524528251</v>
      </c>
    </row>
    <row r="72" spans="1:13" x14ac:dyDescent="0.2">
      <c r="A72">
        <v>-0.55292406229969404</v>
      </c>
      <c r="B72" s="69">
        <v>1.0443408380461601</v>
      </c>
      <c r="C72">
        <v>-0.26921566205720099</v>
      </c>
      <c r="D72">
        <v>0</v>
      </c>
      <c r="E72">
        <v>0</v>
      </c>
      <c r="F72">
        <v>2.73383744736436E-5</v>
      </c>
      <c r="G72">
        <f>SQRT(Calcs!J73)</f>
        <v>0.12749867254657127</v>
      </c>
      <c r="H72" s="71">
        <f t="shared" si="5"/>
        <v>-0.12749867254657127</v>
      </c>
      <c r="I72" s="70">
        <f>LN(Calcs!L74/Calcs!L73)</f>
        <v>-2.8190092193882646E-2</v>
      </c>
      <c r="J72" s="76">
        <f t="shared" si="6"/>
        <v>-2.8217430568356291E-2</v>
      </c>
      <c r="K72" s="72">
        <f t="shared" si="7"/>
        <v>1528.6902206704378</v>
      </c>
      <c r="L72" s="72">
        <f t="shared" si="8"/>
        <v>1562.3370854471248</v>
      </c>
      <c r="M72" s="75">
        <f t="shared" si="9"/>
        <v>-33.646864776686925</v>
      </c>
    </row>
    <row r="73" spans="1:13" x14ac:dyDescent="0.2">
      <c r="A73">
        <v>-0.38818643425654398</v>
      </c>
      <c r="B73" s="69">
        <v>0.64572443098625298</v>
      </c>
      <c r="C73">
        <v>0.72778991948323002</v>
      </c>
      <c r="D73">
        <v>0</v>
      </c>
      <c r="E73">
        <v>1.6480626390850801E-2</v>
      </c>
      <c r="F73">
        <v>-3.7620865770694799E-4</v>
      </c>
      <c r="G73">
        <f>SQRT(Calcs!J74)</f>
        <v>0.1295036077365776</v>
      </c>
      <c r="H73" s="71">
        <f t="shared" si="5"/>
        <v>-0.1130229813457268</v>
      </c>
      <c r="I73" s="70">
        <f>LN(Calcs!L75/Calcs!L74)</f>
        <v>2.8359712791725909E-3</v>
      </c>
      <c r="J73" s="76">
        <f t="shared" si="6"/>
        <v>3.2121799368795391E-3</v>
      </c>
      <c r="K73" s="72">
        <f t="shared" si="7"/>
        <v>1533.0316954701552</v>
      </c>
      <c r="L73" s="72">
        <f t="shared" si="8"/>
        <v>1561.7494312565511</v>
      </c>
      <c r="M73" s="75">
        <f t="shared" si="9"/>
        <v>-28.717735786395906</v>
      </c>
    </row>
    <row r="74" spans="1:13" x14ac:dyDescent="0.2">
      <c r="A74">
        <v>-0.62385492925697394</v>
      </c>
      <c r="B74" s="69">
        <v>0.88241522917932602</v>
      </c>
      <c r="C74">
        <v>-1.11294645323464</v>
      </c>
      <c r="D74">
        <v>0</v>
      </c>
      <c r="E74">
        <v>2.5226269731841999E-2</v>
      </c>
      <c r="F74">
        <v>-9.6529563063429795E-4</v>
      </c>
      <c r="G74">
        <f>SQRT(Calcs!J75)</f>
        <v>0.12124444055496633</v>
      </c>
      <c r="H74" s="71">
        <f t="shared" si="5"/>
        <v>-9.6018170823124332E-2</v>
      </c>
      <c r="I74" s="70">
        <f>LN(Calcs!L76/Calcs!L75)</f>
        <v>-1.4721885896803365E-2</v>
      </c>
      <c r="J74" s="76">
        <f t="shared" si="6"/>
        <v>-1.3756590266169067E-2</v>
      </c>
      <c r="K74" s="72">
        <f t="shared" si="7"/>
        <v>1510.6278955038026</v>
      </c>
      <c r="L74" s="72">
        <f t="shared" si="8"/>
        <v>1560.2426087360154</v>
      </c>
      <c r="M74" s="75">
        <f t="shared" si="9"/>
        <v>-49.614713232212807</v>
      </c>
    </row>
    <row r="75" spans="1:13" x14ac:dyDescent="0.2">
      <c r="A75">
        <v>-0.60761690411828895</v>
      </c>
      <c r="B75" s="69">
        <v>0.90533857584595501</v>
      </c>
      <c r="C75">
        <v>0.16715297967843301</v>
      </c>
      <c r="D75">
        <v>0</v>
      </c>
      <c r="E75">
        <v>4.3125115869443099E-2</v>
      </c>
      <c r="F75">
        <v>-1.62702011281603E-3</v>
      </c>
      <c r="G75">
        <f>SQRT(Calcs!J76)</f>
        <v>0.18779474785624264</v>
      </c>
      <c r="H75" s="71">
        <f t="shared" si="5"/>
        <v>-0.14466963198679955</v>
      </c>
      <c r="I75" s="70">
        <f>LN(Calcs!L77/Calcs!L76)</f>
        <v>-1.0493603302216589E-2</v>
      </c>
      <c r="J75" s="76">
        <f t="shared" si="6"/>
        <v>-8.8665831894005585E-3</v>
      </c>
      <c r="K75" s="72">
        <f t="shared" si="7"/>
        <v>1494.8588474001456</v>
      </c>
      <c r="L75" s="72">
        <f t="shared" si="8"/>
        <v>1557.7061266439659</v>
      </c>
      <c r="M75" s="75">
        <f t="shared" si="9"/>
        <v>-62.847279243820367</v>
      </c>
    </row>
    <row r="76" spans="1:13" x14ac:dyDescent="0.2">
      <c r="A76">
        <v>1.0679613497615501</v>
      </c>
      <c r="B76" s="69">
        <v>-2.61960981227059</v>
      </c>
      <c r="C76">
        <v>0.164418441388168</v>
      </c>
      <c r="D76">
        <v>0</v>
      </c>
      <c r="E76">
        <v>6.3154880461682397E-2</v>
      </c>
      <c r="F76">
        <v>4.268184439167E-3</v>
      </c>
      <c r="G76">
        <f>SQRT(Calcs!J77)</f>
        <v>0.19946026487697285</v>
      </c>
      <c r="H76" s="71">
        <f t="shared" si="5"/>
        <v>-0.13630538441529044</v>
      </c>
      <c r="I76" s="70">
        <f>LN(Calcs!L78/Calcs!L77)</f>
        <v>-7.6509044171996863E-3</v>
      </c>
      <c r="J76" s="76">
        <f t="shared" si="6"/>
        <v>-1.1919088856366687E-2</v>
      </c>
      <c r="K76" s="72">
        <f t="shared" si="7"/>
        <v>1483.4654656560215</v>
      </c>
      <c r="L76" s="72">
        <f t="shared" si="8"/>
        <v>1564.3689125792457</v>
      </c>
      <c r="M76" s="75">
        <f t="shared" si="9"/>
        <v>-80.903446923224237</v>
      </c>
    </row>
    <row r="77" spans="1:13" x14ac:dyDescent="0.2">
      <c r="A77">
        <v>-0.56516852701211395</v>
      </c>
      <c r="B77" s="69">
        <v>-0.93161440785030403</v>
      </c>
      <c r="C77">
        <v>0.30869601782898598</v>
      </c>
      <c r="D77">
        <v>0</v>
      </c>
      <c r="E77">
        <v>0</v>
      </c>
      <c r="F77">
        <v>2.73383744736436E-5</v>
      </c>
      <c r="G77">
        <f>SQRT(Calcs!J78)</f>
        <v>0.21732093182028855</v>
      </c>
      <c r="H77" s="71">
        <f t="shared" si="5"/>
        <v>-0.21732093182028855</v>
      </c>
      <c r="I77" s="70">
        <f>LN(Calcs!L79/Calcs!L78)</f>
        <v>-7.4344488457360157E-3</v>
      </c>
      <c r="J77" s="76">
        <f t="shared" si="6"/>
        <v>-7.4617872202096596E-3</v>
      </c>
      <c r="K77" s="72">
        <f t="shared" si="7"/>
        <v>1472.4776124625482</v>
      </c>
      <c r="L77" s="72">
        <f t="shared" si="8"/>
        <v>1564.4116804669923</v>
      </c>
      <c r="M77" s="75">
        <f t="shared" si="9"/>
        <v>-91.934068004444043</v>
      </c>
    </row>
    <row r="78" spans="1:13" x14ac:dyDescent="0.2">
      <c r="A78">
        <v>-0.82132292830673503</v>
      </c>
      <c r="B78" s="69">
        <v>0.47184991019983502</v>
      </c>
      <c r="C78">
        <v>0.632761247345206</v>
      </c>
      <c r="D78">
        <v>0</v>
      </c>
      <c r="E78">
        <v>1.08573534578444E-2</v>
      </c>
      <c r="F78">
        <v>-5.3463849741773996E-4</v>
      </c>
      <c r="G78">
        <f>SQRT(Calcs!J79)</f>
        <v>0.23414736804468325</v>
      </c>
      <c r="H78" s="71">
        <f t="shared" si="5"/>
        <v>-0.22329001458683886</v>
      </c>
      <c r="I78" s="70">
        <f>LN(Calcs!L80/Calcs!L79)</f>
        <v>-9.5712030529892956E-3</v>
      </c>
      <c r="J78" s="76">
        <f t="shared" si="6"/>
        <v>-9.0365645555715562E-3</v>
      </c>
      <c r="K78" s="72">
        <f t="shared" si="7"/>
        <v>1458.4514608904558</v>
      </c>
      <c r="L78" s="72">
        <f t="shared" si="8"/>
        <v>1563.5755093013699</v>
      </c>
      <c r="M78" s="75">
        <f t="shared" si="9"/>
        <v>-105.12404841091416</v>
      </c>
    </row>
    <row r="79" spans="1:13" x14ac:dyDescent="0.2">
      <c r="A79">
        <v>0.93854893808397699</v>
      </c>
      <c r="B79" s="69">
        <v>-0.19221499657709001</v>
      </c>
      <c r="C79">
        <v>-0.30407983617949302</v>
      </c>
      <c r="D79">
        <v>0</v>
      </c>
      <c r="E79">
        <v>7.6905911471630102E-3</v>
      </c>
      <c r="F79">
        <v>4.8191204168239899E-4</v>
      </c>
      <c r="G79">
        <f>SQRT(Calcs!J80)</f>
        <v>0.19807277087390474</v>
      </c>
      <c r="H79" s="71">
        <f t="shared" si="5"/>
        <v>-0.19038217972674173</v>
      </c>
      <c r="I79" s="70">
        <f>LN(Calcs!L81/Calcs!L80)</f>
        <v>1.3032504997335556E-2</v>
      </c>
      <c r="J79" s="76">
        <f t="shared" si="6"/>
        <v>1.2550592955653157E-2</v>
      </c>
      <c r="K79" s="72">
        <f t="shared" si="7"/>
        <v>1477.5831328621439</v>
      </c>
      <c r="L79" s="72">
        <f t="shared" si="8"/>
        <v>1564.3291967583264</v>
      </c>
      <c r="M79" s="75">
        <f t="shared" si="9"/>
        <v>-86.746063896182477</v>
      </c>
    </row>
    <row r="80" spans="1:13" x14ac:dyDescent="0.2">
      <c r="A80">
        <v>0.50696478982033399</v>
      </c>
      <c r="B80" s="69">
        <v>-0.50595004755631001</v>
      </c>
      <c r="C80">
        <v>-0.38610643378961002</v>
      </c>
      <c r="D80">
        <v>0</v>
      </c>
      <c r="E80">
        <v>0</v>
      </c>
      <c r="F80">
        <v>2.73383744736436E-5</v>
      </c>
      <c r="G80">
        <f>SQRT(Calcs!J81)</f>
        <v>0.15056753518477753</v>
      </c>
      <c r="H80" s="71">
        <f t="shared" si="5"/>
        <v>-0.15056753518477753</v>
      </c>
      <c r="I80" s="70">
        <f>LN(Calcs!L82/Calcs!L81)</f>
        <v>-9.4512357303474653E-3</v>
      </c>
      <c r="J80" s="76">
        <f t="shared" si="6"/>
        <v>-9.4785741048211084E-3</v>
      </c>
      <c r="K80" s="72">
        <f t="shared" si="7"/>
        <v>1463.6839321365528</v>
      </c>
      <c r="L80" s="72">
        <f t="shared" si="8"/>
        <v>1564.3719635602922</v>
      </c>
      <c r="M80" s="75">
        <f t="shared" si="9"/>
        <v>-100.6880314237394</v>
      </c>
    </row>
    <row r="81" spans="1:13" x14ac:dyDescent="0.2">
      <c r="A81">
        <v>-1.18841097080039</v>
      </c>
      <c r="B81" s="69">
        <v>0.78439269306655002</v>
      </c>
      <c r="C81">
        <v>0.78702818996660995</v>
      </c>
      <c r="D81">
        <v>0</v>
      </c>
      <c r="E81">
        <v>0</v>
      </c>
      <c r="F81">
        <v>2.73383744736436E-5</v>
      </c>
      <c r="G81">
        <f>SQRT(Calcs!J82)</f>
        <v>0.16925245603847355</v>
      </c>
      <c r="H81" s="71">
        <f t="shared" si="5"/>
        <v>-0.16925245603847355</v>
      </c>
      <c r="I81" s="70">
        <f>LN(Calcs!L83/Calcs!L82)</f>
        <v>4.8275107666087384E-3</v>
      </c>
      <c r="J81" s="76">
        <f t="shared" si="6"/>
        <v>4.8001723921350945E-3</v>
      </c>
      <c r="K81" s="72">
        <f t="shared" si="7"/>
        <v>1470.7669650308808</v>
      </c>
      <c r="L81" s="72">
        <f t="shared" si="8"/>
        <v>1564.4147315314488</v>
      </c>
      <c r="M81" s="75">
        <f t="shared" si="9"/>
        <v>-93.647766500567968</v>
      </c>
    </row>
    <row r="82" spans="1:13" x14ac:dyDescent="0.2">
      <c r="A82">
        <v>-1.3171626909068399</v>
      </c>
      <c r="B82" s="69">
        <v>0.30056230228229802</v>
      </c>
      <c r="C82">
        <v>0.80858427250380305</v>
      </c>
      <c r="D82">
        <v>0</v>
      </c>
      <c r="E82">
        <v>0</v>
      </c>
      <c r="F82">
        <v>2.73383744736436E-5</v>
      </c>
      <c r="G82">
        <f>SQRT(Calcs!J83)</f>
        <v>0.19276476537780701</v>
      </c>
      <c r="H82" s="71">
        <f t="shared" si="5"/>
        <v>-0.19276476537780701</v>
      </c>
      <c r="I82" s="70">
        <f>LN(Calcs!L84/Calcs!L83)</f>
        <v>-2.0771236968833678E-2</v>
      </c>
      <c r="J82" s="76">
        <f t="shared" si="6"/>
        <v>-2.0798575343307323E-2</v>
      </c>
      <c r="K82" s="72">
        <f t="shared" si="7"/>
        <v>1440.5324074900618</v>
      </c>
      <c r="L82" s="72">
        <f t="shared" si="8"/>
        <v>1564.4575006718283</v>
      </c>
      <c r="M82" s="75">
        <f t="shared" si="9"/>
        <v>-123.92509318176644</v>
      </c>
    </row>
    <row r="83" spans="1:13" x14ac:dyDescent="0.2">
      <c r="A83">
        <v>-8.2549910383375499E-3</v>
      </c>
      <c r="B83" s="69">
        <v>-0.411199013530127</v>
      </c>
      <c r="C83">
        <v>-0.61347359693846604</v>
      </c>
      <c r="D83">
        <v>0</v>
      </c>
      <c r="E83">
        <v>0</v>
      </c>
      <c r="F83">
        <v>2.73383744736436E-5</v>
      </c>
      <c r="G83">
        <f>SQRT(Calcs!J84)</f>
        <v>0.20386166594507571</v>
      </c>
      <c r="H83" s="71">
        <f t="shared" si="5"/>
        <v>-0.20386166594507571</v>
      </c>
      <c r="I83" s="70">
        <f>LN(Calcs!L85/Calcs!L84)</f>
        <v>-3.1394458215305895E-3</v>
      </c>
      <c r="J83" s="76">
        <f t="shared" si="6"/>
        <v>-3.166784196004233E-3</v>
      </c>
      <c r="K83" s="72">
        <f t="shared" si="7"/>
        <v>1436.0170256495917</v>
      </c>
      <c r="L83" s="72">
        <f t="shared" si="8"/>
        <v>1564.5002709814623</v>
      </c>
      <c r="M83" s="75">
        <f t="shared" si="9"/>
        <v>-128.48324533187065</v>
      </c>
    </row>
    <row r="84" spans="1:13" x14ac:dyDescent="0.2">
      <c r="A84">
        <v>-1.1491751545105899</v>
      </c>
      <c r="B84" s="69">
        <v>0.44014581888604198</v>
      </c>
      <c r="C84">
        <v>-0.47176092642032003</v>
      </c>
      <c r="D84">
        <v>0</v>
      </c>
      <c r="E84">
        <v>0</v>
      </c>
      <c r="F84">
        <v>2.73383744736436E-5</v>
      </c>
      <c r="G84">
        <f>SQRT(Calcs!J85)</f>
        <v>0.2167395063560183</v>
      </c>
      <c r="H84" s="71">
        <f t="shared" si="5"/>
        <v>-0.2167395063560183</v>
      </c>
      <c r="I84" s="70">
        <f>LN(Calcs!L86/Calcs!L85)</f>
        <v>5.4563710790084263E-3</v>
      </c>
      <c r="J84" s="76">
        <f t="shared" si="6"/>
        <v>5.4290327045347824E-3</v>
      </c>
      <c r="K84" s="72">
        <f t="shared" si="7"/>
        <v>1443.8738828887722</v>
      </c>
      <c r="L84" s="72">
        <f t="shared" si="8"/>
        <v>1564.5430424603833</v>
      </c>
      <c r="M84" s="75">
        <f t="shared" si="9"/>
        <v>-120.66915957161109</v>
      </c>
    </row>
    <row r="85" spans="1:13" x14ac:dyDescent="0.2">
      <c r="A85">
        <v>-0.93838999827518399</v>
      </c>
      <c r="B85" s="69">
        <v>0.264452249429525</v>
      </c>
      <c r="C85">
        <v>0.75975634293610805</v>
      </c>
      <c r="D85">
        <v>0</v>
      </c>
      <c r="E85">
        <v>0</v>
      </c>
      <c r="F85">
        <v>5.4876100276827201E-5</v>
      </c>
      <c r="G85">
        <f>SQRT(Calcs!J86)</f>
        <v>0.1979719762601537</v>
      </c>
      <c r="H85" s="71">
        <f t="shared" si="5"/>
        <v>-0.1979719762601537</v>
      </c>
      <c r="I85" s="70">
        <f>LN(Calcs!L87/Calcs!L86)</f>
        <v>1.2504579748805304E-2</v>
      </c>
      <c r="J85" s="76">
        <f t="shared" si="6"/>
        <v>1.2449703648528477E-2</v>
      </c>
      <c r="K85" s="72">
        <f t="shared" si="7"/>
        <v>1462.0422763265121</v>
      </c>
      <c r="L85" s="72">
        <f t="shared" si="8"/>
        <v>1564.6289008370338</v>
      </c>
      <c r="M85" s="75">
        <f t="shared" si="9"/>
        <v>-102.58662451052169</v>
      </c>
    </row>
    <row r="86" spans="1:13" x14ac:dyDescent="0.2">
      <c r="A86">
        <v>0.98793306570385897</v>
      </c>
      <c r="B86" s="69">
        <v>-0.144864283500479</v>
      </c>
      <c r="C86">
        <v>0.40019751152956401</v>
      </c>
      <c r="D86">
        <v>0</v>
      </c>
      <c r="E86">
        <v>0</v>
      </c>
      <c r="F86">
        <v>5.4876100276827201E-5</v>
      </c>
      <c r="G86">
        <f>SQRT(Calcs!J87)</f>
        <v>0.16276319199505587</v>
      </c>
      <c r="H86" s="71">
        <f t="shared" si="5"/>
        <v>-0.16276319199505587</v>
      </c>
      <c r="I86" s="70">
        <f>LN(Calcs!L88/Calcs!L87)</f>
        <v>1.3037141943631841E-2</v>
      </c>
      <c r="J86" s="76">
        <f t="shared" si="6"/>
        <v>1.2982265843355014E-2</v>
      </c>
      <c r="K86" s="72">
        <f t="shared" si="7"/>
        <v>1481.2279202489158</v>
      </c>
      <c r="L86" s="72">
        <f t="shared" si="8"/>
        <v>1564.7147639253865</v>
      </c>
      <c r="M86" s="75">
        <f t="shared" si="9"/>
        <v>-83.486843676470698</v>
      </c>
    </row>
    <row r="87" spans="1:13" x14ac:dyDescent="0.2">
      <c r="A87">
        <v>-2.2328445033881601</v>
      </c>
      <c r="B87" s="69">
        <v>1.7168699235995599</v>
      </c>
      <c r="C87">
        <v>-0.65571165563544997</v>
      </c>
      <c r="D87">
        <v>0</v>
      </c>
      <c r="E87">
        <v>0</v>
      </c>
      <c r="F87">
        <v>5.4876100276827201E-5</v>
      </c>
      <c r="G87">
        <f>SQRT(Calcs!J88)</f>
        <v>0.11281133274461562</v>
      </c>
      <c r="H87" s="71">
        <f t="shared" si="5"/>
        <v>-0.11281133274461562</v>
      </c>
      <c r="I87" s="70">
        <f>LN(Calcs!L89/Calcs!L88)</f>
        <v>-7.111098627275856E-3</v>
      </c>
      <c r="J87" s="76">
        <f t="shared" si="6"/>
        <v>-7.1659747275526833E-3</v>
      </c>
      <c r="K87" s="72">
        <f t="shared" si="7"/>
        <v>1470.7321249652703</v>
      </c>
      <c r="L87" s="72">
        <f t="shared" si="8"/>
        <v>1564.8006317257</v>
      </c>
      <c r="M87" s="75">
        <f t="shared" si="9"/>
        <v>-94.068506760429727</v>
      </c>
    </row>
    <row r="88" spans="1:13" x14ac:dyDescent="0.2">
      <c r="A88">
        <v>-2.4188604513097798</v>
      </c>
      <c r="B88" s="69">
        <v>1.0161945967158701</v>
      </c>
      <c r="C88">
        <v>7.2641347369726203E-2</v>
      </c>
      <c r="D88">
        <v>0</v>
      </c>
      <c r="E88">
        <v>3.9411204974484401E-2</v>
      </c>
      <c r="F88">
        <v>-5.9534441835687102E-3</v>
      </c>
      <c r="G88">
        <f>SQRT(Calcs!J89)</f>
        <v>0.1310244861809714</v>
      </c>
      <c r="H88" s="71">
        <f t="shared" si="5"/>
        <v>-9.1613281206486999E-2</v>
      </c>
      <c r="I88" s="70">
        <f>LN(Calcs!L90/Calcs!L89)</f>
        <v>4.7920053780405644E-3</v>
      </c>
      <c r="J88" s="76">
        <f t="shared" si="6"/>
        <v>1.0745449561609274E-2</v>
      </c>
      <c r="K88" s="72">
        <f t="shared" si="7"/>
        <v>1477.7967946663468</v>
      </c>
      <c r="L88" s="72">
        <f t="shared" si="8"/>
        <v>1555.5123545602107</v>
      </c>
      <c r="M88" s="75">
        <f t="shared" si="9"/>
        <v>-77.715559893863883</v>
      </c>
    </row>
    <row r="89" spans="1:13" x14ac:dyDescent="0.2">
      <c r="A89">
        <v>-0.56700281203825798</v>
      </c>
      <c r="B89" s="69">
        <v>0.70446871857374205</v>
      </c>
      <c r="C89">
        <v>-0.30583299397623698</v>
      </c>
      <c r="D89">
        <v>0</v>
      </c>
      <c r="E89">
        <v>6.2314495827434299E-2</v>
      </c>
      <c r="F89">
        <v>-2.1785663915082402E-3</v>
      </c>
      <c r="G89">
        <f>SQRT(Calcs!J90)</f>
        <v>9.6876419997910093E-2</v>
      </c>
      <c r="H89" s="71">
        <f t="shared" si="5"/>
        <v>-3.4561924170475794E-2</v>
      </c>
      <c r="I89" s="70">
        <f>LN(Calcs!L91/Calcs!L90)</f>
        <v>-4.1647087812814778E-4</v>
      </c>
      <c r="J89" s="76">
        <f t="shared" si="6"/>
        <v>1.7620955133800923E-3</v>
      </c>
      <c r="K89" s="72">
        <f t="shared" si="7"/>
        <v>1477.1814634802308</v>
      </c>
      <c r="L89" s="72">
        <f t="shared" si="8"/>
        <v>1552.127256292498</v>
      </c>
      <c r="M89" s="75">
        <f t="shared" si="9"/>
        <v>-74.9457928122672</v>
      </c>
    </row>
    <row r="90" spans="1:13" x14ac:dyDescent="0.2">
      <c r="A90">
        <v>-6.2689156303078405E-2</v>
      </c>
      <c r="B90" s="69">
        <v>-5.9392908525943602E-2</v>
      </c>
      <c r="C90">
        <v>0.86081238964442697</v>
      </c>
      <c r="D90">
        <v>0</v>
      </c>
      <c r="E90">
        <v>7.7691653372158304E-2</v>
      </c>
      <c r="F90">
        <v>-2.6390796243845399E-4</v>
      </c>
      <c r="G90">
        <f>SQRT(Calcs!J91)</f>
        <v>8.0222291303684162E-2</v>
      </c>
      <c r="H90" s="71">
        <f t="shared" si="5"/>
        <v>-2.5306379315258587E-3</v>
      </c>
      <c r="I90" s="70">
        <f>LN(Calcs!L92/Calcs!L91)</f>
        <v>5.8119924878421991E-3</v>
      </c>
      <c r="J90" s="76">
        <f t="shared" si="6"/>
        <v>6.0759004502806534E-3</v>
      </c>
      <c r="K90" s="72">
        <f t="shared" si="7"/>
        <v>1485.7918284999332</v>
      </c>
      <c r="L90" s="72">
        <f t="shared" si="8"/>
        <v>1551.7176915969139</v>
      </c>
      <c r="M90" s="75">
        <f t="shared" si="9"/>
        <v>-65.92586309698072</v>
      </c>
    </row>
    <row r="91" spans="1:13" x14ac:dyDescent="0.2">
      <c r="A91">
        <v>0.20817340520323799</v>
      </c>
      <c r="B91" s="69">
        <v>0.79150419294298302</v>
      </c>
      <c r="C91">
        <v>-2.41334982670218E-2</v>
      </c>
      <c r="D91">
        <v>0</v>
      </c>
      <c r="E91">
        <v>7.2742825861484298E-2</v>
      </c>
      <c r="F91">
        <v>9.9830406139676808E-4</v>
      </c>
      <c r="G91">
        <f>SQRT(Calcs!J92)</f>
        <v>9.0608812651093509E-2</v>
      </c>
      <c r="H91" s="71">
        <f t="shared" si="5"/>
        <v>-1.7865986789609212E-2</v>
      </c>
      <c r="I91" s="70">
        <f>LN(Calcs!L93/Calcs!L92)</f>
        <v>-1.1309378041208407E-3</v>
      </c>
      <c r="J91" s="76">
        <f t="shared" si="6"/>
        <v>-2.1292418655176086E-3</v>
      </c>
      <c r="K91" s="72">
        <f t="shared" si="7"/>
        <v>1484.1124401728998</v>
      </c>
      <c r="L91" s="72">
        <f t="shared" si="8"/>
        <v>1553.2675511574062</v>
      </c>
      <c r="M91" s="75">
        <f t="shared" si="9"/>
        <v>-69.155110984506337</v>
      </c>
    </row>
    <row r="92" spans="1:13" x14ac:dyDescent="0.2">
      <c r="A92">
        <v>0.87878101417869603</v>
      </c>
      <c r="B92" s="69">
        <v>-0.242383298757021</v>
      </c>
      <c r="C92">
        <v>1.4505312109339401</v>
      </c>
      <c r="D92">
        <v>0</v>
      </c>
      <c r="E92">
        <v>9.0815631710279301E-2</v>
      </c>
      <c r="F92">
        <v>5.0658838390477603E-3</v>
      </c>
      <c r="G92">
        <f>SQRT(Calcs!J93)</f>
        <v>9.4945995629096461E-2</v>
      </c>
      <c r="H92" s="71">
        <f t="shared" si="5"/>
        <v>-4.1303639188171593E-3</v>
      </c>
      <c r="I92" s="70">
        <f>LN(Calcs!L94/Calcs!L93)</f>
        <v>-1.6282310659602274E-4</v>
      </c>
      <c r="J92" s="76">
        <f t="shared" si="6"/>
        <v>-5.2287069456437834E-3</v>
      </c>
      <c r="K92" s="72">
        <f t="shared" si="7"/>
        <v>1483.8708120467079</v>
      </c>
      <c r="L92" s="72">
        <f t="shared" si="8"/>
        <v>1561.1561887327148</v>
      </c>
      <c r="M92" s="75">
        <f t="shared" si="9"/>
        <v>-77.285376686006884</v>
      </c>
    </row>
    <row r="93" spans="1:13" x14ac:dyDescent="0.2">
      <c r="A93">
        <v>-1.46738043061333</v>
      </c>
      <c r="B93" s="69">
        <v>0.57200346993570395</v>
      </c>
      <c r="C93">
        <v>0.66372757614211098</v>
      </c>
      <c r="D93">
        <v>0</v>
      </c>
      <c r="E93">
        <v>8.13538274092616E-2</v>
      </c>
      <c r="F93">
        <v>-7.4783007851291798E-3</v>
      </c>
      <c r="G93">
        <f>SQRT(Calcs!J94)</f>
        <v>9.3203573332997669E-2</v>
      </c>
      <c r="H93" s="71">
        <f t="shared" si="5"/>
        <v>-1.1849745923736069E-2</v>
      </c>
      <c r="I93" s="70">
        <f>LN(Calcs!L95/Calcs!L94)</f>
        <v>-4.4424187877266878E-3</v>
      </c>
      <c r="J93" s="76">
        <f t="shared" si="6"/>
        <v>3.035881997402492E-3</v>
      </c>
      <c r="K93" s="72">
        <f t="shared" si="7"/>
        <v>1477.293456972641</v>
      </c>
      <c r="L93" s="72">
        <f t="shared" si="8"/>
        <v>1549.524938381528</v>
      </c>
      <c r="M93" s="75">
        <f t="shared" si="9"/>
        <v>-72.231481408887021</v>
      </c>
    </row>
    <row r="94" spans="1:13" x14ac:dyDescent="0.2">
      <c r="A94">
        <v>1.79695117913936</v>
      </c>
      <c r="B94" s="69">
        <v>-0.74670036097229997</v>
      </c>
      <c r="C94">
        <v>-1.98410353535783</v>
      </c>
      <c r="D94">
        <v>0</v>
      </c>
      <c r="E94">
        <v>9.3715348508735599E-2</v>
      </c>
      <c r="F94">
        <v>1.06457733159017E-2</v>
      </c>
      <c r="G94">
        <f>SQRT(Calcs!J95)</f>
        <v>8.4046403310996845E-2</v>
      </c>
      <c r="H94" s="71">
        <f t="shared" si="5"/>
        <v>9.6689451977387542E-3</v>
      </c>
      <c r="I94" s="70">
        <f>LN(Calcs!L96/Calcs!L95)</f>
        <v>7.0846680581692139E-3</v>
      </c>
      <c r="J94" s="76">
        <f t="shared" si="6"/>
        <v>-3.5611052577324857E-3</v>
      </c>
      <c r="K94" s="72">
        <f t="shared" si="7"/>
        <v>1487.7967529904931</v>
      </c>
      <c r="L94" s="72">
        <f t="shared" si="8"/>
        <v>1566.1089478000499</v>
      </c>
      <c r="M94" s="75">
        <f t="shared" si="9"/>
        <v>-78.312194809556786</v>
      </c>
    </row>
    <row r="95" spans="1:13" x14ac:dyDescent="0.2">
      <c r="A95">
        <v>0.62784990472939595</v>
      </c>
      <c r="B95" s="69">
        <v>-1.7046362326387401</v>
      </c>
      <c r="C95">
        <v>1.81196642185498</v>
      </c>
      <c r="D95">
        <v>0</v>
      </c>
      <c r="E95">
        <v>7.0537542447394699E-2</v>
      </c>
      <c r="F95">
        <v>2.8348220830570199E-3</v>
      </c>
      <c r="G95">
        <f>SQRT(Calcs!J96)</f>
        <v>7.624662821103137E-2</v>
      </c>
      <c r="H95" s="71">
        <f t="shared" si="5"/>
        <v>-5.7090857636366704E-3</v>
      </c>
      <c r="I95" s="70">
        <f>LN(Calcs!L97/Calcs!L96)</f>
        <v>-2.7971029540097355E-3</v>
      </c>
      <c r="J95" s="76">
        <f t="shared" si="6"/>
        <v>-5.6319250370667553E-3</v>
      </c>
      <c r="K95" s="72">
        <f t="shared" si="7"/>
        <v>1483.6410469759674</v>
      </c>
      <c r="L95" s="72">
        <f t="shared" si="8"/>
        <v>1570.5548867753632</v>
      </c>
      <c r="M95" s="75">
        <f t="shared" si="9"/>
        <v>-86.913839799395873</v>
      </c>
    </row>
    <row r="96" spans="1:13" x14ac:dyDescent="0.2">
      <c r="A96">
        <v>0.10971843843373</v>
      </c>
      <c r="B96" s="69">
        <v>-0.58081405934034602</v>
      </c>
      <c r="C96">
        <v>0.649840761122634</v>
      </c>
      <c r="D96">
        <v>0</v>
      </c>
      <c r="E96">
        <v>1.2765683980526099E-2</v>
      </c>
      <c r="F96">
        <v>1.4278421569281099E-4</v>
      </c>
      <c r="G96">
        <f>SQRT(Calcs!J97)</f>
        <v>9.4844641864684359E-2</v>
      </c>
      <c r="H96" s="71">
        <f t="shared" si="5"/>
        <v>-8.2078957884158255E-2</v>
      </c>
      <c r="I96" s="70">
        <f>LN(Calcs!L98/Calcs!L97)</f>
        <v>-3.5870339096189673E-3</v>
      </c>
      <c r="J96" s="76">
        <f t="shared" si="6"/>
        <v>-3.7298181253117781E-3</v>
      </c>
      <c r="K96" s="72">
        <f t="shared" si="7"/>
        <v>1478.3287096938166</v>
      </c>
      <c r="L96" s="72">
        <f t="shared" si="8"/>
        <v>1570.7791532335482</v>
      </c>
      <c r="M96" s="75">
        <f t="shared" si="9"/>
        <v>-92.450443539731623</v>
      </c>
    </row>
    <row r="97" spans="1:13" x14ac:dyDescent="0.2">
      <c r="A97">
        <v>0.14656163490735999</v>
      </c>
      <c r="B97" s="69">
        <v>0.65954759121353301</v>
      </c>
      <c r="C97">
        <v>1.97946742434321</v>
      </c>
      <c r="D97">
        <v>0</v>
      </c>
      <c r="E97">
        <v>0</v>
      </c>
      <c r="F97">
        <v>5.4876100276827201E-5</v>
      </c>
      <c r="G97">
        <f>SQRT(Calcs!J98)</f>
        <v>0.1219671219577004</v>
      </c>
      <c r="H97" s="71">
        <f t="shared" si="5"/>
        <v>-0.1219671219577004</v>
      </c>
      <c r="I97" s="70">
        <f>LN(Calcs!L99/Calcs!L98)</f>
        <v>-3.5808611681375632E-3</v>
      </c>
      <c r="J97" s="76">
        <f t="shared" si="6"/>
        <v>-3.6357372684143905E-3</v>
      </c>
      <c r="K97" s="72">
        <f t="shared" si="7"/>
        <v>1473.0444865047825</v>
      </c>
      <c r="L97" s="72">
        <f t="shared" si="8"/>
        <v>1570.8653538330286</v>
      </c>
      <c r="M97" s="75">
        <f t="shared" si="9"/>
        <v>-97.820867328246095</v>
      </c>
    </row>
    <row r="98" spans="1:13" x14ac:dyDescent="0.2">
      <c r="A98">
        <v>1.6295792626097001</v>
      </c>
      <c r="B98" s="69">
        <v>-0.32572470917350999</v>
      </c>
      <c r="C98">
        <v>1.7633720518536299E-2</v>
      </c>
      <c r="D98">
        <v>0</v>
      </c>
      <c r="E98">
        <v>0</v>
      </c>
      <c r="F98">
        <v>5.4876100276827201E-5</v>
      </c>
      <c r="G98">
        <f>SQRT(Calcs!J99)</f>
        <v>0.12905104378792023</v>
      </c>
      <c r="H98" s="71">
        <f t="shared" si="5"/>
        <v>-0.12905104378792023</v>
      </c>
      <c r="I98" s="70">
        <f>LN(Calcs!L100/Calcs!L99)</f>
        <v>6.9413498929993852E-4</v>
      </c>
      <c r="J98" s="76">
        <f t="shared" si="6"/>
        <v>6.3925888902311128E-4</v>
      </c>
      <c r="K98" s="72">
        <f t="shared" si="7"/>
        <v>1474.0673331794244</v>
      </c>
      <c r="L98" s="72">
        <f t="shared" si="8"/>
        <v>1570.9515591629915</v>
      </c>
      <c r="M98" s="75">
        <f t="shared" si="9"/>
        <v>-96.884225983567148</v>
      </c>
    </row>
    <row r="99" spans="1:13" x14ac:dyDescent="0.2">
      <c r="A99">
        <v>-0.90658485360180197</v>
      </c>
      <c r="B99" s="69">
        <v>1.2439124289592001</v>
      </c>
      <c r="C99">
        <v>1.31013740582826</v>
      </c>
      <c r="D99">
        <v>0</v>
      </c>
      <c r="E99">
        <v>0</v>
      </c>
      <c r="F99">
        <v>5.4876100276827201E-5</v>
      </c>
      <c r="G99">
        <f>SQRT(Calcs!J100)</f>
        <v>0.11278619649668518</v>
      </c>
      <c r="H99" s="71">
        <f t="shared" si="5"/>
        <v>-0.11278619649668518</v>
      </c>
      <c r="I99" s="70">
        <f>LN(Calcs!L101/Calcs!L100)</f>
        <v>6.6026838267434418E-3</v>
      </c>
      <c r="J99" s="76">
        <f t="shared" si="6"/>
        <v>6.5478077264666144E-3</v>
      </c>
      <c r="K99" s="72">
        <f t="shared" si="7"/>
        <v>1483.8323358565933</v>
      </c>
      <c r="L99" s="72">
        <f t="shared" si="8"/>
        <v>1571.0377692236966</v>
      </c>
      <c r="M99" s="75">
        <f t="shared" si="9"/>
        <v>-87.205433367103296</v>
      </c>
    </row>
    <row r="100" spans="1:13" x14ac:dyDescent="0.2">
      <c r="A100">
        <v>-1.2426964958327E-2</v>
      </c>
      <c r="B100" s="69">
        <v>0.65440194399211504</v>
      </c>
      <c r="C100">
        <v>-1.0267801899414</v>
      </c>
      <c r="D100">
        <v>0</v>
      </c>
      <c r="E100">
        <v>2.4223723588655498E-2</v>
      </c>
      <c r="F100">
        <v>3.4748895303875701E-5</v>
      </c>
      <c r="G100">
        <f>SQRT(Calcs!J101)</f>
        <v>8.4729952315700185E-2</v>
      </c>
      <c r="H100" s="71">
        <f t="shared" si="5"/>
        <v>-6.0506228727044684E-2</v>
      </c>
      <c r="I100" s="70">
        <f>LN(Calcs!L102/Calcs!L101)</f>
        <v>-2.0069364665146429E-3</v>
      </c>
      <c r="J100" s="76">
        <f t="shared" si="6"/>
        <v>-2.0416853618185184E-3</v>
      </c>
      <c r="K100" s="72">
        <f t="shared" si="7"/>
        <v>1480.8573649189473</v>
      </c>
      <c r="L100" s="72">
        <f t="shared" si="8"/>
        <v>1571.0923619991718</v>
      </c>
      <c r="M100" s="75">
        <f t="shared" si="9"/>
        <v>-90.234997080224502</v>
      </c>
    </row>
    <row r="101" spans="1:13" x14ac:dyDescent="0.2">
      <c r="A101">
        <v>5.55960300263795E-2</v>
      </c>
      <c r="B101" s="69">
        <v>-0.38703464095548101</v>
      </c>
      <c r="C101">
        <v>-0.73162995908349804</v>
      </c>
      <c r="D101">
        <v>0</v>
      </c>
      <c r="E101">
        <v>3.5097849515957798E-2</v>
      </c>
      <c r="F101">
        <v>1.7535235055732401E-4</v>
      </c>
      <c r="G101">
        <f>SQRT(Calcs!J102)</f>
        <v>0.1067190595906138</v>
      </c>
      <c r="H101" s="71">
        <f t="shared" si="5"/>
        <v>-7.1621210074655994E-2</v>
      </c>
      <c r="I101" s="70">
        <f>LN(Calcs!L103/Calcs!L102)</f>
        <v>2.7114611543765724E-3</v>
      </c>
      <c r="J101" s="76">
        <f t="shared" si="6"/>
        <v>2.5361088038192482E-3</v>
      </c>
      <c r="K101" s="72">
        <f t="shared" si="7"/>
        <v>1484.8781007101747</v>
      </c>
      <c r="L101" s="72">
        <f t="shared" si="8"/>
        <v>1571.3678808935281</v>
      </c>
      <c r="M101" s="75">
        <f t="shared" si="9"/>
        <v>-86.489780183353332</v>
      </c>
    </row>
    <row r="102" spans="1:13" x14ac:dyDescent="0.2">
      <c r="A102">
        <v>0.87355594965728101</v>
      </c>
      <c r="B102" s="69">
        <v>-0.13600916911149899</v>
      </c>
      <c r="C102">
        <v>-0.39185107453615298</v>
      </c>
      <c r="D102">
        <v>0</v>
      </c>
      <c r="E102">
        <v>1.1645941476073901E-2</v>
      </c>
      <c r="F102">
        <v>6.95469791268618E-4</v>
      </c>
      <c r="G102">
        <f>SQRT(Calcs!J103)</f>
        <v>0.10105352497714386</v>
      </c>
      <c r="H102" s="71">
        <f t="shared" si="5"/>
        <v>-8.9407583501069962E-2</v>
      </c>
      <c r="I102" s="70">
        <f>LN(Calcs!L104/Calcs!L103)</f>
        <v>-2.3580596723716952E-3</v>
      </c>
      <c r="J102" s="76">
        <f t="shared" si="6"/>
        <v>-3.0535294636403133E-3</v>
      </c>
      <c r="K102" s="72">
        <f t="shared" si="7"/>
        <v>1481.3807945913109</v>
      </c>
      <c r="L102" s="72">
        <f t="shared" si="8"/>
        <v>1572.46109989199</v>
      </c>
      <c r="M102" s="75">
        <f t="shared" si="9"/>
        <v>-91.080305300679129</v>
      </c>
    </row>
    <row r="103" spans="1:13" x14ac:dyDescent="0.2">
      <c r="A103">
        <v>0.89511897533929496</v>
      </c>
      <c r="B103" s="69">
        <v>0.47839840176359999</v>
      </c>
      <c r="C103">
        <v>-0.83867611039158696</v>
      </c>
      <c r="D103">
        <v>0</v>
      </c>
      <c r="E103">
        <v>0</v>
      </c>
      <c r="F103">
        <v>5.4876100276827201E-5</v>
      </c>
      <c r="G103">
        <f>SQRT(Calcs!J104)</f>
        <v>0.10353429998141782</v>
      </c>
      <c r="H103" s="71">
        <f t="shared" si="5"/>
        <v>-0.10353429998141782</v>
      </c>
      <c r="I103" s="70">
        <f>LN(Calcs!L105/Calcs!L104)</f>
        <v>-1.1213270894056384E-3</v>
      </c>
      <c r="J103" s="76">
        <f t="shared" si="6"/>
        <v>-1.1762031896824655E-3</v>
      </c>
      <c r="K103" s="72">
        <f t="shared" si="7"/>
        <v>1479.7206131537757</v>
      </c>
      <c r="L103" s="72">
        <f t="shared" si="8"/>
        <v>1572.5473927926764</v>
      </c>
      <c r="M103" s="75">
        <f t="shared" si="9"/>
        <v>-92.826779638900689</v>
      </c>
    </row>
    <row r="104" spans="1:13" x14ac:dyDescent="0.2">
      <c r="A104">
        <v>-0.31432021211855998</v>
      </c>
      <c r="B104" s="69">
        <v>0.494504082060374</v>
      </c>
      <c r="C104">
        <v>-0.61701060360758497</v>
      </c>
      <c r="D104">
        <v>0</v>
      </c>
      <c r="E104">
        <v>0</v>
      </c>
      <c r="F104">
        <v>5.4876100276827201E-5</v>
      </c>
      <c r="G104">
        <f>SQRT(Calcs!J105)</f>
        <v>0.13008745111650608</v>
      </c>
      <c r="H104" s="71">
        <f t="shared" si="5"/>
        <v>-0.13008745111650608</v>
      </c>
      <c r="I104" s="70">
        <f>LN(Calcs!L106/Calcs!L105)</f>
        <v>1.1861687658741855E-2</v>
      </c>
      <c r="J104" s="76">
        <f t="shared" si="6"/>
        <v>1.1806811558465028E-2</v>
      </c>
      <c r="K104" s="72">
        <f t="shared" si="7"/>
        <v>1497.3771077800345</v>
      </c>
      <c r="L104" s="72">
        <f t="shared" si="8"/>
        <v>1572.6336904289108</v>
      </c>
      <c r="M104" s="75">
        <f t="shared" si="9"/>
        <v>-75.256582648876247</v>
      </c>
    </row>
    <row r="105" spans="1:13" x14ac:dyDescent="0.2">
      <c r="A105">
        <v>0.31262181921618698</v>
      </c>
      <c r="B105" s="69">
        <v>-0.84312170903339001</v>
      </c>
      <c r="C105">
        <v>5.7058574028609199E-2</v>
      </c>
      <c r="D105">
        <v>0</v>
      </c>
      <c r="E105">
        <v>0</v>
      </c>
      <c r="F105">
        <v>5.4876100276827201E-5</v>
      </c>
      <c r="G105">
        <f>SQRT(Calcs!J106)</f>
        <v>0.11349445147159117</v>
      </c>
      <c r="H105" s="71">
        <f t="shared" si="5"/>
        <v>-0.11349445147159117</v>
      </c>
      <c r="I105" s="70">
        <f>LN(Calcs!L107/Calcs!L106)</f>
        <v>3.8661048611355691E-3</v>
      </c>
      <c r="J105" s="76">
        <f t="shared" si="6"/>
        <v>3.8112287608587417E-3</v>
      </c>
      <c r="K105" s="72">
        <f t="shared" si="7"/>
        <v>1503.177329603725</v>
      </c>
      <c r="L105" s="72">
        <f t="shared" si="8"/>
        <v>1572.7199928009527</v>
      </c>
      <c r="M105" s="75">
        <f t="shared" si="9"/>
        <v>-69.542663197227739</v>
      </c>
    </row>
    <row r="106" spans="1:13" x14ac:dyDescent="0.2">
      <c r="A106">
        <v>-1.1936010408739199</v>
      </c>
      <c r="B106" s="69">
        <v>0.88438999248103001</v>
      </c>
      <c r="C106">
        <v>0.23578750235175</v>
      </c>
      <c r="D106">
        <v>0</v>
      </c>
      <c r="E106">
        <v>3.0807372783703199E-3</v>
      </c>
      <c r="F106">
        <v>-1.7678274481331999E-4</v>
      </c>
      <c r="G106">
        <f>SQRT(Calcs!J107)</f>
        <v>0.1173440823127231</v>
      </c>
      <c r="H106" s="71">
        <f t="shared" si="5"/>
        <v>-0.11426334503435279</v>
      </c>
      <c r="I106" s="70">
        <f>LN(Calcs!L108/Calcs!L107)</f>
        <v>-5.9866409777912981E-3</v>
      </c>
      <c r="J106" s="76">
        <f t="shared" si="6"/>
        <v>-5.8098582329779783E-3</v>
      </c>
      <c r="K106" s="72">
        <f t="shared" si="7"/>
        <v>1494.2052297722448</v>
      </c>
      <c r="L106" s="72">
        <f t="shared" si="8"/>
        <v>1572.4419876177863</v>
      </c>
      <c r="M106" s="75">
        <f t="shared" si="9"/>
        <v>-78.236757845541433</v>
      </c>
    </row>
    <row r="107" spans="1:13" x14ac:dyDescent="0.2">
      <c r="A107">
        <v>0.17192688227192099</v>
      </c>
      <c r="B107" s="69">
        <v>0.74615212445957002</v>
      </c>
      <c r="C107">
        <v>-1.8440225095931E-2</v>
      </c>
      <c r="D107">
        <v>0</v>
      </c>
      <c r="E107">
        <v>1.4536246235672399E-2</v>
      </c>
      <c r="F107">
        <v>2.1188985556756099E-4</v>
      </c>
      <c r="G107">
        <f>SQRT(Calcs!J108)</f>
        <v>0.13712409018773766</v>
      </c>
      <c r="H107" s="71">
        <f t="shared" si="5"/>
        <v>-0.12258784395206526</v>
      </c>
      <c r="I107" s="70">
        <f>LN(Calcs!L109/Calcs!L108)</f>
        <v>9.099771249891371E-3</v>
      </c>
      <c r="J107" s="76">
        <f t="shared" si="6"/>
        <v>8.88788139432381E-3</v>
      </c>
      <c r="K107" s="72">
        <f t="shared" si="7"/>
        <v>1507.8642080992411</v>
      </c>
      <c r="L107" s="72">
        <f t="shared" si="8"/>
        <v>1572.7752074251327</v>
      </c>
      <c r="M107" s="75">
        <f t="shared" si="9"/>
        <v>-64.91099932589168</v>
      </c>
    </row>
    <row r="108" spans="1:13" x14ac:dyDescent="0.2">
      <c r="A108">
        <v>-0.904506176585676</v>
      </c>
      <c r="B108" s="69">
        <v>0.40707786069413598</v>
      </c>
      <c r="C108">
        <v>-1.0945908440337899</v>
      </c>
      <c r="D108">
        <v>0</v>
      </c>
      <c r="E108">
        <v>2.6143782463783401E-2</v>
      </c>
      <c r="F108">
        <v>-1.4361144274520701E-3</v>
      </c>
      <c r="G108">
        <f>SQRT(Calcs!J109)</f>
        <v>0.11140719816803117</v>
      </c>
      <c r="H108" s="71">
        <f t="shared" si="5"/>
        <v>-8.5263415704247766E-2</v>
      </c>
      <c r="I108" s="70">
        <f>LN(Calcs!L110/Calcs!L109)</f>
        <v>-1.1785020249373977E-2</v>
      </c>
      <c r="J108" s="76">
        <f t="shared" si="6"/>
        <v>-1.0348905821921906E-2</v>
      </c>
      <c r="K108" s="72">
        <f t="shared" si="7"/>
        <v>1490.1982988852401</v>
      </c>
      <c r="L108" s="72">
        <f t="shared" si="8"/>
        <v>1570.5181433476721</v>
      </c>
      <c r="M108" s="75">
        <f t="shared" si="9"/>
        <v>-80.319844462432002</v>
      </c>
    </row>
    <row r="109" spans="1:13" x14ac:dyDescent="0.2">
      <c r="A109">
        <v>-1.61489102420119</v>
      </c>
      <c r="B109" s="69">
        <v>1.3704795017000999</v>
      </c>
      <c r="C109">
        <v>-0.97065666770822501</v>
      </c>
      <c r="D109">
        <v>0</v>
      </c>
      <c r="E109">
        <v>2.95514419878578E-2</v>
      </c>
      <c r="F109">
        <v>-2.96423361618069E-3</v>
      </c>
      <c r="G109">
        <f>SQRT(Calcs!J110)</f>
        <v>0.10565865511200037</v>
      </c>
      <c r="H109" s="71">
        <f t="shared" si="5"/>
        <v>-7.6107213124142564E-2</v>
      </c>
      <c r="I109" s="70">
        <f>LN(Calcs!L111/Calcs!L110)</f>
        <v>1.599231387286602E-2</v>
      </c>
      <c r="J109" s="76">
        <f t="shared" si="6"/>
        <v>1.895654748904671E-2</v>
      </c>
      <c r="K109" s="72">
        <f t="shared" si="7"/>
        <v>1514.2215998962045</v>
      </c>
      <c r="L109" s="72">
        <f t="shared" si="8"/>
        <v>1565.8696536807392</v>
      </c>
      <c r="M109" s="75">
        <f t="shared" si="9"/>
        <v>-51.648053784534795</v>
      </c>
    </row>
    <row r="110" spans="1:13" x14ac:dyDescent="0.2">
      <c r="A110">
        <v>0.74311579231610103</v>
      </c>
      <c r="B110" s="69">
        <v>1.0018331356507499</v>
      </c>
      <c r="C110">
        <v>6.0728332207305002E-2</v>
      </c>
      <c r="D110">
        <v>0</v>
      </c>
      <c r="E110">
        <v>6.1749514229612598E-2</v>
      </c>
      <c r="F110">
        <v>2.9267713891366199E-3</v>
      </c>
      <c r="G110">
        <f>SQRT(Calcs!J111)</f>
        <v>4.5484291584733098E-2</v>
      </c>
      <c r="H110" s="71">
        <f t="shared" si="5"/>
        <v>1.62652226448795E-2</v>
      </c>
      <c r="I110" s="70">
        <f>LN(Calcs!L112/Calcs!L111)</f>
        <v>3.1132158248731237E-3</v>
      </c>
      <c r="J110" s="76">
        <f t="shared" si="6"/>
        <v>1.8644443573650376E-4</v>
      </c>
      <c r="K110" s="72">
        <f t="shared" si="7"/>
        <v>1518.9430441674799</v>
      </c>
      <c r="L110" s="72">
        <f t="shared" si="8"/>
        <v>1570.4593093424426</v>
      </c>
      <c r="M110" s="75">
        <f t="shared" si="9"/>
        <v>-51.516265174962655</v>
      </c>
    </row>
    <row r="111" spans="1:13" x14ac:dyDescent="0.2">
      <c r="A111">
        <v>-0.35649611281332599</v>
      </c>
      <c r="B111" s="69">
        <v>-0.118318161265646</v>
      </c>
      <c r="C111">
        <v>1.00779306171741</v>
      </c>
      <c r="D111">
        <v>0</v>
      </c>
      <c r="E111">
        <v>8.5206949891957401E-2</v>
      </c>
      <c r="F111">
        <v>-1.8841848645518001E-3</v>
      </c>
      <c r="G111">
        <f>SQRT(Calcs!J112)</f>
        <v>5.8171898371940971E-2</v>
      </c>
      <c r="H111" s="71">
        <f t="shared" si="5"/>
        <v>2.703505152001643E-2</v>
      </c>
      <c r="I111" s="70">
        <f>LN(Calcs!L113/Calcs!L112)</f>
        <v>4.5812763507762933E-4</v>
      </c>
      <c r="J111" s="76">
        <f t="shared" si="6"/>
        <v>2.3423124996294294E-3</v>
      </c>
      <c r="K111" s="72">
        <f t="shared" si="7"/>
        <v>1519.6390733750559</v>
      </c>
      <c r="L111" s="72">
        <f t="shared" si="8"/>
        <v>1567.5030596164745</v>
      </c>
      <c r="M111" s="75">
        <f t="shared" si="9"/>
        <v>-47.863986241418615</v>
      </c>
    </row>
    <row r="112" spans="1:13" x14ac:dyDescent="0.2">
      <c r="A112">
        <v>-0.66821514829664497</v>
      </c>
      <c r="B112" s="69">
        <v>-0.26933483751641901</v>
      </c>
      <c r="C112">
        <v>-0.26189144742875903</v>
      </c>
      <c r="D112">
        <v>0</v>
      </c>
      <c r="E112">
        <v>7.8936585996626105E-2</v>
      </c>
      <c r="F112">
        <v>-3.29136285590656E-3</v>
      </c>
      <c r="G112">
        <f>SQRT(Calcs!J113)</f>
        <v>7.4121084509422147E-2</v>
      </c>
      <c r="H112" s="71">
        <f t="shared" si="5"/>
        <v>4.8155014872039575E-3</v>
      </c>
      <c r="I112" s="70">
        <f>LN(Calcs!L114/Calcs!L113)</f>
        <v>-3.8773161410566833E-4</v>
      </c>
      <c r="J112" s="76">
        <f t="shared" si="6"/>
        <v>2.9036312418008916E-3</v>
      </c>
      <c r="K112" s="72">
        <f t="shared" si="7"/>
        <v>1519.0499754775976</v>
      </c>
      <c r="L112" s="72">
        <f t="shared" si="8"/>
        <v>1562.3523193969122</v>
      </c>
      <c r="M112" s="75">
        <f t="shared" si="9"/>
        <v>-43.30234391931458</v>
      </c>
    </row>
    <row r="113" spans="1:13" x14ac:dyDescent="0.2">
      <c r="A113">
        <v>0.79675297868562101</v>
      </c>
      <c r="B113" s="69">
        <v>-0.47880444302189901</v>
      </c>
      <c r="C113">
        <v>1.3162190036485999</v>
      </c>
      <c r="D113">
        <v>0</v>
      </c>
      <c r="E113">
        <v>6.8255191946897303E-2</v>
      </c>
      <c r="F113">
        <v>3.4602587364699301E-3</v>
      </c>
      <c r="G113">
        <f>SQRT(Calcs!J114)</f>
        <v>8.4789627021279776E-2</v>
      </c>
      <c r="H113" s="71">
        <f t="shared" si="5"/>
        <v>-1.6534435074382473E-2</v>
      </c>
      <c r="I113" s="70">
        <f>LN(Calcs!L115/Calcs!L114)</f>
        <v>-8.355956518911925E-3</v>
      </c>
      <c r="J113" s="76">
        <f t="shared" si="6"/>
        <v>-1.1816215255381856E-2</v>
      </c>
      <c r="K113" s="72">
        <f t="shared" si="7"/>
        <v>1506.4097440914888</v>
      </c>
      <c r="L113" s="72">
        <f t="shared" si="8"/>
        <v>1567.7678267844269</v>
      </c>
      <c r="M113" s="75">
        <f t="shared" si="9"/>
        <v>-61.358082692938069</v>
      </c>
    </row>
    <row r="114" spans="1:13" x14ac:dyDescent="0.2">
      <c r="A114">
        <v>0.83252644737700299</v>
      </c>
      <c r="B114" s="69">
        <v>-1.5646187384677099</v>
      </c>
      <c r="C114">
        <v>-1.0776983468300401</v>
      </c>
      <c r="D114">
        <v>0</v>
      </c>
      <c r="E114">
        <v>5.0997451857661302E-2</v>
      </c>
      <c r="F114">
        <v>2.7130873415351299E-3</v>
      </c>
      <c r="G114">
        <f>SQRT(Calcs!J115)</f>
        <v>0.12893969253019144</v>
      </c>
      <c r="H114" s="71">
        <f t="shared" si="5"/>
        <v>-7.7942240672530139E-2</v>
      </c>
      <c r="I114" s="70">
        <f>LN(Calcs!L116/Calcs!L115)</f>
        <v>-6.6261716840397746E-3</v>
      </c>
      <c r="J114" s="76">
        <f t="shared" si="6"/>
        <v>-9.3392590255749041E-3</v>
      </c>
      <c r="K114" s="72">
        <f t="shared" si="7"/>
        <v>1496.4610119052322</v>
      </c>
      <c r="L114" s="72">
        <f t="shared" si="8"/>
        <v>1572.0270930978527</v>
      </c>
      <c r="M114" s="75">
        <f t="shared" si="9"/>
        <v>-75.566081192620459</v>
      </c>
    </row>
    <row r="115" spans="1:13" x14ac:dyDescent="0.2">
      <c r="A115">
        <v>-1.49604121820812</v>
      </c>
      <c r="B115" s="69">
        <v>1.0492632913451401</v>
      </c>
      <c r="C115">
        <v>-0.21723707138606399</v>
      </c>
      <c r="D115">
        <v>0</v>
      </c>
      <c r="E115">
        <v>0</v>
      </c>
      <c r="F115">
        <v>4.3725105950811999E-5</v>
      </c>
      <c r="G115">
        <f>SQRT(Calcs!J116)</f>
        <v>0.1232627847773058</v>
      </c>
      <c r="H115" s="71">
        <f t="shared" si="5"/>
        <v>-0.1232627847773058</v>
      </c>
      <c r="I115" s="70">
        <f>LN(Calcs!L117/Calcs!L116)</f>
        <v>-1.0455211434906623E-3</v>
      </c>
      <c r="J115" s="76">
        <f t="shared" si="6"/>
        <v>-1.0892462494414743E-3</v>
      </c>
      <c r="K115" s="72">
        <f t="shared" si="7"/>
        <v>1494.8972478934925</v>
      </c>
      <c r="L115" s="72">
        <f t="shared" si="8"/>
        <v>1572.0958316518454</v>
      </c>
      <c r="M115" s="75">
        <f t="shared" si="9"/>
        <v>-77.198583758352925</v>
      </c>
    </row>
    <row r="116" spans="1:13" x14ac:dyDescent="0.2">
      <c r="A116">
        <v>0.947041803561956</v>
      </c>
      <c r="B116" s="69">
        <v>0.18330626990784299</v>
      </c>
      <c r="C116">
        <v>9.4022546464697307E-2</v>
      </c>
      <c r="D116">
        <v>0</v>
      </c>
      <c r="E116">
        <v>1.6695018855321899E-2</v>
      </c>
      <c r="F116">
        <v>1.03916395232722E-3</v>
      </c>
      <c r="G116">
        <f>SQRT(Calcs!J117)</f>
        <v>0.11667953696646946</v>
      </c>
      <c r="H116" s="71">
        <f t="shared" si="5"/>
        <v>-9.9984518111147558E-2</v>
      </c>
      <c r="I116" s="70">
        <f>LN(Calcs!L118/Calcs!L117)</f>
        <v>2.6356210944997265E-3</v>
      </c>
      <c r="J116" s="76">
        <f t="shared" si="6"/>
        <v>1.5964571421725065E-3</v>
      </c>
      <c r="K116" s="72">
        <f t="shared" si="7"/>
        <v>1498.8424273294565</v>
      </c>
      <c r="L116" s="72">
        <f t="shared" si="8"/>
        <v>1573.7303460868545</v>
      </c>
      <c r="M116" s="75">
        <f t="shared" si="9"/>
        <v>-74.887918757397983</v>
      </c>
    </row>
    <row r="117" spans="1:13" x14ac:dyDescent="0.2">
      <c r="A117">
        <v>0.315528724074295</v>
      </c>
      <c r="B117" s="69">
        <v>0.386915150110408</v>
      </c>
      <c r="C117">
        <v>0.26722442842244598</v>
      </c>
      <c r="D117">
        <v>0</v>
      </c>
      <c r="E117">
        <v>0</v>
      </c>
      <c r="F117">
        <v>4.3725105950811999E-5</v>
      </c>
      <c r="G117">
        <f>SQRT(Calcs!J118)</f>
        <v>0.12791270721880488</v>
      </c>
      <c r="H117" s="71">
        <f t="shared" si="5"/>
        <v>-0.12791270721880488</v>
      </c>
      <c r="I117" s="70">
        <f>LN(Calcs!L119/Calcs!L118)</f>
        <v>-6.0753685455249432E-3</v>
      </c>
      <c r="J117" s="76">
        <f t="shared" si="6"/>
        <v>-6.1190936514757552E-3</v>
      </c>
      <c r="K117" s="72">
        <f t="shared" si="7"/>
        <v>1489.7640124735422</v>
      </c>
      <c r="L117" s="72">
        <f t="shared" si="8"/>
        <v>1573.7991591173929</v>
      </c>
      <c r="M117" s="75">
        <f t="shared" si="9"/>
        <v>-84.035146643850794</v>
      </c>
    </row>
    <row r="118" spans="1:13" x14ac:dyDescent="0.2">
      <c r="A118">
        <v>-5.4322416986287002E-2</v>
      </c>
      <c r="B118" s="69">
        <v>0.52372682218279998</v>
      </c>
      <c r="C118">
        <v>-1.0462677210406099</v>
      </c>
      <c r="D118">
        <v>0</v>
      </c>
      <c r="E118">
        <v>0</v>
      </c>
      <c r="F118">
        <v>4.3725105950811999E-5</v>
      </c>
      <c r="G118">
        <f>SQRT(Calcs!J119)</f>
        <v>0.15772006173479816</v>
      </c>
      <c r="H118" s="71">
        <f t="shared" si="5"/>
        <v>-0.15772006173479816</v>
      </c>
      <c r="I118" s="70">
        <f>LN(Calcs!L120/Calcs!L119)</f>
        <v>1.582216383613555E-2</v>
      </c>
      <c r="J118" s="76">
        <f t="shared" si="6"/>
        <v>1.5778438730184738E-2</v>
      </c>
      <c r="K118" s="72">
        <f t="shared" si="7"/>
        <v>1513.5227645431535</v>
      </c>
      <c r="L118" s="72">
        <f t="shared" si="8"/>
        <v>1573.8679751568541</v>
      </c>
      <c r="M118" s="75">
        <f t="shared" si="9"/>
        <v>-60.345210613700601</v>
      </c>
    </row>
    <row r="119" spans="1:13" x14ac:dyDescent="0.2">
      <c r="A119">
        <v>1.8515873040147799</v>
      </c>
      <c r="B119" s="69">
        <v>-1.24572306451735</v>
      </c>
      <c r="C119">
        <v>0.16330611070295001</v>
      </c>
      <c r="D119">
        <v>0</v>
      </c>
      <c r="E119">
        <v>0</v>
      </c>
      <c r="F119">
        <v>4.3725105950811999E-5</v>
      </c>
      <c r="G119">
        <f>SQRT(Calcs!J120)</f>
        <v>0.13389794039296218</v>
      </c>
      <c r="H119" s="71">
        <f t="shared" si="5"/>
        <v>-0.13389794039296218</v>
      </c>
      <c r="I119" s="70">
        <f>LN(Calcs!L121/Calcs!L120)</f>
        <v>-2.2856160549142752E-3</v>
      </c>
      <c r="J119" s="76">
        <f t="shared" si="6"/>
        <v>-2.3293411608650873E-3</v>
      </c>
      <c r="K119" s="72">
        <f t="shared" si="7"/>
        <v>1510.0673829551065</v>
      </c>
      <c r="L119" s="72">
        <f t="shared" si="8"/>
        <v>1573.9367942053696</v>
      </c>
      <c r="M119" s="75">
        <f t="shared" si="9"/>
        <v>-63.869411250263056</v>
      </c>
    </row>
    <row r="120" spans="1:13" x14ac:dyDescent="0.2">
      <c r="A120">
        <v>0.76080835672304103</v>
      </c>
      <c r="B120" s="69">
        <v>-0.895457969353602</v>
      </c>
      <c r="C120">
        <v>0.53197672381382899</v>
      </c>
      <c r="D120">
        <v>0</v>
      </c>
      <c r="E120">
        <v>2.42878554913111E-2</v>
      </c>
      <c r="F120">
        <v>1.2065846716692299E-3</v>
      </c>
      <c r="G120">
        <f>SQRT(Calcs!J121)</f>
        <v>0.1173461525264132</v>
      </c>
      <c r="H120" s="71">
        <f t="shared" si="5"/>
        <v>-9.30582970351021E-2</v>
      </c>
      <c r="I120" s="70">
        <f>LN(Calcs!L122/Calcs!L121)</f>
        <v>7.4802749145571308E-3</v>
      </c>
      <c r="J120" s="76">
        <f t="shared" si="6"/>
        <v>6.2736902428879009E-3</v>
      </c>
      <c r="K120" s="72">
        <f t="shared" si="7"/>
        <v>1521.4054551998358</v>
      </c>
      <c r="L120" s="72">
        <f t="shared" si="8"/>
        <v>1575.8370283816114</v>
      </c>
      <c r="M120" s="75">
        <f t="shared" si="9"/>
        <v>-54.431573181775548</v>
      </c>
    </row>
    <row r="121" spans="1:13" x14ac:dyDescent="0.2">
      <c r="A121">
        <v>0.50924449953872697</v>
      </c>
      <c r="B121" s="69">
        <v>0.118821694309688</v>
      </c>
      <c r="C121">
        <v>0.49504377380694697</v>
      </c>
      <c r="D121">
        <v>0</v>
      </c>
      <c r="E121">
        <v>0</v>
      </c>
      <c r="F121">
        <v>4.3725105950811999E-5</v>
      </c>
      <c r="G121">
        <f>SQRT(Calcs!J122)</f>
        <v>0.10431762504618498</v>
      </c>
      <c r="H121" s="71">
        <f t="shared" si="5"/>
        <v>-0.10431762504618498</v>
      </c>
      <c r="I121" s="70">
        <f>LN(Calcs!L123/Calcs!L122)</f>
        <v>-9.5655136155198403E-4</v>
      </c>
      <c r="J121" s="76">
        <f t="shared" si="6"/>
        <v>-1.0002764675027961E-3</v>
      </c>
      <c r="K121" s="72">
        <f t="shared" si="7"/>
        <v>1519.9508485540882</v>
      </c>
      <c r="L121" s="72">
        <f t="shared" si="8"/>
        <v>1575.9059335290701</v>
      </c>
      <c r="M121" s="75">
        <f t="shared" si="9"/>
        <v>-55.955084974981901</v>
      </c>
    </row>
    <row r="122" spans="1:13" x14ac:dyDescent="0.2">
      <c r="A122">
        <v>-0.28980018163138399</v>
      </c>
      <c r="B122" s="69">
        <v>-1.4029341561058299</v>
      </c>
      <c r="C122">
        <v>-1.8673604786760301</v>
      </c>
      <c r="D122">
        <v>0</v>
      </c>
      <c r="E122">
        <v>0</v>
      </c>
      <c r="F122">
        <v>4.3725105950811999E-5</v>
      </c>
      <c r="G122">
        <f>SQRT(Calcs!J123)</f>
        <v>0.10260822685951211</v>
      </c>
      <c r="H122" s="71">
        <f t="shared" si="5"/>
        <v>-0.10260822685951211</v>
      </c>
      <c r="I122" s="70">
        <f>LN(Calcs!L124/Calcs!L123)</f>
        <v>3.3265405997916549E-3</v>
      </c>
      <c r="J122" s="76">
        <f t="shared" si="6"/>
        <v>3.2828154938408429E-3</v>
      </c>
      <c r="K122" s="72">
        <f t="shared" si="7"/>
        <v>1525.0154458854652</v>
      </c>
      <c r="L122" s="72">
        <f t="shared" si="8"/>
        <v>1575.9748416894797</v>
      </c>
      <c r="M122" s="75">
        <f t="shared" si="9"/>
        <v>-50.959395804014548</v>
      </c>
    </row>
    <row r="123" spans="1:13" x14ac:dyDescent="0.2">
      <c r="A123">
        <v>-0.70191535689721096</v>
      </c>
      <c r="B123" s="69">
        <v>0.136857372077865</v>
      </c>
      <c r="C123">
        <v>0.61233446269604697</v>
      </c>
      <c r="D123">
        <v>0</v>
      </c>
      <c r="E123">
        <v>2.9618968839458599E-2</v>
      </c>
      <c r="F123">
        <v>-1.2676630067548001E-3</v>
      </c>
      <c r="G123">
        <f>SQRT(Calcs!J124)</f>
        <v>0.10324598521879974</v>
      </c>
      <c r="H123" s="71">
        <f t="shared" si="5"/>
        <v>-7.3627016379341145E-2</v>
      </c>
      <c r="I123" s="70">
        <f>LN(Calcs!L125/Calcs!L124)</f>
        <v>-5.7802620772154766E-3</v>
      </c>
      <c r="J123" s="76">
        <f t="shared" si="6"/>
        <v>-4.5125990704606763E-3</v>
      </c>
      <c r="K123" s="72">
        <f t="shared" si="7"/>
        <v>1516.2258843935667</v>
      </c>
      <c r="L123" s="72">
        <f t="shared" si="8"/>
        <v>1573.9783024199453</v>
      </c>
      <c r="M123" s="75">
        <f t="shared" si="9"/>
        <v>-57.752418026378564</v>
      </c>
    </row>
    <row r="124" spans="1:13" x14ac:dyDescent="0.2">
      <c r="A124">
        <v>-0.52255460571437096</v>
      </c>
      <c r="B124" s="69">
        <v>-8.1425849456176105E-2</v>
      </c>
      <c r="C124">
        <v>0.79907223609808298</v>
      </c>
      <c r="D124">
        <v>0</v>
      </c>
      <c r="E124">
        <v>2.48733590115865E-2</v>
      </c>
      <c r="F124">
        <v>-7.7627984378544402E-4</v>
      </c>
      <c r="G124">
        <f>SQRT(Calcs!J125)</f>
        <v>0.11438741850426964</v>
      </c>
      <c r="H124" s="71">
        <f t="shared" si="5"/>
        <v>-8.9514059492683151E-2</v>
      </c>
      <c r="I124" s="70">
        <f>LN(Calcs!L126/Calcs!L125)</f>
        <v>-8.6915853069902543E-3</v>
      </c>
      <c r="J124" s="76">
        <f t="shared" si="6"/>
        <v>-7.9153054632048105E-3</v>
      </c>
      <c r="K124" s="72">
        <f t="shared" si="7"/>
        <v>1503.104582833105</v>
      </c>
      <c r="L124" s="72">
        <f t="shared" si="8"/>
        <v>1572.7569289143726</v>
      </c>
      <c r="M124" s="75">
        <f t="shared" si="9"/>
        <v>-69.652346081267524</v>
      </c>
    </row>
    <row r="125" spans="1:13" x14ac:dyDescent="0.2">
      <c r="A125">
        <v>1.1378081295609199</v>
      </c>
      <c r="B125" s="69">
        <v>-3.13316167062096</v>
      </c>
      <c r="C125">
        <v>-0.12570903980322701</v>
      </c>
      <c r="D125">
        <v>0</v>
      </c>
      <c r="E125">
        <v>5.7737551454868996E-3</v>
      </c>
      <c r="F125">
        <v>4.57493873132854E-4</v>
      </c>
      <c r="G125">
        <f>SQRT(Calcs!J126)</f>
        <v>0.13702743555693589</v>
      </c>
      <c r="H125" s="71">
        <f t="shared" si="5"/>
        <v>-0.131253680411449</v>
      </c>
      <c r="I125" s="70">
        <f>LN(Calcs!L127/Calcs!L126)</f>
        <v>-1.2886373532620102E-2</v>
      </c>
      <c r="J125" s="76">
        <f t="shared" si="6"/>
        <v>-1.3343867405752956E-2</v>
      </c>
      <c r="K125" s="72">
        <f t="shared" si="7"/>
        <v>1483.8592831006017</v>
      </c>
      <c r="L125" s="72">
        <f t="shared" si="8"/>
        <v>1573.4766201878995</v>
      </c>
      <c r="M125" s="75">
        <f t="shared" si="9"/>
        <v>-89.617337087297756</v>
      </c>
    </row>
    <row r="126" spans="1:13" x14ac:dyDescent="0.2">
      <c r="A126">
        <v>1.4287067181537401</v>
      </c>
      <c r="B126" s="69">
        <v>-1.50072029876794</v>
      </c>
      <c r="C126">
        <v>-1.8163769143669899</v>
      </c>
      <c r="D126">
        <v>0</v>
      </c>
      <c r="E126">
        <v>7.3326276198062298E-2</v>
      </c>
      <c r="F126">
        <v>6.6324264894764102E-3</v>
      </c>
      <c r="G126">
        <f>SQRT(Calcs!J127)</f>
        <v>0.16030352698209982</v>
      </c>
      <c r="H126" s="71">
        <f t="shared" si="5"/>
        <v>-8.6977250784037521E-2</v>
      </c>
      <c r="I126" s="70">
        <f>LN(Calcs!L128/Calcs!L127)</f>
        <v>1.4970103482607343E-3</v>
      </c>
      <c r="J126" s="76">
        <f t="shared" si="6"/>
        <v>-5.1354161412156757E-3</v>
      </c>
      <c r="K126" s="72">
        <f t="shared" si="7"/>
        <v>1486.0822993267579</v>
      </c>
      <c r="L126" s="72">
        <f t="shared" si="8"/>
        <v>1583.9472727380362</v>
      </c>
      <c r="M126" s="75">
        <f t="shared" si="9"/>
        <v>-97.864973411278243</v>
      </c>
    </row>
    <row r="127" spans="1:13" x14ac:dyDescent="0.2">
      <c r="A127">
        <v>-0.66259352931303706</v>
      </c>
      <c r="B127" s="69">
        <v>0.228075478317351</v>
      </c>
      <c r="C127">
        <v>-0.449130656458749</v>
      </c>
      <c r="D127">
        <v>0</v>
      </c>
      <c r="E127">
        <v>2.5443203829395199E-2</v>
      </c>
      <c r="F127">
        <v>-1.0195451498220399E-3</v>
      </c>
      <c r="G127">
        <f>SQRT(Calcs!J128)</f>
        <v>0.14114569877671473</v>
      </c>
      <c r="H127" s="71">
        <f t="shared" si="5"/>
        <v>-0.11570249494731953</v>
      </c>
      <c r="I127" s="70">
        <f>LN(Calcs!L129/Calcs!L128)</f>
        <v>7.1744033024998197E-3</v>
      </c>
      <c r="J127" s="76">
        <f t="shared" si="6"/>
        <v>8.19394845232186E-3</v>
      </c>
      <c r="K127" s="72">
        <f t="shared" si="7"/>
        <v>1496.7823905715416</v>
      </c>
      <c r="L127" s="72">
        <f t="shared" si="8"/>
        <v>1582.333189933506</v>
      </c>
      <c r="M127" s="75">
        <f t="shared" si="9"/>
        <v>-85.550799361964437</v>
      </c>
    </row>
    <row r="128" spans="1:13" x14ac:dyDescent="0.2">
      <c r="A128">
        <v>0.27893303150207999</v>
      </c>
      <c r="B128" s="69">
        <v>-0.58258135661416999</v>
      </c>
      <c r="C128">
        <v>1.1056852388135101</v>
      </c>
      <c r="D128">
        <v>0</v>
      </c>
      <c r="E128">
        <v>2.24619218123954E-2</v>
      </c>
      <c r="F128">
        <v>4.3740537282764802E-4</v>
      </c>
      <c r="G128">
        <f>SQRT(Calcs!J129)</f>
        <v>0.11895876256146488</v>
      </c>
      <c r="H128" s="71">
        <f t="shared" si="5"/>
        <v>-9.6496840749069487E-2</v>
      </c>
      <c r="I128" s="70">
        <f>LN(Calcs!L130/Calcs!L129)</f>
        <v>2.7441990317744291E-3</v>
      </c>
      <c r="J128" s="76">
        <f t="shared" si="6"/>
        <v>2.3067936589467809E-3</v>
      </c>
      <c r="K128" s="72">
        <f t="shared" si="7"/>
        <v>1500.8955003733013</v>
      </c>
      <c r="L128" s="72">
        <f t="shared" si="8"/>
        <v>1583.0254623631893</v>
      </c>
      <c r="M128" s="75">
        <f t="shared" si="9"/>
        <v>-82.129961989887988</v>
      </c>
    </row>
    <row r="129" spans="1:13" x14ac:dyDescent="0.2">
      <c r="A129">
        <v>-0.17555316819477401</v>
      </c>
      <c r="B129" s="69">
        <v>-0.42413813628518399</v>
      </c>
      <c r="C129">
        <v>-0.25510580470449601</v>
      </c>
      <c r="D129">
        <v>0</v>
      </c>
      <c r="E129">
        <v>0</v>
      </c>
      <c r="F129">
        <v>4.3725105950811999E-5</v>
      </c>
      <c r="G129">
        <f>SQRT(Calcs!J130)</f>
        <v>0.11849948980596428</v>
      </c>
      <c r="H129" s="71">
        <f t="shared" si="5"/>
        <v>-0.11849948980596428</v>
      </c>
      <c r="I129" s="70">
        <f>LN(Calcs!L131/Calcs!L130)</f>
        <v>1.612999450400936E-2</v>
      </c>
      <c r="J129" s="76">
        <f t="shared" si="6"/>
        <v>1.6086269398058548E-2</v>
      </c>
      <c r="K129" s="72">
        <f t="shared" si="7"/>
        <v>1525.3012396172071</v>
      </c>
      <c r="L129" s="72">
        <f t="shared" si="8"/>
        <v>1583.0946818325574</v>
      </c>
      <c r="M129" s="75">
        <f t="shared" si="9"/>
        <v>-57.793442215350296</v>
      </c>
    </row>
    <row r="130" spans="1:13" x14ac:dyDescent="0.2">
      <c r="A130">
        <v>-0.68778019592583295</v>
      </c>
      <c r="B130" s="69">
        <v>0.35730245467815602</v>
      </c>
      <c r="C130">
        <v>0.539941213310281</v>
      </c>
      <c r="D130">
        <v>0</v>
      </c>
      <c r="E130">
        <v>0</v>
      </c>
      <c r="F130">
        <v>4.3725105950811999E-5</v>
      </c>
      <c r="G130">
        <f>SQRT(Calcs!J131)</f>
        <v>6.9141778391483416E-2</v>
      </c>
      <c r="H130" s="71">
        <f t="shared" si="5"/>
        <v>-6.9141778391483416E-2</v>
      </c>
      <c r="I130" s="70">
        <f>LN(Calcs!L132/Calcs!L131)</f>
        <v>1.1781944474832738E-3</v>
      </c>
      <c r="J130" s="76">
        <f t="shared" si="6"/>
        <v>1.1344693415324617E-3</v>
      </c>
      <c r="K130" s="72">
        <f t="shared" si="7"/>
        <v>1527.0994001518336</v>
      </c>
      <c r="L130" s="72">
        <f t="shared" si="8"/>
        <v>1583.1639043286202</v>
      </c>
      <c r="M130" s="75">
        <f t="shared" si="9"/>
        <v>-56.064504176786613</v>
      </c>
    </row>
    <row r="131" spans="1:13" x14ac:dyDescent="0.2">
      <c r="A131">
        <v>-8.6055272302603902E-2</v>
      </c>
      <c r="B131" s="69">
        <v>-5.8132924477429203E-2</v>
      </c>
      <c r="C131">
        <v>1.22549460164546</v>
      </c>
      <c r="D131">
        <v>0</v>
      </c>
      <c r="E131">
        <v>0</v>
      </c>
      <c r="F131">
        <v>4.3725105950811999E-5</v>
      </c>
      <c r="G131">
        <f>SQRT(Calcs!J132)</f>
        <v>5.605777632142455E-2</v>
      </c>
      <c r="H131" s="71">
        <f t="shared" ref="H131:H194" si="10">E131-G131</f>
        <v>-5.605777632142455E-2</v>
      </c>
      <c r="I131" s="70">
        <f>LN(Calcs!L133/Calcs!L132)</f>
        <v>3.1142663633688767E-3</v>
      </c>
      <c r="J131" s="76">
        <f t="shared" ref="J131:J194" si="11">I131-F131</f>
        <v>3.0705412574180647E-3</v>
      </c>
      <c r="K131" s="72">
        <f t="shared" ref="K131:K194" si="12">EXP(I131)*K130</f>
        <v>1531.8626075458069</v>
      </c>
      <c r="L131" s="72">
        <f t="shared" ref="L131:L194" si="13">EXP(F131)*L130</f>
        <v>1583.2331298515103</v>
      </c>
      <c r="M131" s="75">
        <f t="shared" ref="M131:M194" si="14">K131-L131</f>
        <v>-51.370522305703389</v>
      </c>
    </row>
    <row r="132" spans="1:13" x14ac:dyDescent="0.2">
      <c r="A132">
        <v>1.35947849672114</v>
      </c>
      <c r="B132" s="69">
        <v>-2.7820685509773901</v>
      </c>
      <c r="C132">
        <v>1.3368034448270201</v>
      </c>
      <c r="D132">
        <v>0</v>
      </c>
      <c r="E132">
        <v>0</v>
      </c>
      <c r="F132">
        <v>4.3725105950811999E-5</v>
      </c>
      <c r="G132">
        <f>SQRT(Calcs!J133)</f>
        <v>6.9785676905788185E-2</v>
      </c>
      <c r="H132" s="71">
        <f t="shared" si="10"/>
        <v>-6.9785676905788185E-2</v>
      </c>
      <c r="I132" s="70">
        <f>LN(Calcs!L134/Calcs!L133)</f>
        <v>2.0429140007815045E-3</v>
      </c>
      <c r="J132" s="76">
        <f t="shared" si="11"/>
        <v>1.9991888948306924E-3</v>
      </c>
      <c r="K132" s="72">
        <f t="shared" si="12"/>
        <v>1534.9952699044188</v>
      </c>
      <c r="L132" s="72">
        <f t="shared" si="13"/>
        <v>1583.3023584013599</v>
      </c>
      <c r="M132" s="75">
        <f t="shared" si="14"/>
        <v>-48.307088496941105</v>
      </c>
    </row>
    <row r="133" spans="1:13" x14ac:dyDescent="0.2">
      <c r="A133">
        <v>1.1848139928653001</v>
      </c>
      <c r="B133" s="69">
        <v>-0.66052629181585998</v>
      </c>
      <c r="C133">
        <v>-0.12845747019777601</v>
      </c>
      <c r="D133">
        <v>0</v>
      </c>
      <c r="E133">
        <v>6.9718675790475207E-2</v>
      </c>
      <c r="F133">
        <v>5.2376225087426599E-3</v>
      </c>
      <c r="G133">
        <f>SQRT(Calcs!J134)</f>
        <v>3.1559869015623132E-2</v>
      </c>
      <c r="H133" s="71">
        <f t="shared" si="10"/>
        <v>3.8158806774852075E-2</v>
      </c>
      <c r="I133" s="70">
        <f>LN(Calcs!L135/Calcs!L134)</f>
        <v>-8.3243812860892235E-4</v>
      </c>
      <c r="J133" s="76">
        <f t="shared" si="11"/>
        <v>-6.0700606373515825E-3</v>
      </c>
      <c r="K133" s="72">
        <f t="shared" si="12"/>
        <v>1533.7180130069435</v>
      </c>
      <c r="L133" s="72">
        <f t="shared" si="13"/>
        <v>1591.6168535579536</v>
      </c>
      <c r="M133" s="75">
        <f t="shared" si="14"/>
        <v>-57.898840551010153</v>
      </c>
    </row>
    <row r="134" spans="1:13" x14ac:dyDescent="0.2">
      <c r="A134">
        <v>1.50243742628776</v>
      </c>
      <c r="B134" s="69">
        <v>-1.4326780335621301</v>
      </c>
      <c r="C134">
        <v>0.87811610986766397</v>
      </c>
      <c r="D134">
        <v>0</v>
      </c>
      <c r="E134">
        <v>4.7352732041465798E-2</v>
      </c>
      <c r="F134">
        <v>4.5209594387531603E-3</v>
      </c>
      <c r="G134">
        <f>SQRT(Calcs!J135)</f>
        <v>3.3500489479358887E-2</v>
      </c>
      <c r="H134" s="71">
        <f t="shared" si="10"/>
        <v>1.385224256210691E-2</v>
      </c>
      <c r="I134" s="70">
        <f>LN(Calcs!L136/Calcs!L135)</f>
        <v>1.0921399383440524E-3</v>
      </c>
      <c r="J134" s="76">
        <f t="shared" si="11"/>
        <v>-3.4288195004091079E-3</v>
      </c>
      <c r="K134" s="72">
        <f t="shared" si="12"/>
        <v>1535.3939627223303</v>
      </c>
      <c r="L134" s="72">
        <f t="shared" si="13"/>
        <v>1598.8287789221963</v>
      </c>
      <c r="M134" s="75">
        <f t="shared" si="14"/>
        <v>-63.434816199865963</v>
      </c>
    </row>
    <row r="135" spans="1:13" x14ac:dyDescent="0.2">
      <c r="A135">
        <v>1.36609437060542</v>
      </c>
      <c r="B135" s="69">
        <v>-0.49996766883481802</v>
      </c>
      <c r="C135">
        <v>1.3421975431311199</v>
      </c>
      <c r="D135">
        <v>0</v>
      </c>
      <c r="E135">
        <v>0</v>
      </c>
      <c r="F135">
        <v>4.3725105950811999E-5</v>
      </c>
      <c r="G135">
        <f>SQRT(Calcs!J136)</f>
        <v>0</v>
      </c>
      <c r="H135" s="71">
        <f t="shared" si="10"/>
        <v>0</v>
      </c>
      <c r="I135" s="70">
        <f>LN(Calcs!L137/Calcs!L136)</f>
        <v>3.296691252653625E-5</v>
      </c>
      <c r="J135" s="76">
        <f t="shared" si="11"/>
        <v>-1.075819342427575E-5</v>
      </c>
      <c r="K135" s="72">
        <f t="shared" si="12"/>
        <v>1535.4445807551488</v>
      </c>
      <c r="L135" s="72">
        <f t="shared" si="13"/>
        <v>1598.8986894083625</v>
      </c>
      <c r="M135" s="75">
        <f t="shared" si="14"/>
        <v>-63.45410865321378</v>
      </c>
    </row>
    <row r="136" spans="1:13" x14ac:dyDescent="0.2">
      <c r="A136">
        <v>1.1090091677779299</v>
      </c>
      <c r="B136" s="69">
        <v>-0.63062651171496298</v>
      </c>
      <c r="C136">
        <v>-1.13662656593796</v>
      </c>
      <c r="D136">
        <v>0</v>
      </c>
      <c r="E136">
        <v>0</v>
      </c>
      <c r="F136">
        <v>4.3725105950811999E-5</v>
      </c>
      <c r="G136">
        <f>SQRT(Calcs!J137)</f>
        <v>0</v>
      </c>
      <c r="H136" s="71">
        <f t="shared" si="10"/>
        <v>0</v>
      </c>
      <c r="I136" s="70">
        <f>LN(Calcs!L138/Calcs!L137)</f>
        <v>3.296691252653625E-5</v>
      </c>
      <c r="J136" s="76">
        <f t="shared" si="11"/>
        <v>-1.075819342427575E-5</v>
      </c>
      <c r="K136" s="72">
        <f t="shared" si="12"/>
        <v>1535.4952004567149</v>
      </c>
      <c r="L136" s="72">
        <f t="shared" si="13"/>
        <v>1598.9686029514392</v>
      </c>
      <c r="M136" s="75">
        <f t="shared" si="14"/>
        <v>-63.473402494724269</v>
      </c>
    </row>
    <row r="137" spans="1:13" x14ac:dyDescent="0.2">
      <c r="A137">
        <v>6.7527506079233607E-2</v>
      </c>
      <c r="B137" s="69">
        <v>-0.248084859773755</v>
      </c>
      <c r="C137">
        <v>-0.51020180913121504</v>
      </c>
      <c r="D137">
        <v>0</v>
      </c>
      <c r="E137">
        <v>0</v>
      </c>
      <c r="F137">
        <v>4.3725105950811999E-5</v>
      </c>
      <c r="G137">
        <f>SQRT(Calcs!J138)</f>
        <v>0</v>
      </c>
      <c r="H137" s="71">
        <f t="shared" si="10"/>
        <v>0</v>
      </c>
      <c r="I137" s="70">
        <f>LN(Calcs!L139/Calcs!L138)</f>
        <v>3.296691252653625E-5</v>
      </c>
      <c r="J137" s="76">
        <f t="shared" si="11"/>
        <v>-1.075819342427575E-5</v>
      </c>
      <c r="K137" s="72">
        <f t="shared" si="12"/>
        <v>1535.5458218270837</v>
      </c>
      <c r="L137" s="72">
        <f t="shared" si="13"/>
        <v>1599.0385195515596</v>
      </c>
      <c r="M137" s="75">
        <f t="shared" si="14"/>
        <v>-63.492697724475875</v>
      </c>
    </row>
    <row r="138" spans="1:13" x14ac:dyDescent="0.2">
      <c r="A138">
        <v>-1.3090219403433101</v>
      </c>
      <c r="B138" s="69">
        <v>0.53159497286783497</v>
      </c>
      <c r="C138">
        <v>8.5000226567817708E-3</v>
      </c>
      <c r="D138">
        <v>0</v>
      </c>
      <c r="E138">
        <v>0</v>
      </c>
      <c r="F138">
        <v>4.3725105950811999E-5</v>
      </c>
      <c r="G138">
        <f>SQRT(Calcs!J139)</f>
        <v>0</v>
      </c>
      <c r="H138" s="71">
        <f t="shared" si="10"/>
        <v>0</v>
      </c>
      <c r="I138" s="70">
        <f>LN(Calcs!L140/Calcs!L139)</f>
        <v>3.296691252653625E-5</v>
      </c>
      <c r="J138" s="76">
        <f t="shared" si="11"/>
        <v>-1.075819342427575E-5</v>
      </c>
      <c r="K138" s="72">
        <f t="shared" si="12"/>
        <v>1535.5964448663105</v>
      </c>
      <c r="L138" s="72">
        <f t="shared" si="13"/>
        <v>1599.1084392088576</v>
      </c>
      <c r="M138" s="75">
        <f t="shared" si="14"/>
        <v>-63.511994342547041</v>
      </c>
    </row>
    <row r="139" spans="1:13" x14ac:dyDescent="0.2">
      <c r="A139">
        <v>1.5490309474239501</v>
      </c>
      <c r="B139" s="69">
        <v>-2.2694092103535199</v>
      </c>
      <c r="C139">
        <v>0.946245320953645</v>
      </c>
      <c r="D139">
        <v>0</v>
      </c>
      <c r="E139">
        <v>0</v>
      </c>
      <c r="F139">
        <v>4.3725105950811999E-5</v>
      </c>
      <c r="G139">
        <f>SQRT(Calcs!J140)</f>
        <v>0</v>
      </c>
      <c r="H139" s="71">
        <f t="shared" si="10"/>
        <v>0</v>
      </c>
      <c r="I139" s="70">
        <f>LN(Calcs!L141/Calcs!L140)</f>
        <v>3.296691252653625E-5</v>
      </c>
      <c r="J139" s="76">
        <f t="shared" si="11"/>
        <v>-1.075819342427575E-5</v>
      </c>
      <c r="K139" s="72">
        <f t="shared" si="12"/>
        <v>1535.6470695744501</v>
      </c>
      <c r="L139" s="72">
        <f t="shared" si="13"/>
        <v>1599.1783619234668</v>
      </c>
      <c r="M139" s="75">
        <f t="shared" si="14"/>
        <v>-63.531292349016667</v>
      </c>
    </row>
    <row r="140" spans="1:13" x14ac:dyDescent="0.2">
      <c r="A140">
        <v>0.242213584629596</v>
      </c>
      <c r="B140" s="69">
        <v>-3.1905733865809797E-2</v>
      </c>
      <c r="C140">
        <v>-0.58377848982490799</v>
      </c>
      <c r="D140">
        <v>0</v>
      </c>
      <c r="E140">
        <v>5.5438101517256998E-2</v>
      </c>
      <c r="F140">
        <v>8.8350287651973601E-4</v>
      </c>
      <c r="G140">
        <f>SQRT(Calcs!J141)</f>
        <v>0</v>
      </c>
      <c r="H140" s="71">
        <f t="shared" si="10"/>
        <v>5.5438101517256998E-2</v>
      </c>
      <c r="I140" s="70">
        <f>LN(Calcs!L142/Calcs!L141)</f>
        <v>3.296691252653625E-5</v>
      </c>
      <c r="J140" s="76">
        <f t="shared" si="11"/>
        <v>-8.5053596399319975E-4</v>
      </c>
      <c r="K140" s="72">
        <f t="shared" si="12"/>
        <v>1535.6976959515575</v>
      </c>
      <c r="L140" s="72">
        <f t="shared" si="13"/>
        <v>1600.5918649313351</v>
      </c>
      <c r="M140" s="75">
        <f t="shared" si="14"/>
        <v>-64.894168979777533</v>
      </c>
    </row>
    <row r="141" spans="1:13" x14ac:dyDescent="0.2">
      <c r="A141">
        <v>-0.33799183230347701</v>
      </c>
      <c r="B141" s="69">
        <v>0.28258081055169798</v>
      </c>
      <c r="C141">
        <v>1.2096586127439299</v>
      </c>
      <c r="D141">
        <v>0</v>
      </c>
      <c r="E141">
        <v>4.9881323562159199E-2</v>
      </c>
      <c r="F141">
        <v>-1.02325910153241E-3</v>
      </c>
      <c r="G141">
        <f>SQRT(Calcs!J142)</f>
        <v>2.0748591355418785E-2</v>
      </c>
      <c r="H141" s="71">
        <f t="shared" si="10"/>
        <v>2.9132732206740414E-2</v>
      </c>
      <c r="I141" s="70">
        <f>LN(Calcs!L143/Calcs!L142)</f>
        <v>3.2003119517575664E-3</v>
      </c>
      <c r="J141" s="76">
        <f t="shared" si="11"/>
        <v>4.2235710532899763E-3</v>
      </c>
      <c r="K141" s="72">
        <f t="shared" si="12"/>
        <v>1540.6202803436058</v>
      </c>
      <c r="L141" s="72">
        <f t="shared" si="13"/>
        <v>1598.9548824091726</v>
      </c>
      <c r="M141" s="75">
        <f t="shared" si="14"/>
        <v>-58.334602065566742</v>
      </c>
    </row>
    <row r="142" spans="1:13" x14ac:dyDescent="0.2">
      <c r="A142">
        <v>-1.6196472623901701</v>
      </c>
      <c r="B142" s="69">
        <v>1.5230883149538299</v>
      </c>
      <c r="C142">
        <v>0.60557757147745495</v>
      </c>
      <c r="D142">
        <v>0</v>
      </c>
      <c r="E142">
        <v>5.2850008129180101E-2</v>
      </c>
      <c r="F142">
        <v>-5.3540073353615901E-3</v>
      </c>
      <c r="G142">
        <f>SQRT(Calcs!J143)</f>
        <v>0</v>
      </c>
      <c r="H142" s="71">
        <f t="shared" si="10"/>
        <v>5.2850008129180101E-2</v>
      </c>
      <c r="I142" s="70">
        <f>LN(Calcs!L144/Calcs!L143)</f>
        <v>3.296691252653625E-5</v>
      </c>
      <c r="J142" s="76">
        <f t="shared" si="11"/>
        <v>5.3869742478881259E-3</v>
      </c>
      <c r="K142" s="72">
        <f t="shared" si="12"/>
        <v>1540.6710706748202</v>
      </c>
      <c r="L142" s="72">
        <f t="shared" si="13"/>
        <v>1590.4169427309489</v>
      </c>
      <c r="M142" s="75">
        <f t="shared" si="14"/>
        <v>-49.745872056128746</v>
      </c>
    </row>
    <row r="143" spans="1:13" x14ac:dyDescent="0.2">
      <c r="A143">
        <v>-0.35000616595651901</v>
      </c>
      <c r="B143" s="69">
        <v>0.29523177272493401</v>
      </c>
      <c r="C143">
        <v>0.97264638373923296</v>
      </c>
      <c r="D143">
        <v>0</v>
      </c>
      <c r="E143">
        <v>9.0175521604589498E-2</v>
      </c>
      <c r="F143">
        <v>-1.9606274668253999E-3</v>
      </c>
      <c r="G143">
        <f>SQRT(Calcs!J144)</f>
        <v>0</v>
      </c>
      <c r="H143" s="71">
        <f t="shared" si="10"/>
        <v>9.0175521604589498E-2</v>
      </c>
      <c r="I143" s="70">
        <f>LN(Calcs!L145/Calcs!L144)</f>
        <v>3.296691252653625E-5</v>
      </c>
      <c r="J143" s="76">
        <f t="shared" si="11"/>
        <v>1.9935943793519362E-3</v>
      </c>
      <c r="K143" s="72">
        <f t="shared" si="12"/>
        <v>1540.7218626804624</v>
      </c>
      <c r="L143" s="72">
        <f t="shared" si="13"/>
        <v>1587.3017824216645</v>
      </c>
      <c r="M143" s="75">
        <f t="shared" si="14"/>
        <v>-46.579919741202048</v>
      </c>
    </row>
    <row r="144" spans="1:13" x14ac:dyDescent="0.2">
      <c r="A144">
        <v>-0.75992023129470299</v>
      </c>
      <c r="B144" s="69">
        <v>0.12319851669632099</v>
      </c>
      <c r="C144">
        <v>-0.70874041223683604</v>
      </c>
      <c r="D144">
        <v>0</v>
      </c>
      <c r="E144">
        <v>9.5278644700080004E-2</v>
      </c>
      <c r="F144">
        <v>-4.5353208139479601E-3</v>
      </c>
      <c r="G144">
        <f>SQRT(Calcs!J145)</f>
        <v>0</v>
      </c>
      <c r="H144" s="71">
        <f t="shared" si="10"/>
        <v>9.5278644700080004E-2</v>
      </c>
      <c r="I144" s="70">
        <f>LN(Calcs!L146/Calcs!L145)</f>
        <v>3.296691252653625E-5</v>
      </c>
      <c r="J144" s="76">
        <f t="shared" si="11"/>
        <v>4.5682877264744959E-3</v>
      </c>
      <c r="K144" s="72">
        <f t="shared" si="12"/>
        <v>1540.7726563605879</v>
      </c>
      <c r="L144" s="72">
        <f t="shared" si="13"/>
        <v>1580.1191596707517</v>
      </c>
      <c r="M144" s="75">
        <f t="shared" si="14"/>
        <v>-39.346503310163826</v>
      </c>
    </row>
    <row r="145" spans="1:13" x14ac:dyDescent="0.2">
      <c r="A145">
        <v>-0.69667645511181997</v>
      </c>
      <c r="B145" s="69">
        <v>1.25542987879922</v>
      </c>
      <c r="C145">
        <v>0.109625042550119</v>
      </c>
      <c r="D145">
        <v>0</v>
      </c>
      <c r="E145">
        <v>9.5859343064330693E-2</v>
      </c>
      <c r="F145">
        <v>-4.1814373120067898E-3</v>
      </c>
      <c r="G145">
        <f>SQRT(Calcs!J146)</f>
        <v>0</v>
      </c>
      <c r="H145" s="71">
        <f t="shared" si="10"/>
        <v>9.5859343064330693E-2</v>
      </c>
      <c r="I145" s="70">
        <f>LN(Calcs!L147/Calcs!L146)</f>
        <v>3.296691252653625E-5</v>
      </c>
      <c r="J145" s="76">
        <f t="shared" si="11"/>
        <v>4.2144042245333257E-3</v>
      </c>
      <c r="K145" s="72">
        <f t="shared" si="12"/>
        <v>1540.8234517152518</v>
      </c>
      <c r="L145" s="72">
        <f t="shared" si="13"/>
        <v>1573.5257849573807</v>
      </c>
      <c r="M145" s="75">
        <f t="shared" si="14"/>
        <v>-32.702333242128816</v>
      </c>
    </row>
    <row r="146" spans="1:13" x14ac:dyDescent="0.2">
      <c r="A146">
        <v>2.0995565207801299</v>
      </c>
      <c r="B146" s="69">
        <v>-1.47089588559648</v>
      </c>
      <c r="C146">
        <v>-1.19017420931588</v>
      </c>
      <c r="D146">
        <v>0</v>
      </c>
      <c r="E146">
        <v>0.12681984605414801</v>
      </c>
      <c r="F146">
        <v>1.6784959636771499E-2</v>
      </c>
      <c r="G146">
        <f>SQRT(Calcs!J147)</f>
        <v>1.6656741522241877E-2</v>
      </c>
      <c r="H146" s="71">
        <f t="shared" si="10"/>
        <v>0.11016310453190613</v>
      </c>
      <c r="I146" s="70">
        <f>LN(Calcs!L148/Calcs!L147)</f>
        <v>1.1864743339352604E-3</v>
      </c>
      <c r="J146" s="76">
        <f t="shared" si="11"/>
        <v>-1.5598485302836237E-2</v>
      </c>
      <c r="K146" s="72">
        <f t="shared" si="12"/>
        <v>1542.6526841479163</v>
      </c>
      <c r="L146" s="72">
        <f t="shared" si="13"/>
        <v>1600.1602556847024</v>
      </c>
      <c r="M146" s="75">
        <f t="shared" si="14"/>
        <v>-57.507571536786145</v>
      </c>
    </row>
    <row r="147" spans="1:13" x14ac:dyDescent="0.2">
      <c r="A147">
        <v>-0.95501629559888102</v>
      </c>
      <c r="B147" s="69">
        <v>-0.232818945942908</v>
      </c>
      <c r="C147">
        <v>1.49092222059239</v>
      </c>
      <c r="D147">
        <v>0</v>
      </c>
      <c r="E147">
        <v>8.5041327936795905E-2</v>
      </c>
      <c r="F147">
        <v>-5.0867420630721196E-3</v>
      </c>
      <c r="G147">
        <f>SQRT(Calcs!J148)</f>
        <v>0</v>
      </c>
      <c r="H147" s="71">
        <f t="shared" si="10"/>
        <v>8.5041327936795905E-2</v>
      </c>
      <c r="I147" s="70">
        <f>LN(Calcs!L149/Calcs!L148)</f>
        <v>3.296691252653625E-5</v>
      </c>
      <c r="J147" s="76">
        <f t="shared" si="11"/>
        <v>5.1197089755986554E-3</v>
      </c>
      <c r="K147" s="72">
        <f t="shared" si="12"/>
        <v>1542.7035414823135</v>
      </c>
      <c r="L147" s="72">
        <f t="shared" si="13"/>
        <v>1592.0413201762437</v>
      </c>
      <c r="M147" s="75">
        <f t="shared" si="14"/>
        <v>-49.337778693930204</v>
      </c>
    </row>
    <row r="148" spans="1:13" x14ac:dyDescent="0.2">
      <c r="A148">
        <v>-1.0801285153807401</v>
      </c>
      <c r="B148" s="69">
        <v>0.85540180598431903</v>
      </c>
      <c r="C148">
        <v>-0.24124801833444801</v>
      </c>
      <c r="D148">
        <v>0</v>
      </c>
      <c r="E148">
        <v>7.5631064842844806E-2</v>
      </c>
      <c r="F148">
        <v>-5.1136905043968599E-3</v>
      </c>
      <c r="G148">
        <f>SQRT(Calcs!J149)</f>
        <v>0</v>
      </c>
      <c r="H148" s="71">
        <f t="shared" si="10"/>
        <v>7.5631064842844806E-2</v>
      </c>
      <c r="I148" s="70">
        <f>LN(Calcs!L150/Calcs!L149)</f>
        <v>3.296691252653625E-5</v>
      </c>
      <c r="J148" s="76">
        <f t="shared" si="11"/>
        <v>5.1466574169233958E-3</v>
      </c>
      <c r="K148" s="72">
        <f t="shared" si="12"/>
        <v>1542.7544004933477</v>
      </c>
      <c r="L148" s="72">
        <f t="shared" si="13"/>
        <v>1583.9208939634987</v>
      </c>
      <c r="M148" s="75">
        <f t="shared" si="14"/>
        <v>-41.166493470150954</v>
      </c>
    </row>
    <row r="149" spans="1:13" x14ac:dyDescent="0.2">
      <c r="A149">
        <v>0.197836316538547</v>
      </c>
      <c r="B149" s="69">
        <v>-1.15141559983503E-2</v>
      </c>
      <c r="C149">
        <v>-1.39848339588419</v>
      </c>
      <c r="D149">
        <v>0</v>
      </c>
      <c r="E149">
        <v>9.5504028137319105E-2</v>
      </c>
      <c r="F149">
        <v>1.2158483736844001E-3</v>
      </c>
      <c r="G149">
        <f>SQRT(Calcs!J150)</f>
        <v>0</v>
      </c>
      <c r="H149" s="71">
        <f t="shared" si="10"/>
        <v>9.5504028137319105E-2</v>
      </c>
      <c r="I149" s="70">
        <f>LN(Calcs!L151/Calcs!L150)</f>
        <v>3.296691252653625E-5</v>
      </c>
      <c r="J149" s="76">
        <f t="shared" si="11"/>
        <v>-1.1828814611578638E-3</v>
      </c>
      <c r="K149" s="72">
        <f t="shared" si="12"/>
        <v>1542.805261181074</v>
      </c>
      <c r="L149" s="72">
        <f t="shared" si="13"/>
        <v>1585.8478728261414</v>
      </c>
      <c r="M149" s="75">
        <f t="shared" si="14"/>
        <v>-43.042611645067382</v>
      </c>
    </row>
    <row r="150" spans="1:13" x14ac:dyDescent="0.2">
      <c r="A150">
        <v>5.1523263328008898E-2</v>
      </c>
      <c r="B150" s="69">
        <v>4.6696628171106799E-2</v>
      </c>
      <c r="C150">
        <v>-0.16987833349485301</v>
      </c>
      <c r="D150">
        <v>0</v>
      </c>
      <c r="E150">
        <v>9.24496492761675E-2</v>
      </c>
      <c r="F150">
        <v>3.2682707232123799E-4</v>
      </c>
      <c r="G150">
        <f>SQRT(Calcs!J151)</f>
        <v>4.1197244218377713E-2</v>
      </c>
      <c r="H150" s="71">
        <f t="shared" si="10"/>
        <v>5.1252405057789788E-2</v>
      </c>
      <c r="I150" s="70">
        <f>LN(Calcs!L152/Calcs!L151)</f>
        <v>-2.7281055344878491E-3</v>
      </c>
      <c r="J150" s="76">
        <f t="shared" si="11"/>
        <v>-3.0549326068090871E-3</v>
      </c>
      <c r="K150" s="72">
        <f t="shared" si="12"/>
        <v>1538.6020616023056</v>
      </c>
      <c r="L150" s="72">
        <f t="shared" si="13"/>
        <v>1586.3662555497035</v>
      </c>
      <c r="M150" s="75">
        <f t="shared" si="14"/>
        <v>-47.764193947397871</v>
      </c>
    </row>
    <row r="151" spans="1:13" x14ac:dyDescent="0.2">
      <c r="A151">
        <v>0.19220675166547699</v>
      </c>
      <c r="B151" s="69">
        <v>-0.79591570557198299</v>
      </c>
      <c r="C151">
        <v>-1.03744858351481</v>
      </c>
      <c r="D151">
        <v>0</v>
      </c>
      <c r="E151">
        <v>9.08905707596699E-2</v>
      </c>
      <c r="F151">
        <v>1.12782682714262E-3</v>
      </c>
      <c r="G151">
        <f>SQRT(Calcs!J152)</f>
        <v>5.3709338335724457E-2</v>
      </c>
      <c r="H151" s="71">
        <f t="shared" si="10"/>
        <v>3.7181232423945443E-2</v>
      </c>
      <c r="I151" s="70">
        <f>LN(Calcs!L153/Calcs!L152)</f>
        <v>4.520479085528311E-3</v>
      </c>
      <c r="J151" s="76">
        <f t="shared" si="11"/>
        <v>3.3926522583856908E-3</v>
      </c>
      <c r="K151" s="72">
        <f t="shared" si="12"/>
        <v>1545.5730242172749</v>
      </c>
      <c r="L151" s="72">
        <f t="shared" si="13"/>
        <v>1588.1564112734559</v>
      </c>
      <c r="M151" s="75">
        <f t="shared" si="14"/>
        <v>-42.583387056180982</v>
      </c>
    </row>
    <row r="152" spans="1:13" x14ac:dyDescent="0.2">
      <c r="A152">
        <v>-0.27508494814032602</v>
      </c>
      <c r="B152" s="69">
        <v>-0.27865588240185601</v>
      </c>
      <c r="C152">
        <v>-0.31383775985578399</v>
      </c>
      <c r="D152">
        <v>0</v>
      </c>
      <c r="E152">
        <v>6.6213913295201807E-2</v>
      </c>
      <c r="F152">
        <v>-1.1123764231362699E-3</v>
      </c>
      <c r="G152">
        <f>SQRT(Calcs!J153)</f>
        <v>2.6455772243796451E-2</v>
      </c>
      <c r="H152" s="71">
        <f t="shared" si="10"/>
        <v>3.9758141051405356E-2</v>
      </c>
      <c r="I152" s="70">
        <f>LN(Calcs!L154/Calcs!L153)</f>
        <v>2.8475508411082047E-3</v>
      </c>
      <c r="J152" s="76">
        <f t="shared" si="11"/>
        <v>3.9599272642444746E-3</v>
      </c>
      <c r="K152" s="72">
        <f t="shared" si="12"/>
        <v>1549.9803941091873</v>
      </c>
      <c r="L152" s="72">
        <f t="shared" si="13"/>
        <v>1586.3907657385996</v>
      </c>
      <c r="M152" s="75">
        <f t="shared" si="14"/>
        <v>-36.410371629412339</v>
      </c>
    </row>
    <row r="153" spans="1:13" x14ac:dyDescent="0.2">
      <c r="A153">
        <v>-1.1965436557270801</v>
      </c>
      <c r="B153" s="69">
        <v>-0.45011209225251197</v>
      </c>
      <c r="C153">
        <v>0.41999420006603799</v>
      </c>
      <c r="D153">
        <v>0</v>
      </c>
      <c r="E153">
        <v>5.4500941542484201E-2</v>
      </c>
      <c r="F153">
        <v>-4.07018593288713E-3</v>
      </c>
      <c r="G153">
        <f>SQRT(Calcs!J154)</f>
        <v>0</v>
      </c>
      <c r="H153" s="71">
        <f t="shared" si="10"/>
        <v>5.4500941542484201E-2</v>
      </c>
      <c r="I153" s="70">
        <f>LN(Calcs!L155/Calcs!L154)</f>
        <v>3.296691252653625E-5</v>
      </c>
      <c r="J153" s="76">
        <f t="shared" si="11"/>
        <v>4.1031528454136658E-3</v>
      </c>
      <c r="K153" s="72">
        <f t="shared" si="12"/>
        <v>1550.0314930195398</v>
      </c>
      <c r="L153" s="72">
        <f t="shared" si="13"/>
        <v>1579.946982952715</v>
      </c>
      <c r="M153" s="75">
        <f t="shared" si="14"/>
        <v>-29.915489933175195</v>
      </c>
    </row>
    <row r="154" spans="1:13" x14ac:dyDescent="0.2">
      <c r="A154">
        <v>0.12876183947099501</v>
      </c>
      <c r="B154" s="69">
        <v>1.1809942417920299E-2</v>
      </c>
      <c r="C154">
        <v>0.55372736597099503</v>
      </c>
      <c r="D154">
        <v>0</v>
      </c>
      <c r="E154">
        <v>3.6450524107393002E-2</v>
      </c>
      <c r="F154">
        <v>3.36747625083944E-4</v>
      </c>
      <c r="G154">
        <f>SQRT(Calcs!J155)</f>
        <v>0</v>
      </c>
      <c r="H154" s="71">
        <f t="shared" si="10"/>
        <v>3.6450524107393002E-2</v>
      </c>
      <c r="I154" s="70">
        <f>LN(Calcs!L156/Calcs!L155)</f>
        <v>3.296691252653625E-5</v>
      </c>
      <c r="J154" s="76">
        <f t="shared" si="11"/>
        <v>-3.0378071255740774E-4</v>
      </c>
      <c r="K154" s="72">
        <f t="shared" si="12"/>
        <v>1550.0825936144934</v>
      </c>
      <c r="L154" s="72">
        <f t="shared" si="13"/>
        <v>1580.4791159392139</v>
      </c>
      <c r="M154" s="75">
        <f t="shared" si="14"/>
        <v>-30.396522324720536</v>
      </c>
    </row>
    <row r="155" spans="1:13" x14ac:dyDescent="0.2">
      <c r="A155">
        <v>1.9807609245755</v>
      </c>
      <c r="B155" s="69">
        <v>-1.1112805625479301</v>
      </c>
      <c r="C155">
        <v>-1.2191137574609101</v>
      </c>
      <c r="D155">
        <v>0</v>
      </c>
      <c r="E155">
        <v>2.9412590273933399E-2</v>
      </c>
      <c r="F155">
        <v>3.7120001726040101E-3</v>
      </c>
      <c r="G155">
        <f>SQRT(Calcs!J156)</f>
        <v>4.8660825669828628E-2</v>
      </c>
      <c r="H155" s="71">
        <f t="shared" si="10"/>
        <v>-1.9248235395895229E-2</v>
      </c>
      <c r="I155" s="70">
        <f>LN(Calcs!L157/Calcs!L156)</f>
        <v>3.9494377085709537E-3</v>
      </c>
      <c r="J155" s="76">
        <f t="shared" si="11"/>
        <v>2.3743753596694363E-4</v>
      </c>
      <c r="K155" s="72">
        <f t="shared" si="12"/>
        <v>1556.2166533312068</v>
      </c>
      <c r="L155" s="72">
        <f t="shared" si="13"/>
        <v>1586.3567568434298</v>
      </c>
      <c r="M155" s="75">
        <f t="shared" si="14"/>
        <v>-30.14010351222305</v>
      </c>
    </row>
    <row r="156" spans="1:13" x14ac:dyDescent="0.2">
      <c r="A156">
        <v>1.42479988890745</v>
      </c>
      <c r="B156" s="69">
        <v>-0.87340067766748697</v>
      </c>
      <c r="C156">
        <v>0.82260858092595901</v>
      </c>
      <c r="D156">
        <v>0</v>
      </c>
      <c r="E156">
        <v>0</v>
      </c>
      <c r="F156">
        <v>4.3725105950811999E-5</v>
      </c>
      <c r="G156">
        <f>SQRT(Calcs!J157)</f>
        <v>3.9665567291976248E-2</v>
      </c>
      <c r="H156" s="71">
        <f t="shared" si="10"/>
        <v>-3.9665567291976248E-2</v>
      </c>
      <c r="I156" s="70">
        <f>LN(Calcs!L158/Calcs!L157)</f>
        <v>-7.4458650912822047E-4</v>
      </c>
      <c r="J156" s="76">
        <f t="shared" si="11"/>
        <v>-7.883116150790325E-4</v>
      </c>
      <c r="K156" s="72">
        <f t="shared" si="12"/>
        <v>1555.0583466891198</v>
      </c>
      <c r="L156" s="72">
        <f t="shared" si="13"/>
        <v>1586.4261219771865</v>
      </c>
      <c r="M156" s="75">
        <f t="shared" si="14"/>
        <v>-31.367775288066696</v>
      </c>
    </row>
    <row r="157" spans="1:13" x14ac:dyDescent="0.2">
      <c r="A157">
        <v>0.144101260336856</v>
      </c>
      <c r="B157" s="69">
        <v>-0.34735335631690401</v>
      </c>
      <c r="C157">
        <v>0.30728510536645398</v>
      </c>
      <c r="D157">
        <v>0</v>
      </c>
      <c r="E157">
        <v>6.7351261937510596E-3</v>
      </c>
      <c r="F157">
        <v>1.04773386305025E-4</v>
      </c>
      <c r="G157">
        <f>SQRT(Calcs!J158)</f>
        <v>6.5349384093725524E-2</v>
      </c>
      <c r="H157" s="71">
        <f t="shared" si="10"/>
        <v>-5.8614257899974466E-2</v>
      </c>
      <c r="I157" s="70">
        <f>LN(Calcs!L159/Calcs!L158)</f>
        <v>6.5609114701811917E-3</v>
      </c>
      <c r="J157" s="76">
        <f t="shared" si="11"/>
        <v>6.4561380838761666E-3</v>
      </c>
      <c r="K157" s="72">
        <f t="shared" si="12"/>
        <v>1565.2944893271883</v>
      </c>
      <c r="L157" s="72">
        <f t="shared" si="13"/>
        <v>1586.5923459218795</v>
      </c>
      <c r="M157" s="75">
        <f t="shared" si="14"/>
        <v>-21.297856594691211</v>
      </c>
    </row>
    <row r="158" spans="1:13" x14ac:dyDescent="0.2">
      <c r="A158">
        <v>-0.53659327642040699</v>
      </c>
      <c r="B158" s="69">
        <v>0.57883309899665003</v>
      </c>
      <c r="C158">
        <v>-0.23563044650019299</v>
      </c>
      <c r="D158">
        <v>0</v>
      </c>
      <c r="E158">
        <v>0</v>
      </c>
      <c r="F158">
        <v>4.3725105950811999E-5</v>
      </c>
      <c r="G158">
        <f>SQRT(Calcs!J159)</f>
        <v>0</v>
      </c>
      <c r="H158" s="71">
        <f t="shared" si="10"/>
        <v>0</v>
      </c>
      <c r="I158" s="70">
        <f>LN(Calcs!L160/Calcs!L159)</f>
        <v>3.296691252653625E-5</v>
      </c>
      <c r="J158" s="76">
        <f t="shared" si="11"/>
        <v>-1.075819342427575E-5</v>
      </c>
      <c r="K158" s="72">
        <f t="shared" si="12"/>
        <v>1565.3460931043003</v>
      </c>
      <c r="L158" s="72">
        <f t="shared" si="13"/>
        <v>1586.6617213570189</v>
      </c>
      <c r="M158" s="75">
        <f t="shared" si="14"/>
        <v>-21.315628252718625</v>
      </c>
    </row>
    <row r="159" spans="1:13" x14ac:dyDescent="0.2">
      <c r="A159">
        <v>-2.1027619643443298</v>
      </c>
      <c r="B159" s="69">
        <v>1.0098345953276699</v>
      </c>
      <c r="C159">
        <v>0.86487349748087206</v>
      </c>
      <c r="D159">
        <v>0</v>
      </c>
      <c r="E159">
        <v>0</v>
      </c>
      <c r="F159">
        <v>4.3725105950811999E-5</v>
      </c>
      <c r="G159">
        <f>SQRT(Calcs!J160)</f>
        <v>3.6774889911339724E-2</v>
      </c>
      <c r="H159" s="71">
        <f t="shared" si="10"/>
        <v>-3.6774889911339724E-2</v>
      </c>
      <c r="I159" s="70">
        <f>LN(Calcs!L161/Calcs!L160)</f>
        <v>-2.7809394328049096E-3</v>
      </c>
      <c r="J159" s="76">
        <f t="shared" si="11"/>
        <v>-2.8246645387557216E-3</v>
      </c>
      <c r="K159" s="72">
        <f t="shared" si="12"/>
        <v>1560.9990077201408</v>
      </c>
      <c r="L159" s="72">
        <f t="shared" si="13"/>
        <v>1586.7310998256728</v>
      </c>
      <c r="M159" s="75">
        <f t="shared" si="14"/>
        <v>-25.732092105532047</v>
      </c>
    </row>
    <row r="160" spans="1:13" x14ac:dyDescent="0.2">
      <c r="A160">
        <v>1.4444625098955599</v>
      </c>
      <c r="B160" s="69">
        <v>-1.1186952752931401</v>
      </c>
      <c r="C160">
        <v>-1.6738554693594401</v>
      </c>
      <c r="D160">
        <v>0</v>
      </c>
      <c r="E160">
        <v>1.49228308157711E-2</v>
      </c>
      <c r="F160">
        <v>1.4011502137307201E-3</v>
      </c>
      <c r="G160">
        <f>SQRT(Calcs!J161)</f>
        <v>3.6239605854060018E-2</v>
      </c>
      <c r="H160" s="71">
        <f t="shared" si="10"/>
        <v>-2.1316775038288917E-2</v>
      </c>
      <c r="I160" s="70">
        <f>LN(Calcs!L162/Calcs!L161)</f>
        <v>3.4768351999611598E-3</v>
      </c>
      <c r="J160" s="76">
        <f t="shared" si="11"/>
        <v>2.0756849862304397E-3</v>
      </c>
      <c r="K160" s="72">
        <f t="shared" si="12"/>
        <v>1566.4357899383576</v>
      </c>
      <c r="L160" s="72">
        <f t="shared" si="13"/>
        <v>1588.955906725676</v>
      </c>
      <c r="M160" s="75">
        <f t="shared" si="14"/>
        <v>-22.520116787318329</v>
      </c>
    </row>
    <row r="161" spans="1:13" x14ac:dyDescent="0.2">
      <c r="A161">
        <v>0.40720574561901601</v>
      </c>
      <c r="B161" s="69">
        <v>-1.3071696873909999</v>
      </c>
      <c r="C161">
        <v>-0.31173212341488599</v>
      </c>
      <c r="D161">
        <v>0</v>
      </c>
      <c r="E161">
        <v>0</v>
      </c>
      <c r="F161">
        <v>4.3725105950811999E-5</v>
      </c>
      <c r="G161">
        <f>SQRT(Calcs!J162)</f>
        <v>0</v>
      </c>
      <c r="H161" s="71">
        <f t="shared" si="10"/>
        <v>0</v>
      </c>
      <c r="I161" s="70">
        <f>LN(Calcs!L163/Calcs!L162)</f>
        <v>3.296691252653625E-5</v>
      </c>
      <c r="J161" s="76">
        <f t="shared" si="11"/>
        <v>-1.075819342427575E-5</v>
      </c>
      <c r="K161" s="72">
        <f t="shared" si="12"/>
        <v>1566.4874313412472</v>
      </c>
      <c r="L161" s="72">
        <f t="shared" si="13"/>
        <v>1589.0253855100214</v>
      </c>
      <c r="M161" s="75">
        <f t="shared" si="14"/>
        <v>-22.537954168774149</v>
      </c>
    </row>
    <row r="162" spans="1:13" x14ac:dyDescent="0.2">
      <c r="A162">
        <v>0.48279618907754701</v>
      </c>
      <c r="B162" s="69">
        <v>0.144310927576318</v>
      </c>
      <c r="C162">
        <v>0.378275910908421</v>
      </c>
      <c r="D162">
        <v>0</v>
      </c>
      <c r="E162">
        <v>2.6422788196115401E-2</v>
      </c>
      <c r="F162">
        <v>8.4594407628738803E-4</v>
      </c>
      <c r="G162">
        <f>SQRT(Calcs!J163)</f>
        <v>0</v>
      </c>
      <c r="H162" s="71">
        <f t="shared" si="10"/>
        <v>2.6422788196115401E-2</v>
      </c>
      <c r="I162" s="70">
        <f>LN(Calcs!L164/Calcs!L163)</f>
        <v>3.296691252653625E-5</v>
      </c>
      <c r="J162" s="76">
        <f t="shared" si="11"/>
        <v>-8.1297716376085177E-4</v>
      </c>
      <c r="K162" s="72">
        <f t="shared" si="12"/>
        <v>1566.5390744466224</v>
      </c>
      <c r="L162" s="72">
        <f t="shared" si="13"/>
        <v>1590.3701808525939</v>
      </c>
      <c r="M162" s="75">
        <f t="shared" si="14"/>
        <v>-23.831106405971468</v>
      </c>
    </row>
    <row r="163" spans="1:13" x14ac:dyDescent="0.2">
      <c r="A163">
        <v>-2.0944604050876299</v>
      </c>
      <c r="B163" s="69">
        <v>1.6551554753406199</v>
      </c>
      <c r="C163">
        <v>-1.27480310972573</v>
      </c>
      <c r="D163">
        <v>0</v>
      </c>
      <c r="E163">
        <v>2.0713968206556601E-2</v>
      </c>
      <c r="F163">
        <v>-2.6900982662722002E-3</v>
      </c>
      <c r="G163">
        <f>SQRT(Calcs!J164)</f>
        <v>0</v>
      </c>
      <c r="H163" s="71">
        <f t="shared" si="10"/>
        <v>2.0713968206556601E-2</v>
      </c>
      <c r="I163" s="70">
        <f>LN(Calcs!L165/Calcs!L164)</f>
        <v>3.296691252653625E-5</v>
      </c>
      <c r="J163" s="76">
        <f t="shared" si="11"/>
        <v>2.7230651787987364E-3</v>
      </c>
      <c r="K163" s="72">
        <f t="shared" si="12"/>
        <v>1566.5907192545394</v>
      </c>
      <c r="L163" s="72">
        <f t="shared" si="13"/>
        <v>1586.0976780890323</v>
      </c>
      <c r="M163" s="75">
        <f t="shared" si="14"/>
        <v>-19.506958834492934</v>
      </c>
    </row>
    <row r="164" spans="1:13" x14ac:dyDescent="0.2">
      <c r="A164">
        <v>1.0143325766434601</v>
      </c>
      <c r="B164" s="69">
        <v>-0.57440695973488898</v>
      </c>
      <c r="C164">
        <v>0.45530216468356799</v>
      </c>
      <c r="D164">
        <v>0</v>
      </c>
      <c r="E164">
        <v>6.0319314884150703E-2</v>
      </c>
      <c r="F164">
        <v>3.8907260430250802E-3</v>
      </c>
      <c r="G164">
        <f>SQRT(Calcs!J165)</f>
        <v>0</v>
      </c>
      <c r="H164" s="71">
        <f t="shared" si="10"/>
        <v>6.0319314884150703E-2</v>
      </c>
      <c r="I164" s="70">
        <f>LN(Calcs!L166/Calcs!L165)</f>
        <v>3.296691252653625E-5</v>
      </c>
      <c r="J164" s="76">
        <f t="shared" si="11"/>
        <v>-3.8577591304985439E-3</v>
      </c>
      <c r="K164" s="72">
        <f t="shared" si="12"/>
        <v>1566.6423657650544</v>
      </c>
      <c r="L164" s="72">
        <f t="shared" si="13"/>
        <v>1592.2807701908489</v>
      </c>
      <c r="M164" s="75">
        <f t="shared" si="14"/>
        <v>-25.638404425794533</v>
      </c>
    </row>
    <row r="165" spans="1:13" x14ac:dyDescent="0.2">
      <c r="A165">
        <v>0.206351111418174</v>
      </c>
      <c r="B165" s="69">
        <v>0.123447519612989</v>
      </c>
      <c r="C165">
        <v>0.65799415041646403</v>
      </c>
      <c r="D165">
        <v>0</v>
      </c>
      <c r="E165">
        <v>3.9376142541804597E-2</v>
      </c>
      <c r="F165">
        <v>5.5249522318652597E-4</v>
      </c>
      <c r="G165">
        <f>SQRT(Calcs!J166)</f>
        <v>0</v>
      </c>
      <c r="H165" s="71">
        <f t="shared" si="10"/>
        <v>3.9376142541804597E-2</v>
      </c>
      <c r="I165" s="70">
        <f>LN(Calcs!L167/Calcs!L166)</f>
        <v>3.296691252653625E-5</v>
      </c>
      <c r="J165" s="76">
        <f t="shared" si="11"/>
        <v>-5.1952831065998971E-4</v>
      </c>
      <c r="K165" s="72">
        <f t="shared" si="12"/>
        <v>1566.6940139782232</v>
      </c>
      <c r="L165" s="72">
        <f t="shared" si="13"/>
        <v>1593.1607407777396</v>
      </c>
      <c r="M165" s="75">
        <f t="shared" si="14"/>
        <v>-26.466726799516437</v>
      </c>
    </row>
    <row r="166" spans="1:13" x14ac:dyDescent="0.2">
      <c r="A166">
        <v>0.99149533168901904</v>
      </c>
      <c r="B166" s="69">
        <v>-0.27050139564557202</v>
      </c>
      <c r="C166">
        <v>-6.3812853927831301E-2</v>
      </c>
      <c r="D166">
        <v>0</v>
      </c>
      <c r="E166">
        <v>3.6459375202360603E-2</v>
      </c>
      <c r="F166">
        <v>2.3182795071671602E-3</v>
      </c>
      <c r="G166">
        <f>SQRT(Calcs!J167)</f>
        <v>2.1949136496587827E-2</v>
      </c>
      <c r="H166" s="71">
        <f t="shared" si="10"/>
        <v>1.4510238705772775E-2</v>
      </c>
      <c r="I166" s="70">
        <f>LN(Calcs!L168/Calcs!L167)</f>
        <v>8.1273083352028123E-4</v>
      </c>
      <c r="J166" s="76">
        <f t="shared" si="11"/>
        <v>-1.5055486736468789E-3</v>
      </c>
      <c r="K166" s="72">
        <f t="shared" si="12"/>
        <v>1567.9678320755806</v>
      </c>
      <c r="L166" s="72">
        <f t="shared" si="13"/>
        <v>1596.8584171423058</v>
      </c>
      <c r="M166" s="75">
        <f t="shared" si="14"/>
        <v>-28.89058506672518</v>
      </c>
    </row>
    <row r="167" spans="1:13" x14ac:dyDescent="0.2">
      <c r="A167">
        <v>0.69646999869903903</v>
      </c>
      <c r="B167" s="69">
        <v>-1.2448329156373401</v>
      </c>
      <c r="C167">
        <v>1.3194753991528301</v>
      </c>
      <c r="D167">
        <v>0</v>
      </c>
      <c r="E167">
        <v>1.9373786155823799E-2</v>
      </c>
      <c r="F167">
        <v>8.9297591236086802E-4</v>
      </c>
      <c r="G167">
        <f>SQRT(Calcs!J168)</f>
        <v>0</v>
      </c>
      <c r="H167" s="71">
        <f t="shared" si="10"/>
        <v>1.9373786155823799E-2</v>
      </c>
      <c r="I167" s="70">
        <f>LN(Calcs!L169/Calcs!L168)</f>
        <v>3.296691252653625E-5</v>
      </c>
      <c r="J167" s="76">
        <f t="shared" si="11"/>
        <v>-8.6000899983433175E-4</v>
      </c>
      <c r="K167" s="72">
        <f t="shared" si="12"/>
        <v>1568.0195239860018</v>
      </c>
      <c r="L167" s="72">
        <f t="shared" si="13"/>
        <v>1598.2850101060433</v>
      </c>
      <c r="M167" s="75">
        <f t="shared" si="14"/>
        <v>-30.265486120041487</v>
      </c>
    </row>
    <row r="168" spans="1:13" x14ac:dyDescent="0.2">
      <c r="A168">
        <v>-1.1840697483639</v>
      </c>
      <c r="B168" s="69">
        <v>1.89842201466858</v>
      </c>
      <c r="C168">
        <v>-0.75848542622271797</v>
      </c>
      <c r="D168">
        <v>0</v>
      </c>
      <c r="E168">
        <v>0</v>
      </c>
      <c r="F168">
        <v>4.3725105950811999E-5</v>
      </c>
      <c r="G168">
        <f>SQRT(Calcs!J169)</f>
        <v>0</v>
      </c>
      <c r="H168" s="71">
        <f t="shared" si="10"/>
        <v>0</v>
      </c>
      <c r="I168" s="70">
        <f>LN(Calcs!L170/Calcs!L169)</f>
        <v>3.296691252653625E-5</v>
      </c>
      <c r="J168" s="76">
        <f t="shared" si="11"/>
        <v>-1.075819342427575E-5</v>
      </c>
      <c r="K168" s="72">
        <f t="shared" si="12"/>
        <v>1568.0712176005736</v>
      </c>
      <c r="L168" s="72">
        <f t="shared" si="13"/>
        <v>1598.3548968153407</v>
      </c>
      <c r="M168" s="75">
        <f t="shared" si="14"/>
        <v>-30.283679214767062</v>
      </c>
    </row>
    <row r="169" spans="1:13" x14ac:dyDescent="0.2">
      <c r="A169">
        <v>0.79821875276562904</v>
      </c>
      <c r="B169" s="69">
        <v>-1.03388275999334</v>
      </c>
      <c r="C169">
        <v>-0.94950989385423101</v>
      </c>
      <c r="D169">
        <v>0</v>
      </c>
      <c r="E169">
        <v>4.4791094999396902E-2</v>
      </c>
      <c r="F169">
        <v>2.2919775618027599E-3</v>
      </c>
      <c r="G169">
        <f>SQRT(Calcs!J170)</f>
        <v>0</v>
      </c>
      <c r="H169" s="71">
        <f t="shared" si="10"/>
        <v>4.4791094999396902E-2</v>
      </c>
      <c r="I169" s="70">
        <f>LN(Calcs!L171/Calcs!L170)</f>
        <v>3.296691252653625E-5</v>
      </c>
      <c r="J169" s="76">
        <f t="shared" si="11"/>
        <v>-2.2590106492762236E-3</v>
      </c>
      <c r="K169" s="72">
        <f t="shared" si="12"/>
        <v>1568.1229129193525</v>
      </c>
      <c r="L169" s="72">
        <f t="shared" si="13"/>
        <v>1602.022491791796</v>
      </c>
      <c r="M169" s="75">
        <f t="shared" si="14"/>
        <v>-33.899578872443499</v>
      </c>
    </row>
    <row r="170" spans="1:13" x14ac:dyDescent="0.2">
      <c r="A170">
        <v>2.0203152724387001</v>
      </c>
      <c r="B170" s="69">
        <v>-2.3814456288955999</v>
      </c>
      <c r="C170">
        <v>-0.411093338675104</v>
      </c>
      <c r="D170">
        <v>0</v>
      </c>
      <c r="E170">
        <v>0</v>
      </c>
      <c r="F170">
        <v>4.3725105950811999E-5</v>
      </c>
      <c r="G170">
        <f>SQRT(Calcs!J171)</f>
        <v>0</v>
      </c>
      <c r="H170" s="71">
        <f t="shared" si="10"/>
        <v>0</v>
      </c>
      <c r="I170" s="70">
        <f>LN(Calcs!L172/Calcs!L171)</f>
        <v>3.296691252653625E-5</v>
      </c>
      <c r="J170" s="76">
        <f t="shared" si="11"/>
        <v>-1.075819342427575E-5</v>
      </c>
      <c r="K170" s="72">
        <f t="shared" si="12"/>
        <v>1568.1746099423945</v>
      </c>
      <c r="L170" s="72">
        <f t="shared" si="13"/>
        <v>1602.092541926449</v>
      </c>
      <c r="M170" s="75">
        <f t="shared" si="14"/>
        <v>-33.917931984054576</v>
      </c>
    </row>
    <row r="171" spans="1:13" x14ac:dyDescent="0.2">
      <c r="A171">
        <v>-0.89896895224199802</v>
      </c>
      <c r="B171" s="69">
        <v>0.953156951968817</v>
      </c>
      <c r="C171">
        <v>0.91134226603804003</v>
      </c>
      <c r="D171">
        <v>0</v>
      </c>
      <c r="E171">
        <v>5.8591841039570901E-2</v>
      </c>
      <c r="F171">
        <v>-3.2811260233358299E-3</v>
      </c>
      <c r="G171">
        <f>SQRT(Calcs!J172)</f>
        <v>0</v>
      </c>
      <c r="H171" s="71">
        <f t="shared" si="10"/>
        <v>5.8591841039570901E-2</v>
      </c>
      <c r="I171" s="70">
        <f>LN(Calcs!L173/Calcs!L172)</f>
        <v>3.296691252653625E-5</v>
      </c>
      <c r="J171" s="76">
        <f t="shared" si="11"/>
        <v>3.3140929358623662E-3</v>
      </c>
      <c r="K171" s="72">
        <f t="shared" si="12"/>
        <v>1568.2263086697558</v>
      </c>
      <c r="L171" s="72">
        <f t="shared" si="13"/>
        <v>1596.8444888653619</v>
      </c>
      <c r="M171" s="75">
        <f t="shared" si="14"/>
        <v>-28.618180195606101</v>
      </c>
    </row>
    <row r="172" spans="1:13" x14ac:dyDescent="0.2">
      <c r="A172">
        <v>-2.1302993786975799</v>
      </c>
      <c r="B172" s="69">
        <v>1.5899331708684701</v>
      </c>
      <c r="C172">
        <v>-0.67475791865713897</v>
      </c>
      <c r="D172">
        <v>0</v>
      </c>
      <c r="E172">
        <v>8.0622284488920698E-2</v>
      </c>
      <c r="F172">
        <v>-1.07883796289742E-2</v>
      </c>
      <c r="G172">
        <f>SQRT(Calcs!J173)</f>
        <v>0</v>
      </c>
      <c r="H172" s="71">
        <f t="shared" si="10"/>
        <v>8.0622284488920698E-2</v>
      </c>
      <c r="I172" s="70">
        <f>LN(Calcs!L174/Calcs!L173)</f>
        <v>3.296691252653625E-5</v>
      </c>
      <c r="J172" s="76">
        <f t="shared" si="11"/>
        <v>1.0821346541500736E-2</v>
      </c>
      <c r="K172" s="72">
        <f t="shared" si="12"/>
        <v>1568.2780091014927</v>
      </c>
      <c r="L172" s="72">
        <f t="shared" si="13"/>
        <v>1579.7097187051531</v>
      </c>
      <c r="M172" s="75">
        <f t="shared" si="14"/>
        <v>-11.431709603660465</v>
      </c>
    </row>
    <row r="173" spans="1:13" x14ac:dyDescent="0.2">
      <c r="A173">
        <v>1.4410710112705301</v>
      </c>
      <c r="B173" s="69">
        <v>-1.2953902056892399</v>
      </c>
      <c r="C173">
        <v>1.30087488381598</v>
      </c>
      <c r="D173">
        <v>0</v>
      </c>
      <c r="E173">
        <v>0.12030542967464999</v>
      </c>
      <c r="F173">
        <v>1.09550800807814E-2</v>
      </c>
      <c r="G173">
        <f>SQRT(Calcs!J174)</f>
        <v>3.9462207576966626E-2</v>
      </c>
      <c r="H173" s="71">
        <f t="shared" si="10"/>
        <v>8.0843222097683368E-2</v>
      </c>
      <c r="I173" s="70">
        <f>LN(Calcs!L175/Calcs!L174)</f>
        <v>-2.0587559867526794E-3</v>
      </c>
      <c r="J173" s="76">
        <f t="shared" si="11"/>
        <v>-1.301383606753408E-2</v>
      </c>
      <c r="K173" s="72">
        <f t="shared" si="12"/>
        <v>1565.0526286362583</v>
      </c>
      <c r="L173" s="72">
        <f t="shared" si="13"/>
        <v>1597.1107057517429</v>
      </c>
      <c r="M173" s="75">
        <f t="shared" si="14"/>
        <v>-32.058077115484593</v>
      </c>
    </row>
    <row r="174" spans="1:13" x14ac:dyDescent="0.2">
      <c r="A174">
        <v>0.67571349773561395</v>
      </c>
      <c r="B174" s="69">
        <v>-0.29748103331313502</v>
      </c>
      <c r="C174">
        <v>1.4114502926208199</v>
      </c>
      <c r="D174">
        <v>0</v>
      </c>
      <c r="E174">
        <v>8.3103237940440694E-2</v>
      </c>
      <c r="F174">
        <v>3.5862631896530399E-3</v>
      </c>
      <c r="G174">
        <f>SQRT(Calcs!J175)</f>
        <v>8.0704316952902491E-2</v>
      </c>
      <c r="H174" s="71">
        <f t="shared" si="10"/>
        <v>2.3989209875382028E-3</v>
      </c>
      <c r="I174" s="70">
        <f>LN(Calcs!L176/Calcs!L175)</f>
        <v>-5.5081442823166731E-3</v>
      </c>
      <c r="J174" s="76">
        <f t="shared" si="11"/>
        <v>-9.0944074719697121E-3</v>
      </c>
      <c r="K174" s="72">
        <f t="shared" si="12"/>
        <v>1556.4557909947732</v>
      </c>
      <c r="L174" s="72">
        <f t="shared" si="13"/>
        <v>1602.8486478210211</v>
      </c>
      <c r="M174" s="75">
        <f t="shared" si="14"/>
        <v>-46.392856826247908</v>
      </c>
    </row>
    <row r="175" spans="1:13" x14ac:dyDescent="0.2">
      <c r="A175">
        <v>-0.63513178327048703</v>
      </c>
      <c r="B175" s="69">
        <v>-0.30632470216236002</v>
      </c>
      <c r="C175">
        <v>9.8441905769270296E-2</v>
      </c>
      <c r="D175">
        <v>0</v>
      </c>
      <c r="E175">
        <v>7.1836427221717805E-2</v>
      </c>
      <c r="F175">
        <v>-2.82178390958219E-3</v>
      </c>
      <c r="G175">
        <f>SQRT(Calcs!J176)</f>
        <v>8.5376919846817195E-2</v>
      </c>
      <c r="H175" s="71">
        <f t="shared" si="10"/>
        <v>-1.354049262509939E-2</v>
      </c>
      <c r="I175" s="70">
        <f>LN(Calcs!L177/Calcs!L176)</f>
        <v>-1.4783136831974965E-2</v>
      </c>
      <c r="J175" s="76">
        <f t="shared" si="11"/>
        <v>-1.1961352922392775E-2</v>
      </c>
      <c r="K175" s="72">
        <f t="shared" si="12"/>
        <v>1533.6157318793423</v>
      </c>
      <c r="L175" s="72">
        <f t="shared" si="13"/>
        <v>1598.3321306117818</v>
      </c>
      <c r="M175" s="75">
        <f t="shared" si="14"/>
        <v>-64.716398732439529</v>
      </c>
    </row>
    <row r="176" spans="1:13" x14ac:dyDescent="0.2">
      <c r="A176">
        <v>0.186794159076135</v>
      </c>
      <c r="B176" s="69">
        <v>-0.19843591858660101</v>
      </c>
      <c r="C176">
        <v>1.60170857101817</v>
      </c>
      <c r="D176">
        <v>0</v>
      </c>
      <c r="E176">
        <v>5.9732379852549998E-2</v>
      </c>
      <c r="F176">
        <v>7.5838486022598503E-4</v>
      </c>
      <c r="G176">
        <f>SQRT(Calcs!J177)</f>
        <v>0.15894495290530414</v>
      </c>
      <c r="H176" s="71">
        <f t="shared" si="10"/>
        <v>-9.9212573052754133E-2</v>
      </c>
      <c r="I176" s="70">
        <f>LN(Calcs!L178/Calcs!L177)</f>
        <v>-2.6155549316268919E-4</v>
      </c>
      <c r="J176" s="76">
        <f t="shared" si="11"/>
        <v>-1.0199403533886742E-3</v>
      </c>
      <c r="K176" s="72">
        <f t="shared" si="12"/>
        <v>1533.2146587139998</v>
      </c>
      <c r="L176" s="72">
        <f t="shared" si="13"/>
        <v>1599.5447412559081</v>
      </c>
      <c r="M176" s="75">
        <f t="shared" si="14"/>
        <v>-66.330082541908268</v>
      </c>
    </row>
    <row r="177" spans="1:13" x14ac:dyDescent="0.2">
      <c r="A177">
        <v>-0.81718551650129201</v>
      </c>
      <c r="B177" s="69">
        <v>1.44260866750751</v>
      </c>
      <c r="C177">
        <v>-0.70996024330767604</v>
      </c>
      <c r="D177">
        <v>0</v>
      </c>
      <c r="E177">
        <v>4.9773835977930399E-2</v>
      </c>
      <c r="F177">
        <v>-2.50456790235871E-3</v>
      </c>
      <c r="G177">
        <f>SQRT(Calcs!J178)</f>
        <v>0.15718232515129887</v>
      </c>
      <c r="H177" s="71">
        <f t="shared" si="10"/>
        <v>-0.10740848917336848</v>
      </c>
      <c r="I177" s="70">
        <f>LN(Calcs!L179/Calcs!L178)</f>
        <v>3.2871889033292672E-3</v>
      </c>
      <c r="J177" s="76">
        <f t="shared" si="11"/>
        <v>5.7917568056879767E-3</v>
      </c>
      <c r="K177" s="72">
        <f t="shared" si="12"/>
        <v>1538.2629176711662</v>
      </c>
      <c r="L177" s="72">
        <f t="shared" si="13"/>
        <v>1595.5435855132519</v>
      </c>
      <c r="M177" s="75">
        <f t="shared" si="14"/>
        <v>-57.280667842085677</v>
      </c>
    </row>
    <row r="178" spans="1:13" x14ac:dyDescent="0.2">
      <c r="A178">
        <v>-1.19779163936847</v>
      </c>
      <c r="B178" s="69">
        <v>1.30712281523036</v>
      </c>
      <c r="C178">
        <v>0.13411886396592099</v>
      </c>
      <c r="D178">
        <v>0</v>
      </c>
      <c r="E178">
        <v>8.4827968938276099E-2</v>
      </c>
      <c r="F178">
        <v>-6.3522706893284703E-3</v>
      </c>
      <c r="G178">
        <f>SQRT(Calcs!J179)</f>
        <v>0.14653081830576281</v>
      </c>
      <c r="H178" s="71">
        <f t="shared" si="10"/>
        <v>-6.1702849367486712E-2</v>
      </c>
      <c r="I178" s="70">
        <f>LN(Calcs!L180/Calcs!L179)</f>
        <v>-1.5711750083029076E-3</v>
      </c>
      <c r="J178" s="76">
        <f t="shared" si="11"/>
        <v>4.7810956810255632E-3</v>
      </c>
      <c r="K178" s="72">
        <f t="shared" si="12"/>
        <v>1535.8479350956566</v>
      </c>
      <c r="L178" s="72">
        <f t="shared" si="13"/>
        <v>1585.4403838704054</v>
      </c>
      <c r="M178" s="75">
        <f t="shared" si="14"/>
        <v>-49.592448774748846</v>
      </c>
    </row>
    <row r="179" spans="1:13" x14ac:dyDescent="0.2">
      <c r="A179">
        <v>0.197927781177833</v>
      </c>
      <c r="B179" s="69">
        <v>0.74390017335820902</v>
      </c>
      <c r="C179">
        <v>-1.1569233833389201</v>
      </c>
      <c r="D179">
        <v>0</v>
      </c>
      <c r="E179">
        <v>0.117012452719398</v>
      </c>
      <c r="F179">
        <v>1.4943749710320099E-3</v>
      </c>
      <c r="G179">
        <f>SQRT(Calcs!J180)</f>
        <v>0.13206602111186802</v>
      </c>
      <c r="H179" s="71">
        <f t="shared" si="10"/>
        <v>-1.5053568392470018E-2</v>
      </c>
      <c r="I179" s="70">
        <f>LN(Calcs!L181/Calcs!L180)</f>
        <v>-2.887579943981368E-4</v>
      </c>
      <c r="J179" s="76">
        <f t="shared" si="11"/>
        <v>-1.7831329654301466E-3</v>
      </c>
      <c r="K179" s="72">
        <f t="shared" si="12"/>
        <v>1535.4045107504612</v>
      </c>
      <c r="L179" s="72">
        <f t="shared" si="13"/>
        <v>1587.8113974485614</v>
      </c>
      <c r="M179" s="75">
        <f t="shared" si="14"/>
        <v>-52.406886698100152</v>
      </c>
    </row>
    <row r="180" spans="1:13" x14ac:dyDescent="0.2">
      <c r="A180">
        <v>-0.80908641643956003</v>
      </c>
      <c r="B180" s="69">
        <v>0.67046851893786796</v>
      </c>
      <c r="C180">
        <v>0.86911095745915401</v>
      </c>
      <c r="D180">
        <v>0</v>
      </c>
      <c r="E180">
        <v>0.134585710063543</v>
      </c>
      <c r="F180">
        <v>-6.8328593026643E-3</v>
      </c>
      <c r="G180">
        <f>SQRT(Calcs!J181)</f>
        <v>0.12500620826715347</v>
      </c>
      <c r="H180" s="71">
        <f t="shared" si="10"/>
        <v>9.5795017963895279E-3</v>
      </c>
      <c r="I180" s="70">
        <f>LN(Calcs!L182/Calcs!L181)</f>
        <v>7.0031438701911397E-4</v>
      </c>
      <c r="J180" s="76">
        <f t="shared" si="11"/>
        <v>7.5331736896834143E-3</v>
      </c>
      <c r="K180" s="72">
        <f t="shared" si="12"/>
        <v>1536.4801532192203</v>
      </c>
      <c r="L180" s="72">
        <f t="shared" si="13"/>
        <v>1576.9990871352147</v>
      </c>
      <c r="M180" s="75">
        <f t="shared" si="14"/>
        <v>-40.518933915994467</v>
      </c>
    </row>
    <row r="181" spans="1:13" x14ac:dyDescent="0.2">
      <c r="A181">
        <v>-0.33314687784920299</v>
      </c>
      <c r="B181" s="69">
        <v>-0.38648496121443898</v>
      </c>
      <c r="C181">
        <v>-1.13154663293795</v>
      </c>
      <c r="D181">
        <v>0</v>
      </c>
      <c r="E181">
        <v>0.150377970749973</v>
      </c>
      <c r="F181">
        <v>-3.1381447785694102E-3</v>
      </c>
      <c r="G181">
        <f>SQRT(Calcs!J182)</f>
        <v>0.10652984921876643</v>
      </c>
      <c r="H181" s="71">
        <f t="shared" si="10"/>
        <v>4.3848121531206569E-2</v>
      </c>
      <c r="I181" s="70">
        <f>LN(Calcs!L183/Calcs!L182)</f>
        <v>3.9040387731420867E-3</v>
      </c>
      <c r="J181" s="76">
        <f t="shared" si="11"/>
        <v>7.0421835517114964E-3</v>
      </c>
      <c r="K181" s="72">
        <f t="shared" si="12"/>
        <v>1542.4903557096141</v>
      </c>
      <c r="L181" s="72">
        <f t="shared" si="13"/>
        <v>1572.0579926739758</v>
      </c>
      <c r="M181" s="75">
        <f t="shared" si="14"/>
        <v>-29.567636964361782</v>
      </c>
    </row>
    <row r="182" spans="1:13" x14ac:dyDescent="0.2">
      <c r="A182">
        <v>0.30570427266928701</v>
      </c>
      <c r="B182" s="69">
        <v>0.77608642814748796</v>
      </c>
      <c r="C182">
        <v>-0.446679999133967</v>
      </c>
      <c r="D182">
        <v>0</v>
      </c>
      <c r="E182">
        <v>0.13818235188956299</v>
      </c>
      <c r="F182">
        <v>2.6857668098146498E-3</v>
      </c>
      <c r="G182">
        <f>SQRT(Calcs!J183)</f>
        <v>9.2675136440466724E-2</v>
      </c>
      <c r="H182" s="71">
        <f t="shared" si="10"/>
        <v>4.5507215449096264E-2</v>
      </c>
      <c r="I182" s="70">
        <f>LN(Calcs!L184/Calcs!L183)</f>
        <v>-2.5821341150751779E-3</v>
      </c>
      <c r="J182" s="76">
        <f t="shared" si="11"/>
        <v>-5.2679009248898278E-3</v>
      </c>
      <c r="K182" s="72">
        <f t="shared" si="12"/>
        <v>1538.5125765297487</v>
      </c>
      <c r="L182" s="72">
        <f t="shared" si="13"/>
        <v>1576.2858488302597</v>
      </c>
      <c r="M182" s="75">
        <f t="shared" si="14"/>
        <v>-37.773272300511053</v>
      </c>
    </row>
    <row r="183" spans="1:13" x14ac:dyDescent="0.2">
      <c r="A183">
        <v>-0.407925279792</v>
      </c>
      <c r="B183" s="69">
        <v>-0.18056965609134901</v>
      </c>
      <c r="C183">
        <v>1.41927373239605</v>
      </c>
      <c r="D183">
        <v>0</v>
      </c>
      <c r="E183">
        <v>0.156811224758268</v>
      </c>
      <c r="F183">
        <v>-4.01575035039267E-3</v>
      </c>
      <c r="G183">
        <f>SQRT(Calcs!J184)</f>
        <v>9.9444879523322705E-2</v>
      </c>
      <c r="H183" s="71">
        <f t="shared" si="10"/>
        <v>5.7366345234945298E-2</v>
      </c>
      <c r="I183" s="70">
        <f>LN(Calcs!L185/Calcs!L184)</f>
        <v>-4.0355683566393368E-3</v>
      </c>
      <c r="J183" s="76">
        <f t="shared" si="11"/>
        <v>-1.9818006246666818E-5</v>
      </c>
      <c r="K183" s="72">
        <f t="shared" si="12"/>
        <v>1532.3163149873787</v>
      </c>
      <c r="L183" s="72">
        <f t="shared" si="13"/>
        <v>1569.9685711749776</v>
      </c>
      <c r="M183" s="75">
        <f t="shared" si="14"/>
        <v>-37.652256187598823</v>
      </c>
    </row>
    <row r="184" spans="1:13" x14ac:dyDescent="0.2">
      <c r="A184">
        <v>0.105838963294482</v>
      </c>
      <c r="B184" s="69">
        <v>-1.33184422615205</v>
      </c>
      <c r="C184">
        <v>-0.17238990538297799</v>
      </c>
      <c r="D184">
        <v>0</v>
      </c>
      <c r="E184">
        <v>0.15016088226263799</v>
      </c>
      <c r="F184">
        <v>1.0190158145047901E-3</v>
      </c>
      <c r="G184">
        <f>SQRT(Calcs!J185)</f>
        <v>0.10448776154260631</v>
      </c>
      <c r="H184" s="71">
        <f t="shared" si="10"/>
        <v>4.5673120720031685E-2</v>
      </c>
      <c r="I184" s="70">
        <f>LN(Calcs!L186/Calcs!L185)</f>
        <v>6.2753756386123619E-4</v>
      </c>
      <c r="J184" s="76">
        <f t="shared" si="11"/>
        <v>-3.9147825064355388E-4</v>
      </c>
      <c r="K184" s="72">
        <f t="shared" si="12"/>
        <v>1533.2782028135562</v>
      </c>
      <c r="L184" s="72">
        <f t="shared" si="13"/>
        <v>1571.5692093765929</v>
      </c>
      <c r="M184" s="75">
        <f t="shared" si="14"/>
        <v>-38.291006563036717</v>
      </c>
    </row>
    <row r="185" spans="1:13" x14ac:dyDescent="0.2">
      <c r="A185">
        <v>-0.82266365382553397</v>
      </c>
      <c r="B185" s="69">
        <v>0.28643225191691102</v>
      </c>
      <c r="C185">
        <v>0.97850923085128705</v>
      </c>
      <c r="D185">
        <v>0</v>
      </c>
      <c r="E185">
        <v>0.11267769324930201</v>
      </c>
      <c r="F185">
        <v>-5.8018825803354901E-3</v>
      </c>
      <c r="G185">
        <f>SQRT(Calcs!J186)</f>
        <v>8.5104263285414691E-2</v>
      </c>
      <c r="H185" s="71">
        <f t="shared" si="10"/>
        <v>2.7573429963887314E-2</v>
      </c>
      <c r="I185" s="70">
        <f>LN(Calcs!L187/Calcs!L186)</f>
        <v>2.1256880354520772E-3</v>
      </c>
      <c r="J185" s="76">
        <f t="shared" si="11"/>
        <v>7.9275706157875669E-3</v>
      </c>
      <c r="K185" s="72">
        <f t="shared" si="12"/>
        <v>1536.5409404969546</v>
      </c>
      <c r="L185" s="72">
        <f t="shared" si="13"/>
        <v>1562.4775492327142</v>
      </c>
      <c r="M185" s="75">
        <f t="shared" si="14"/>
        <v>-25.936608735759592</v>
      </c>
    </row>
    <row r="186" spans="1:13" x14ac:dyDescent="0.2">
      <c r="A186">
        <v>-0.292405161556891</v>
      </c>
      <c r="B186" s="69">
        <v>-0.71110812921289002</v>
      </c>
      <c r="C186">
        <v>-0.112456298216265</v>
      </c>
      <c r="D186">
        <v>0</v>
      </c>
      <c r="E186">
        <v>0.117976390194135</v>
      </c>
      <c r="F186">
        <v>-2.13811906246215E-3</v>
      </c>
      <c r="G186">
        <f>SQRT(Calcs!J187)</f>
        <v>8.7341432804332347E-2</v>
      </c>
      <c r="H186" s="71">
        <f t="shared" si="10"/>
        <v>3.0634957389802653E-2</v>
      </c>
      <c r="I186" s="70">
        <f>LN(Calcs!L188/Calcs!L187)</f>
        <v>9.6571317404536457E-3</v>
      </c>
      <c r="J186" s="76">
        <f t="shared" si="11"/>
        <v>1.1795250802915797E-2</v>
      </c>
      <c r="K186" s="72">
        <f t="shared" si="12"/>
        <v>1551.4513990359712</v>
      </c>
      <c r="L186" s="72">
        <f t="shared" si="13"/>
        <v>1559.1403551305395</v>
      </c>
      <c r="M186" s="75">
        <f t="shared" si="14"/>
        <v>-7.6889560945683115</v>
      </c>
    </row>
    <row r="187" spans="1:13" x14ac:dyDescent="0.2">
      <c r="A187">
        <v>1.17631885597022</v>
      </c>
      <c r="B187" s="69">
        <v>-0.95069300613748797</v>
      </c>
      <c r="C187">
        <v>9.4456601846614904E-2</v>
      </c>
      <c r="D187">
        <v>0</v>
      </c>
      <c r="E187">
        <v>9.6563559882627797E-2</v>
      </c>
      <c r="F187">
        <v>7.1995648178097499E-3</v>
      </c>
      <c r="G187">
        <f>SQRT(Calcs!J188)</f>
        <v>4.8581430234766208E-2</v>
      </c>
      <c r="H187" s="71">
        <f t="shared" si="10"/>
        <v>4.7982129647861589E-2</v>
      </c>
      <c r="I187" s="70">
        <f>LN(Calcs!L189/Calcs!L188)</f>
        <v>-1.7507845050196752E-3</v>
      </c>
      <c r="J187" s="76">
        <f t="shared" si="11"/>
        <v>-8.9503493228294245E-3</v>
      </c>
      <c r="K187" s="72">
        <f t="shared" si="12"/>
        <v>1548.7375183695835</v>
      </c>
      <c r="L187" s="72">
        <f t="shared" si="13"/>
        <v>1570.405992358455</v>
      </c>
      <c r="M187" s="75">
        <f t="shared" si="14"/>
        <v>-21.668473988871483</v>
      </c>
    </row>
    <row r="188" spans="1:13" x14ac:dyDescent="0.2">
      <c r="A188">
        <v>0.15442683629323101</v>
      </c>
      <c r="B188" s="69">
        <v>0.31380730072058</v>
      </c>
      <c r="C188">
        <v>-0.97943869421118501</v>
      </c>
      <c r="D188">
        <v>0</v>
      </c>
      <c r="E188">
        <v>6.7879652983043395E-2</v>
      </c>
      <c r="F188">
        <v>7.1378714602237498E-4</v>
      </c>
      <c r="G188">
        <f>SQRT(Calcs!J189)</f>
        <v>7.9233123906828989E-2</v>
      </c>
      <c r="H188" s="71">
        <f t="shared" si="10"/>
        <v>-1.1353470923785594E-2</v>
      </c>
      <c r="I188" s="70">
        <f>LN(Calcs!L190/Calcs!L189)</f>
        <v>-1.1661276176788093E-2</v>
      </c>
      <c r="J188" s="76">
        <f t="shared" si="11"/>
        <v>-1.2375063322810468E-2</v>
      </c>
      <c r="K188" s="72">
        <f t="shared" si="12"/>
        <v>1530.7821571274023</v>
      </c>
      <c r="L188" s="72">
        <f t="shared" si="13"/>
        <v>1571.5273281197542</v>
      </c>
      <c r="M188" s="75">
        <f t="shared" si="14"/>
        <v>-40.745170992351859</v>
      </c>
    </row>
    <row r="189" spans="1:13" x14ac:dyDescent="0.2">
      <c r="A189">
        <v>-1.03973586634333</v>
      </c>
      <c r="B189" s="69">
        <v>0.25023340280108097</v>
      </c>
      <c r="C189">
        <v>-1.2715939561132701</v>
      </c>
      <c r="D189">
        <v>0</v>
      </c>
      <c r="E189">
        <v>7.2772775050850405E-2</v>
      </c>
      <c r="F189">
        <v>-4.7143232741238801E-3</v>
      </c>
      <c r="G189">
        <f>SQRT(Calcs!J190)</f>
        <v>8.6336207609979926E-2</v>
      </c>
      <c r="H189" s="71">
        <f t="shared" si="10"/>
        <v>-1.3563432559129521E-2</v>
      </c>
      <c r="I189" s="70">
        <f>LN(Calcs!L191/Calcs!L190)</f>
        <v>1.187385367538905E-2</v>
      </c>
      <c r="J189" s="76">
        <f t="shared" si="11"/>
        <v>1.658817694951293E-2</v>
      </c>
      <c r="K189" s="72">
        <f t="shared" si="12"/>
        <v>1549.0667801128068</v>
      </c>
      <c r="L189" s="72">
        <f t="shared" si="13"/>
        <v>1564.1360763251707</v>
      </c>
      <c r="M189" s="75">
        <f t="shared" si="14"/>
        <v>-15.069296212363952</v>
      </c>
    </row>
    <row r="190" spans="1:13" x14ac:dyDescent="0.2">
      <c r="A190">
        <v>-1.2650437363690401</v>
      </c>
      <c r="B190" s="69">
        <v>-0.25401108231990199</v>
      </c>
      <c r="C190">
        <v>0.87816966343774405</v>
      </c>
      <c r="D190">
        <v>0</v>
      </c>
      <c r="E190">
        <v>7.6120243222905698E-2</v>
      </c>
      <c r="F190">
        <v>-6.01494130560256E-3</v>
      </c>
      <c r="G190">
        <f>SQRT(Calcs!J191)</f>
        <v>3.8876468107895967E-2</v>
      </c>
      <c r="H190" s="71">
        <f t="shared" si="10"/>
        <v>3.7243775115009731E-2</v>
      </c>
      <c r="I190" s="70">
        <f>LN(Calcs!L192/Calcs!L191)</f>
        <v>-3.812124973063881E-4</v>
      </c>
      <c r="J190" s="76">
        <f t="shared" si="11"/>
        <v>5.6337288082961715E-3</v>
      </c>
      <c r="K190" s="72">
        <f t="shared" si="12"/>
        <v>1548.4763690402553</v>
      </c>
      <c r="L190" s="72">
        <f t="shared" si="13"/>
        <v>1554.7561278320688</v>
      </c>
      <c r="M190" s="75">
        <f t="shared" si="14"/>
        <v>-6.2797587918134923</v>
      </c>
    </row>
    <row r="191" spans="1:13" x14ac:dyDescent="0.2">
      <c r="A191">
        <v>-1.02752780719694</v>
      </c>
      <c r="B191" s="69">
        <v>1.2408611844909501</v>
      </c>
      <c r="C191">
        <v>0.57966932033124396</v>
      </c>
      <c r="D191">
        <v>0</v>
      </c>
      <c r="E191">
        <v>6.5721951674647505E-2</v>
      </c>
      <c r="F191">
        <v>-4.2000340494791396E-3</v>
      </c>
      <c r="G191">
        <f>SQRT(Calcs!J192)</f>
        <v>3.117903935315159E-2</v>
      </c>
      <c r="H191" s="71">
        <f t="shared" si="10"/>
        <v>3.4542912321495915E-2</v>
      </c>
      <c r="I191" s="70">
        <f>LN(Calcs!L193/Calcs!L192)</f>
        <v>-6.8368478277424185E-4</v>
      </c>
      <c r="J191" s="76">
        <f t="shared" si="11"/>
        <v>3.516349266704898E-3</v>
      </c>
      <c r="K191" s="72">
        <f t="shared" si="12"/>
        <v>1547.4180611259885</v>
      </c>
      <c r="L191" s="72">
        <f t="shared" si="13"/>
        <v>1548.2397931494747</v>
      </c>
      <c r="M191" s="75">
        <f t="shared" si="14"/>
        <v>-0.82173202348621999</v>
      </c>
    </row>
    <row r="192" spans="1:13" x14ac:dyDescent="0.2">
      <c r="A192">
        <v>1.72337301134619</v>
      </c>
      <c r="B192" s="69">
        <v>-1.82561113592278</v>
      </c>
      <c r="C192">
        <v>0.471534621070129</v>
      </c>
      <c r="D192">
        <v>0</v>
      </c>
      <c r="E192">
        <v>9.5755506864025106E-2</v>
      </c>
      <c r="F192">
        <v>1.0439842571717E-2</v>
      </c>
      <c r="G192">
        <f>SQRT(Calcs!J193)</f>
        <v>5.8366234545876396E-2</v>
      </c>
      <c r="H192" s="71">
        <f t="shared" si="10"/>
        <v>3.738927231814871E-2</v>
      </c>
      <c r="I192" s="70">
        <f>LN(Calcs!L194/Calcs!L193)</f>
        <v>-5.7749766180849151E-3</v>
      </c>
      <c r="J192" s="76">
        <f t="shared" si="11"/>
        <v>-1.6214819189801916E-2</v>
      </c>
      <c r="K192" s="72">
        <f t="shared" si="12"/>
        <v>1538.5075118755228</v>
      </c>
      <c r="L192" s="72">
        <f t="shared" si="13"/>
        <v>1564.4878387995352</v>
      </c>
      <c r="M192" s="75">
        <f t="shared" si="14"/>
        <v>-25.980326924012388</v>
      </c>
    </row>
    <row r="193" spans="1:13" x14ac:dyDescent="0.2">
      <c r="A193">
        <v>0.67397480084921002</v>
      </c>
      <c r="B193" s="69">
        <v>0.57926770881022005</v>
      </c>
      <c r="C193">
        <v>1.7709080956565899</v>
      </c>
      <c r="D193">
        <v>0</v>
      </c>
      <c r="E193">
        <v>4.2044871337360901E-2</v>
      </c>
      <c r="F193">
        <v>1.84416495473584E-3</v>
      </c>
      <c r="G193">
        <f>SQRT(Calcs!J194)</f>
        <v>7.9473586389443948E-2</v>
      </c>
      <c r="H193" s="71">
        <f t="shared" si="10"/>
        <v>-3.7428715052083047E-2</v>
      </c>
      <c r="I193" s="70">
        <f>LN(Calcs!L195/Calcs!L194)</f>
        <v>8.1463914568442944E-3</v>
      </c>
      <c r="J193" s="76">
        <f t="shared" si="11"/>
        <v>6.3022265021084548E-3</v>
      </c>
      <c r="K193" s="72">
        <f t="shared" si="12"/>
        <v>1551.0919857558729</v>
      </c>
      <c r="L193" s="72">
        <f t="shared" si="13"/>
        <v>1567.3756744481616</v>
      </c>
      <c r="M193" s="75">
        <f t="shared" si="14"/>
        <v>-16.283688692288706</v>
      </c>
    </row>
    <row r="194" spans="1:13" x14ac:dyDescent="0.2">
      <c r="A194">
        <v>0.15566716073323</v>
      </c>
      <c r="B194" s="69">
        <v>-0.49569163593662202</v>
      </c>
      <c r="C194">
        <v>-1.3548381781796</v>
      </c>
      <c r="D194">
        <v>0</v>
      </c>
      <c r="E194">
        <v>5.2830630964808299E-2</v>
      </c>
      <c r="F194">
        <v>5.7512274620320205E-4</v>
      </c>
      <c r="G194">
        <f>SQRT(Calcs!J195)</f>
        <v>0</v>
      </c>
      <c r="H194" s="71">
        <f t="shared" si="10"/>
        <v>5.2830630964808299E-2</v>
      </c>
      <c r="I194" s="70">
        <f>LN(Calcs!L196/Calcs!L195)</f>
        <v>1.7570679889387651E-5</v>
      </c>
      <c r="J194" s="76">
        <f t="shared" si="11"/>
        <v>-5.5755206631381436E-4</v>
      </c>
      <c r="K194" s="72">
        <f t="shared" si="12"/>
        <v>1551.1192397360683</v>
      </c>
      <c r="L194" s="72">
        <f t="shared" si="13"/>
        <v>1568.2773671175103</v>
      </c>
      <c r="M194" s="75">
        <f t="shared" si="14"/>
        <v>-17.158127381442</v>
      </c>
    </row>
    <row r="195" spans="1:13" x14ac:dyDescent="0.2">
      <c r="A195">
        <v>0.29166005796480698</v>
      </c>
      <c r="B195" s="69">
        <v>-0.44507574377444697</v>
      </c>
      <c r="C195">
        <v>-0.17792007214010699</v>
      </c>
      <c r="D195">
        <v>0</v>
      </c>
      <c r="E195">
        <v>3.3057392820689799E-2</v>
      </c>
      <c r="F195">
        <v>6.6778815199999603E-4</v>
      </c>
      <c r="G195">
        <f>SQRT(Calcs!J196)</f>
        <v>1.7380452545209982E-2</v>
      </c>
      <c r="H195" s="71">
        <f t="shared" ref="H195:H258" si="15">E195-G195</f>
        <v>1.5676940275479816E-2</v>
      </c>
      <c r="I195" s="70">
        <f>LN(Calcs!L197/Calcs!L196)</f>
        <v>1.7878942113956689E-3</v>
      </c>
      <c r="J195" s="76">
        <f t="shared" ref="J195:J258" si="16">I195-F195</f>
        <v>1.1201060593956729E-3</v>
      </c>
      <c r="K195" s="72">
        <f t="shared" ref="K195:K258" si="17">EXP(I195)*K194</f>
        <v>1553.8949574513977</v>
      </c>
      <c r="L195" s="72">
        <f t="shared" ref="L195:L258" si="18">EXP(F195)*L194</f>
        <v>1569.3249939197726</v>
      </c>
      <c r="M195" s="75">
        <f t="shared" ref="M195:M258" si="19">K195-L195</f>
        <v>-15.430036468374965</v>
      </c>
    </row>
    <row r="196" spans="1:13" x14ac:dyDescent="0.2">
      <c r="A196">
        <v>0.11004815695909299</v>
      </c>
      <c r="B196" s="69">
        <v>-0.666417078768194</v>
      </c>
      <c r="C196">
        <v>0.15376323410242601</v>
      </c>
      <c r="D196">
        <v>0</v>
      </c>
      <c r="E196">
        <v>0</v>
      </c>
      <c r="F196">
        <v>6.2597647892768702E-5</v>
      </c>
      <c r="G196">
        <f>SQRT(Calcs!J197)</f>
        <v>0</v>
      </c>
      <c r="H196" s="71">
        <f t="shared" si="15"/>
        <v>0</v>
      </c>
      <c r="I196" s="70">
        <f>LN(Calcs!L198/Calcs!L197)</f>
        <v>1.7570679889387651E-5</v>
      </c>
      <c r="J196" s="76">
        <f t="shared" si="16"/>
        <v>-4.5026968003381051E-5</v>
      </c>
      <c r="K196" s="72">
        <f t="shared" si="17"/>
        <v>1553.9222606821443</v>
      </c>
      <c r="L196" s="72">
        <f t="shared" si="18"/>
        <v>1569.4232330479083</v>
      </c>
      <c r="M196" s="75">
        <f t="shared" si="19"/>
        <v>-15.500972365764028</v>
      </c>
    </row>
    <row r="197" spans="1:13" x14ac:dyDescent="0.2">
      <c r="A197">
        <v>3.3241702433395401</v>
      </c>
      <c r="B197" s="69">
        <v>-1.5086615237633401</v>
      </c>
      <c r="C197">
        <v>1.764957676256</v>
      </c>
      <c r="D197">
        <v>0</v>
      </c>
      <c r="E197">
        <v>0</v>
      </c>
      <c r="F197">
        <v>6.2597647892768702E-5</v>
      </c>
      <c r="G197">
        <f>SQRT(Calcs!J198)</f>
        <v>0</v>
      </c>
      <c r="H197" s="71">
        <f t="shared" si="15"/>
        <v>0</v>
      </c>
      <c r="I197" s="70">
        <f>LN(Calcs!L199/Calcs!L198)</f>
        <v>1.7570679889387651E-5</v>
      </c>
      <c r="J197" s="76">
        <f t="shared" si="16"/>
        <v>-4.5026968003381051E-5</v>
      </c>
      <c r="K197" s="72">
        <f t="shared" si="17"/>
        <v>1553.9495643926314</v>
      </c>
      <c r="L197" s="72">
        <f t="shared" si="18"/>
        <v>1569.521478325775</v>
      </c>
      <c r="M197" s="75">
        <f t="shared" si="19"/>
        <v>-15.571913933143605</v>
      </c>
    </row>
    <row r="198" spans="1:13" x14ac:dyDescent="0.2">
      <c r="A198">
        <v>-0.15138995592580101</v>
      </c>
      <c r="B198" s="69">
        <v>0.71291869510149397</v>
      </c>
      <c r="C198">
        <v>9.7581635110648005E-2</v>
      </c>
      <c r="D198">
        <v>0</v>
      </c>
      <c r="E198">
        <v>3.3011216214828498E-2</v>
      </c>
      <c r="F198">
        <v>-2.54381637788361E-4</v>
      </c>
      <c r="G198">
        <f>SQRT(Calcs!J199)</f>
        <v>2.3816361927367437E-2</v>
      </c>
      <c r="H198" s="71">
        <f t="shared" si="15"/>
        <v>9.1948542874610607E-3</v>
      </c>
      <c r="I198" s="70">
        <f>LN(Calcs!L200/Calcs!L199)</f>
        <v>-4.3139086615309112E-4</v>
      </c>
      <c r="J198" s="76">
        <f t="shared" si="16"/>
        <v>-1.7700922836473012E-4</v>
      </c>
      <c r="K198" s="72">
        <f t="shared" si="17"/>
        <v>1553.2793493168147</v>
      </c>
      <c r="L198" s="72">
        <f t="shared" si="18"/>
        <v>1569.1222716591499</v>
      </c>
      <c r="M198" s="75">
        <f t="shared" si="19"/>
        <v>-15.842922342335214</v>
      </c>
    </row>
    <row r="199" spans="1:13" x14ac:dyDescent="0.2">
      <c r="A199">
        <v>-0.118128313362749</v>
      </c>
      <c r="B199" s="69">
        <v>-0.36813369384556199</v>
      </c>
      <c r="C199">
        <v>0.48957411306925402</v>
      </c>
      <c r="D199">
        <v>0</v>
      </c>
      <c r="E199">
        <v>4.6815886926205502E-2</v>
      </c>
      <c r="F199">
        <v>-2.9012602256531602E-4</v>
      </c>
      <c r="G199">
        <f>SQRT(Calcs!J200)</f>
        <v>0</v>
      </c>
      <c r="H199" s="71">
        <f t="shared" si="15"/>
        <v>4.6815886926205502E-2</v>
      </c>
      <c r="I199" s="70">
        <f>LN(Calcs!L201/Calcs!L200)</f>
        <v>1.7570679889387651E-5</v>
      </c>
      <c r="J199" s="76">
        <f t="shared" si="16"/>
        <v>3.0769670245470366E-4</v>
      </c>
      <c r="K199" s="72">
        <f t="shared" si="17"/>
        <v>1553.3066417308128</v>
      </c>
      <c r="L199" s="72">
        <f t="shared" si="18"/>
        <v>1568.6670944881187</v>
      </c>
      <c r="M199" s="75">
        <f t="shared" si="19"/>
        <v>-15.360452757305893</v>
      </c>
    </row>
    <row r="200" spans="1:13" x14ac:dyDescent="0.2">
      <c r="A200">
        <v>-0.86672878024605005</v>
      </c>
      <c r="B200" s="69">
        <v>-0.67667330178317397</v>
      </c>
      <c r="C200">
        <v>0.460856292811062</v>
      </c>
      <c r="D200">
        <v>0</v>
      </c>
      <c r="E200">
        <v>2.9835081184871399E-2</v>
      </c>
      <c r="F200">
        <v>-1.5681275542151899E-3</v>
      </c>
      <c r="G200">
        <f>SQRT(Calcs!J201)</f>
        <v>0</v>
      </c>
      <c r="H200" s="71">
        <f t="shared" si="15"/>
        <v>2.9835081184871399E-2</v>
      </c>
      <c r="I200" s="70">
        <f>LN(Calcs!L202/Calcs!L201)</f>
        <v>1.7570679889387651E-5</v>
      </c>
      <c r="J200" s="76">
        <f t="shared" si="16"/>
        <v>1.5856982341045775E-3</v>
      </c>
      <c r="K200" s="72">
        <f t="shared" si="17"/>
        <v>1553.3339346243613</v>
      </c>
      <c r="L200" s="72">
        <f t="shared" si="18"/>
        <v>1566.2091520811468</v>
      </c>
      <c r="M200" s="75">
        <f t="shared" si="19"/>
        <v>-12.875217456785549</v>
      </c>
    </row>
    <row r="201" spans="1:13" x14ac:dyDescent="0.2">
      <c r="A201">
        <v>1.44739856442036</v>
      </c>
      <c r="B201" s="69">
        <v>-1.81992174721138</v>
      </c>
      <c r="C201">
        <v>-0.39450400863544399</v>
      </c>
      <c r="D201">
        <v>0</v>
      </c>
      <c r="E201">
        <v>0</v>
      </c>
      <c r="F201">
        <v>6.2597647892768702E-5</v>
      </c>
      <c r="G201">
        <f>SQRT(Calcs!J202)</f>
        <v>0</v>
      </c>
      <c r="H201" s="71">
        <f t="shared" si="15"/>
        <v>0</v>
      </c>
      <c r="I201" s="70">
        <f>LN(Calcs!L203/Calcs!L202)</f>
        <v>1.7570679889387651E-5</v>
      </c>
      <c r="J201" s="76">
        <f t="shared" si="16"/>
        <v>-4.5026968003381051E-5</v>
      </c>
      <c r="K201" s="72">
        <f t="shared" si="17"/>
        <v>1553.3612279974689</v>
      </c>
      <c r="L201" s="72">
        <f t="shared" si="18"/>
        <v>1566.3071961588075</v>
      </c>
      <c r="M201" s="75">
        <f t="shared" si="19"/>
        <v>-12.945968161338669</v>
      </c>
    </row>
    <row r="202" spans="1:13" x14ac:dyDescent="0.2">
      <c r="A202">
        <v>-0.56447319201499901</v>
      </c>
      <c r="B202" s="69">
        <v>-0.91450692369061404</v>
      </c>
      <c r="C202">
        <v>0.83308922881453995</v>
      </c>
      <c r="D202">
        <v>0</v>
      </c>
      <c r="E202">
        <v>4.2482812398116999E-2</v>
      </c>
      <c r="F202">
        <v>-1.4516070407646501E-3</v>
      </c>
      <c r="G202">
        <f>SQRT(Calcs!J203)</f>
        <v>0</v>
      </c>
      <c r="H202" s="71">
        <f t="shared" si="15"/>
        <v>4.2482812398116999E-2</v>
      </c>
      <c r="I202" s="70">
        <f>LN(Calcs!L204/Calcs!L203)</f>
        <v>1.7570679889387651E-5</v>
      </c>
      <c r="J202" s="76">
        <f t="shared" si="16"/>
        <v>1.4691777206540376E-3</v>
      </c>
      <c r="K202" s="72">
        <f t="shared" si="17"/>
        <v>1553.3885218501437</v>
      </c>
      <c r="L202" s="72">
        <f t="shared" si="18"/>
        <v>1564.0351830389423</v>
      </c>
      <c r="M202" s="75">
        <f t="shared" si="19"/>
        <v>-10.646661188798589</v>
      </c>
    </row>
    <row r="203" spans="1:13" x14ac:dyDescent="0.2">
      <c r="A203">
        <v>0.13227936870649501</v>
      </c>
      <c r="B203" s="69">
        <v>-0.26977240942192798</v>
      </c>
      <c r="C203">
        <v>1.3641371444035399</v>
      </c>
      <c r="D203">
        <v>0</v>
      </c>
      <c r="E203">
        <v>0</v>
      </c>
      <c r="F203">
        <v>6.2597647892768702E-5</v>
      </c>
      <c r="G203">
        <f>SQRT(Calcs!J204)</f>
        <v>2.0252343874506463E-2</v>
      </c>
      <c r="H203" s="71">
        <f t="shared" si="15"/>
        <v>-2.0252343874506463E-2</v>
      </c>
      <c r="I203" s="70">
        <f>LN(Calcs!L205/Calcs!L204)</f>
        <v>-1.8067529796156566E-3</v>
      </c>
      <c r="J203" s="76">
        <f t="shared" si="16"/>
        <v>-1.8693506275084253E-3</v>
      </c>
      <c r="K203" s="72">
        <f t="shared" si="17"/>
        <v>1550.5844663903549</v>
      </c>
      <c r="L203" s="72">
        <f t="shared" si="18"/>
        <v>1564.1330910269949</v>
      </c>
      <c r="M203" s="75">
        <f t="shared" si="19"/>
        <v>-13.548624636639943</v>
      </c>
    </row>
    <row r="204" spans="1:13" x14ac:dyDescent="0.2">
      <c r="A204">
        <v>-2.67449876152142</v>
      </c>
      <c r="B204" s="69">
        <v>1.12044580967737</v>
      </c>
      <c r="C204">
        <v>1.4694619874219299</v>
      </c>
      <c r="D204">
        <v>0</v>
      </c>
      <c r="E204">
        <v>0</v>
      </c>
      <c r="F204">
        <v>6.2597647892768702E-5</v>
      </c>
      <c r="G204">
        <f>SQRT(Calcs!J205)</f>
        <v>3.0140315795772345E-2</v>
      </c>
      <c r="H204" s="71">
        <f t="shared" si="15"/>
        <v>-3.0140315795772345E-2</v>
      </c>
      <c r="I204" s="70">
        <f>LN(Calcs!L206/Calcs!L205)</f>
        <v>-2.1897328986907605E-3</v>
      </c>
      <c r="J204" s="76">
        <f t="shared" si="16"/>
        <v>-2.2523305465835292E-3</v>
      </c>
      <c r="K204" s="72">
        <f t="shared" si="17"/>
        <v>1547.1928153322799</v>
      </c>
      <c r="L204" s="72">
        <f t="shared" si="18"/>
        <v>1564.231005144049</v>
      </c>
      <c r="M204" s="75">
        <f t="shared" si="19"/>
        <v>-17.038189811769143</v>
      </c>
    </row>
    <row r="205" spans="1:13" x14ac:dyDescent="0.2">
      <c r="A205">
        <v>-0.10569601029471901</v>
      </c>
      <c r="B205" s="69">
        <v>0.104790714722151</v>
      </c>
      <c r="C205">
        <v>-9.7877939440644008E-3</v>
      </c>
      <c r="D205">
        <v>0</v>
      </c>
      <c r="E205">
        <v>1.9629477429248799E-2</v>
      </c>
      <c r="F205">
        <v>-6.8864303012821902E-5</v>
      </c>
      <c r="G205">
        <f>SQRT(Calcs!J206)</f>
        <v>6.8411563525793445E-2</v>
      </c>
      <c r="H205" s="71">
        <f t="shared" si="15"/>
        <v>-4.878208609654465E-2</v>
      </c>
      <c r="I205" s="70">
        <f>LN(Calcs!L207/Calcs!L206)</f>
        <v>3.1175423110630521E-3</v>
      </c>
      <c r="J205" s="76">
        <f t="shared" si="16"/>
        <v>3.1864066140758741E-3</v>
      </c>
      <c r="K205" s="72">
        <f t="shared" si="17"/>
        <v>1552.0237808544532</v>
      </c>
      <c r="L205" s="72">
        <f t="shared" si="18"/>
        <v>1564.123289175064</v>
      </c>
      <c r="M205" s="75">
        <f t="shared" si="19"/>
        <v>-12.099508320610767</v>
      </c>
    </row>
    <row r="206" spans="1:13" x14ac:dyDescent="0.2">
      <c r="A206">
        <v>-0.74379415735427301</v>
      </c>
      <c r="B206" s="69">
        <v>-0.60774529232883401</v>
      </c>
      <c r="C206">
        <v>0.70954613051156501</v>
      </c>
      <c r="D206">
        <v>0</v>
      </c>
      <c r="E206">
        <v>4.2857171763796501E-3</v>
      </c>
      <c r="F206">
        <v>-1.3824447839737999E-4</v>
      </c>
      <c r="G206">
        <f>SQRT(Calcs!J207)</f>
        <v>7.2888842066368684E-2</v>
      </c>
      <c r="H206" s="71">
        <f t="shared" si="15"/>
        <v>-6.8603124889989028E-2</v>
      </c>
      <c r="I206" s="70">
        <f>LN(Calcs!L208/Calcs!L207)</f>
        <v>-4.924938882296938E-3</v>
      </c>
      <c r="J206" s="76">
        <f t="shared" si="16"/>
        <v>-4.7866944038995581E-3</v>
      </c>
      <c r="K206" s="72">
        <f t="shared" si="17"/>
        <v>1544.3989499147544</v>
      </c>
      <c r="L206" s="72">
        <f t="shared" si="18"/>
        <v>1563.9070727125131</v>
      </c>
      <c r="M206" s="75">
        <f t="shared" si="19"/>
        <v>-19.508122797758688</v>
      </c>
    </row>
    <row r="207" spans="1:13" x14ac:dyDescent="0.2">
      <c r="A207">
        <v>-0.82145925387761198</v>
      </c>
      <c r="B207" s="69">
        <v>-0.71685352595937701</v>
      </c>
      <c r="C207">
        <v>-2.69778457742922</v>
      </c>
      <c r="D207">
        <v>0</v>
      </c>
      <c r="E207">
        <v>0</v>
      </c>
      <c r="F207">
        <v>6.2597647892768702E-5</v>
      </c>
      <c r="G207">
        <f>SQRT(Calcs!J208)</f>
        <v>9.7529637422941184E-2</v>
      </c>
      <c r="H207" s="71">
        <f t="shared" si="15"/>
        <v>-9.7529637422941184E-2</v>
      </c>
      <c r="I207" s="70">
        <f>LN(Calcs!L209/Calcs!L208)</f>
        <v>-5.4241086851442308E-3</v>
      </c>
      <c r="J207" s="76">
        <f t="shared" si="16"/>
        <v>-5.4867063330369999E-3</v>
      </c>
      <c r="K207" s="72">
        <f t="shared" si="17"/>
        <v>1536.0446399823636</v>
      </c>
      <c r="L207" s="72">
        <f t="shared" si="18"/>
        <v>1564.0049726809095</v>
      </c>
      <c r="M207" s="75">
        <f t="shared" si="19"/>
        <v>-27.960332698545926</v>
      </c>
    </row>
    <row r="208" spans="1:13" x14ac:dyDescent="0.2">
      <c r="A208">
        <v>-0.109924210457193</v>
      </c>
      <c r="B208" s="69">
        <v>-0.54579539719626402</v>
      </c>
      <c r="C208">
        <v>-0.26151153831716001</v>
      </c>
      <c r="D208">
        <v>0</v>
      </c>
      <c r="E208">
        <v>0</v>
      </c>
      <c r="F208">
        <v>6.2597647892768702E-5</v>
      </c>
      <c r="G208">
        <f>SQRT(Calcs!J209)</f>
        <v>9.4601067454192223E-2</v>
      </c>
      <c r="H208" s="71">
        <f t="shared" si="15"/>
        <v>-9.4601067454192223E-2</v>
      </c>
      <c r="I208" s="70">
        <f>LN(Calcs!L210/Calcs!L209)</f>
        <v>9.4650676342278497E-3</v>
      </c>
      <c r="J208" s="76">
        <f t="shared" si="16"/>
        <v>9.4024699863350814E-3</v>
      </c>
      <c r="K208" s="72">
        <f t="shared" si="17"/>
        <v>1550.6524291892849</v>
      </c>
      <c r="L208" s="72">
        <f t="shared" si="18"/>
        <v>1564.1028787778057</v>
      </c>
      <c r="M208" s="75">
        <f t="shared" si="19"/>
        <v>-13.450449588520769</v>
      </c>
    </row>
    <row r="209" spans="1:13" x14ac:dyDescent="0.2">
      <c r="A209">
        <v>0.50334117665842404</v>
      </c>
      <c r="B209" s="69">
        <v>-0.60479172711191598</v>
      </c>
      <c r="C209">
        <v>-1.1919249609615501</v>
      </c>
      <c r="D209">
        <v>0</v>
      </c>
      <c r="E209">
        <v>0</v>
      </c>
      <c r="F209">
        <v>6.2597647892768702E-5</v>
      </c>
      <c r="G209">
        <f>SQRT(Calcs!J210)</f>
        <v>8.3698305709856757E-2</v>
      </c>
      <c r="H209" s="71">
        <f t="shared" si="15"/>
        <v>-8.3698305709856757E-2</v>
      </c>
      <c r="I209" s="70">
        <f>LN(Calcs!L211/Calcs!L210)</f>
        <v>-1.6959953110231671E-3</v>
      </c>
      <c r="J209" s="76">
        <f t="shared" si="16"/>
        <v>-1.7585929589159358E-3</v>
      </c>
      <c r="K209" s="72">
        <f t="shared" si="17"/>
        <v>1548.0247588285113</v>
      </c>
      <c r="L209" s="72">
        <f t="shared" si="18"/>
        <v>1564.200791003585</v>
      </c>
      <c r="M209" s="75">
        <f t="shared" si="19"/>
        <v>-16.176032175073715</v>
      </c>
    </row>
    <row r="210" spans="1:13" x14ac:dyDescent="0.2">
      <c r="A210">
        <v>-1.14865612247811</v>
      </c>
      <c r="B210" s="69">
        <v>1.17733515631815</v>
      </c>
      <c r="C210">
        <v>1.2917384783655499</v>
      </c>
      <c r="D210">
        <v>0</v>
      </c>
      <c r="E210">
        <v>0</v>
      </c>
      <c r="F210">
        <v>6.2597647892768702E-5</v>
      </c>
      <c r="G210">
        <f>SQRT(Calcs!J211)</f>
        <v>9.1422350054080045E-2</v>
      </c>
      <c r="H210" s="71">
        <f t="shared" si="15"/>
        <v>-9.1422350054080045E-2</v>
      </c>
      <c r="I210" s="70">
        <f>LN(Calcs!L212/Calcs!L211)</f>
        <v>-1.2491892764513557E-3</v>
      </c>
      <c r="J210" s="76">
        <f t="shared" si="16"/>
        <v>-1.3117869243441244E-3</v>
      </c>
      <c r="K210" s="72">
        <f t="shared" si="17"/>
        <v>1546.0921902234004</v>
      </c>
      <c r="L210" s="72">
        <f t="shared" si="18"/>
        <v>1564.2987093586312</v>
      </c>
      <c r="M210" s="75">
        <f t="shared" si="19"/>
        <v>-18.206519135230792</v>
      </c>
    </row>
    <row r="211" spans="1:13" x14ac:dyDescent="0.2">
      <c r="A211">
        <v>1.0868757156468501E-3</v>
      </c>
      <c r="B211" s="69">
        <v>-0.68932901975074501</v>
      </c>
      <c r="C211">
        <v>-0.168879538407054</v>
      </c>
      <c r="D211">
        <v>0</v>
      </c>
      <c r="E211">
        <v>2.1806746610367599E-2</v>
      </c>
      <c r="F211">
        <v>6.3147164389991295E-5</v>
      </c>
      <c r="G211">
        <f>SQRT(Calcs!J212)</f>
        <v>8.3386313267156467E-2</v>
      </c>
      <c r="H211" s="71">
        <f t="shared" si="15"/>
        <v>-6.1579566656788869E-2</v>
      </c>
      <c r="I211" s="70">
        <f>LN(Calcs!L213/Calcs!L212)</f>
        <v>-1.9685892868948356E-4</v>
      </c>
      <c r="J211" s="76">
        <f t="shared" si="16"/>
        <v>-2.6000609307947486E-4</v>
      </c>
      <c r="K211" s="72">
        <f t="shared" si="17"/>
        <v>1545.7878581274058</v>
      </c>
      <c r="L211" s="72">
        <f t="shared" si="18"/>
        <v>1564.3974935053227</v>
      </c>
      <c r="M211" s="75">
        <f t="shared" si="19"/>
        <v>-18.609635377916902</v>
      </c>
    </row>
    <row r="212" spans="1:13" x14ac:dyDescent="0.2">
      <c r="A212">
        <v>1.61165882171338</v>
      </c>
      <c r="B212" s="69">
        <v>-0.96822084068833203</v>
      </c>
      <c r="C212">
        <v>-0.85897843439007604</v>
      </c>
      <c r="D212">
        <v>0</v>
      </c>
      <c r="E212">
        <v>0</v>
      </c>
      <c r="F212">
        <v>6.2597647892768702E-5</v>
      </c>
      <c r="G212">
        <f>SQRT(Calcs!J213)</f>
        <v>9.3519994404538606E-2</v>
      </c>
      <c r="H212" s="71">
        <f t="shared" si="15"/>
        <v>-9.3519994404538606E-2</v>
      </c>
      <c r="I212" s="70">
        <f>LN(Calcs!L214/Calcs!L213)</f>
        <v>1.0623495521962267E-3</v>
      </c>
      <c r="J212" s="76">
        <f t="shared" si="16"/>
        <v>9.9975190430345797E-4</v>
      </c>
      <c r="K212" s="72">
        <f t="shared" si="17"/>
        <v>1547.430897752957</v>
      </c>
      <c r="L212" s="72">
        <f t="shared" si="18"/>
        <v>1564.4954241738683</v>
      </c>
      <c r="M212" s="75">
        <f t="shared" si="19"/>
        <v>-17.064526420911307</v>
      </c>
    </row>
    <row r="213" spans="1:13" x14ac:dyDescent="0.2">
      <c r="A213">
        <v>0.93919415219115199</v>
      </c>
      <c r="B213" s="69">
        <v>0.12078012459321701</v>
      </c>
      <c r="C213">
        <v>-0.368832740463088</v>
      </c>
      <c r="D213">
        <v>0</v>
      </c>
      <c r="E213">
        <v>1.2879458390110799E-2</v>
      </c>
      <c r="F213">
        <v>8.2426455197111596E-4</v>
      </c>
      <c r="G213">
        <f>SQRT(Calcs!J214)</f>
        <v>8.5241771972922292E-2</v>
      </c>
      <c r="H213" s="71">
        <f t="shared" si="15"/>
        <v>-7.2362313582811491E-2</v>
      </c>
      <c r="I213" s="70">
        <f>LN(Calcs!L215/Calcs!L214)</f>
        <v>1.1789492476154151E-2</v>
      </c>
      <c r="J213" s="76">
        <f t="shared" si="16"/>
        <v>1.0965227924183035E-2</v>
      </c>
      <c r="K213" s="72">
        <f t="shared" si="17"/>
        <v>1565.7822869038102</v>
      </c>
      <c r="L213" s="72">
        <f t="shared" si="18"/>
        <v>1565.7855139083124</v>
      </c>
      <c r="M213" s="75">
        <f t="shared" si="19"/>
        <v>-3.2270045021505211E-3</v>
      </c>
    </row>
    <row r="214" spans="1:13" x14ac:dyDescent="0.2">
      <c r="A214">
        <v>0.166463171379645</v>
      </c>
      <c r="B214" s="69">
        <v>0.20754379899325801</v>
      </c>
      <c r="C214">
        <v>-0.33615059378575801</v>
      </c>
      <c r="D214">
        <v>0</v>
      </c>
      <c r="E214">
        <v>0</v>
      </c>
      <c r="F214">
        <v>6.2597647892768702E-5</v>
      </c>
      <c r="G214">
        <f>SQRT(Calcs!J215)</f>
        <v>2.1480933449076284E-2</v>
      </c>
      <c r="H214" s="71">
        <f t="shared" si="15"/>
        <v>-2.1480933449076284E-2</v>
      </c>
      <c r="I214" s="70">
        <f>LN(Calcs!L216/Calcs!L215)</f>
        <v>-1.1653600935670296E-3</v>
      </c>
      <c r="J214" s="76">
        <f t="shared" si="16"/>
        <v>-1.2279577414597983E-3</v>
      </c>
      <c r="K214" s="72">
        <f t="shared" si="17"/>
        <v>1563.9586495149422</v>
      </c>
      <c r="L214" s="72">
        <f t="shared" si="18"/>
        <v>1565.8835314663897</v>
      </c>
      <c r="M214" s="75">
        <f t="shared" si="19"/>
        <v>-1.9248819514475599</v>
      </c>
    </row>
    <row r="215" spans="1:13" x14ac:dyDescent="0.2">
      <c r="A215">
        <v>1.5245209606500201</v>
      </c>
      <c r="B215" s="69">
        <v>-2.9343332777478501</v>
      </c>
      <c r="C215">
        <v>0.37746096232842702</v>
      </c>
      <c r="D215">
        <v>0</v>
      </c>
      <c r="E215">
        <v>0</v>
      </c>
      <c r="F215">
        <v>6.2597647892768702E-5</v>
      </c>
      <c r="G215">
        <f>SQRT(Calcs!J216)</f>
        <v>5.0739541601228816E-2</v>
      </c>
      <c r="H215" s="71">
        <f t="shared" si="15"/>
        <v>-5.0739541601228816E-2</v>
      </c>
      <c r="I215" s="70">
        <f>LN(Calcs!L217/Calcs!L216)</f>
        <v>-1.91313375778592E-4</v>
      </c>
      <c r="J215" s="76">
        <f t="shared" si="16"/>
        <v>-2.5391102367136072E-4</v>
      </c>
      <c r="K215" s="72">
        <f t="shared" si="17"/>
        <v>1563.6594719253751</v>
      </c>
      <c r="L215" s="72">
        <f t="shared" si="18"/>
        <v>1565.9815551603278</v>
      </c>
      <c r="M215" s="75">
        <f t="shared" si="19"/>
        <v>-2.3220832349527427</v>
      </c>
    </row>
    <row r="216" spans="1:13" x14ac:dyDescent="0.2">
      <c r="A216">
        <v>0.57943991646380799</v>
      </c>
      <c r="B216" s="69">
        <v>0.23308573860347201</v>
      </c>
      <c r="C216">
        <v>-0.68338380838412505</v>
      </c>
      <c r="D216">
        <v>0</v>
      </c>
      <c r="E216">
        <v>7.3901403739509694E-2</v>
      </c>
      <c r="F216">
        <v>2.7492576115827399E-3</v>
      </c>
      <c r="G216">
        <f>SQRT(Calcs!J217)</f>
        <v>3.8251136815048062E-2</v>
      </c>
      <c r="H216" s="71">
        <f t="shared" si="15"/>
        <v>3.5650266924461632E-2</v>
      </c>
      <c r="I216" s="70">
        <f>LN(Calcs!L218/Calcs!L217)</f>
        <v>-3.3952457074652091E-3</v>
      </c>
      <c r="J216" s="76">
        <f t="shared" si="16"/>
        <v>-6.1445033190479486E-3</v>
      </c>
      <c r="K216" s="72">
        <f t="shared" si="17"/>
        <v>1558.3594663174304</v>
      </c>
      <c r="L216" s="72">
        <f t="shared" si="18"/>
        <v>1570.2927654688347</v>
      </c>
      <c r="M216" s="75">
        <f t="shared" si="19"/>
        <v>-11.933299151404299</v>
      </c>
    </row>
    <row r="217" spans="1:13" x14ac:dyDescent="0.2">
      <c r="A217">
        <v>-1.29441674763655</v>
      </c>
      <c r="B217" s="69">
        <v>-0.18186015074486001</v>
      </c>
      <c r="C217">
        <v>1.94490259675113</v>
      </c>
      <c r="D217">
        <v>0</v>
      </c>
      <c r="E217">
        <v>7.6822702996019607E-2</v>
      </c>
      <c r="F217">
        <v>-6.21328070658295E-3</v>
      </c>
      <c r="G217">
        <f>SQRT(Calcs!J218)</f>
        <v>8.357301834291446E-2</v>
      </c>
      <c r="H217" s="71">
        <f t="shared" si="15"/>
        <v>-6.7503153468948529E-3</v>
      </c>
      <c r="I217" s="70">
        <f>LN(Calcs!L219/Calcs!L218)</f>
        <v>6.6687403058273004E-3</v>
      </c>
      <c r="J217" s="76">
        <f t="shared" si="16"/>
        <v>1.288202101241025E-2</v>
      </c>
      <c r="K217" s="72">
        <f t="shared" si="17"/>
        <v>1568.7864898147573</v>
      </c>
      <c r="L217" s="72">
        <f t="shared" si="18"/>
        <v>1560.5663435109818</v>
      </c>
      <c r="M217" s="75">
        <f t="shared" si="19"/>
        <v>8.2201463037754365</v>
      </c>
    </row>
    <row r="218" spans="1:13" x14ac:dyDescent="0.2">
      <c r="A218">
        <v>0.24970338344142401</v>
      </c>
      <c r="B218" s="69">
        <v>0.311633647832815</v>
      </c>
      <c r="C218">
        <v>0.48077088222140302</v>
      </c>
      <c r="D218">
        <v>0</v>
      </c>
      <c r="E218">
        <v>6.8458359410986602E-2</v>
      </c>
      <c r="F218">
        <v>1.1301376155983E-3</v>
      </c>
      <c r="G218">
        <f>SQRT(Calcs!J219)</f>
        <v>7.5899099783561727E-2</v>
      </c>
      <c r="H218" s="71">
        <f t="shared" si="15"/>
        <v>-7.4407403725751248E-3</v>
      </c>
      <c r="I218" s="70">
        <f>LN(Calcs!L220/Calcs!L219)</f>
        <v>-5.9387603041595729E-3</v>
      </c>
      <c r="J218" s="76">
        <f t="shared" si="16"/>
        <v>-7.0688979197578734E-3</v>
      </c>
      <c r="K218" s="72">
        <f t="shared" si="17"/>
        <v>1559.49745286643</v>
      </c>
      <c r="L218" s="72">
        <f t="shared" si="18"/>
        <v>1562.3309951992267</v>
      </c>
      <c r="M218" s="75">
        <f t="shared" si="19"/>
        <v>-2.8335423327966964</v>
      </c>
    </row>
    <row r="219" spans="1:13" x14ac:dyDescent="0.2">
      <c r="A219">
        <v>-0.56726371164570399</v>
      </c>
      <c r="B219" s="69">
        <v>0.37858229575649199</v>
      </c>
      <c r="C219">
        <v>8.9789222280334993E-2</v>
      </c>
      <c r="D219">
        <v>0</v>
      </c>
      <c r="E219">
        <v>7.3316139195244198E-2</v>
      </c>
      <c r="F219">
        <v>-2.56796515464624E-3</v>
      </c>
      <c r="G219">
        <f>SQRT(Calcs!J220)</f>
        <v>9.5542978176654539E-2</v>
      </c>
      <c r="H219" s="71">
        <f t="shared" si="15"/>
        <v>-2.2226838981410341E-2</v>
      </c>
      <c r="I219" s="70">
        <f>LN(Calcs!L221/Calcs!L220)</f>
        <v>6.1447703116780565E-3</v>
      </c>
      <c r="J219" s="76">
        <f t="shared" si="16"/>
        <v>8.7127354663242961E-3</v>
      </c>
      <c r="K219" s="72">
        <f t="shared" si="17"/>
        <v>1569.109708823351</v>
      </c>
      <c r="L219" s="72">
        <f t="shared" si="18"/>
        <v>1558.3241305898</v>
      </c>
      <c r="M219" s="75">
        <f t="shared" si="19"/>
        <v>10.78557823355095</v>
      </c>
    </row>
    <row r="220" spans="1:13" x14ac:dyDescent="0.2">
      <c r="A220">
        <v>-1.2194807335134199</v>
      </c>
      <c r="B220" s="69">
        <v>2.1497092201176402</v>
      </c>
      <c r="C220">
        <v>0.75474781960795101</v>
      </c>
      <c r="D220">
        <v>0</v>
      </c>
      <c r="E220">
        <v>8.0191220729203302E-2</v>
      </c>
      <c r="F220">
        <v>-6.1104563684490198E-3</v>
      </c>
      <c r="G220">
        <f>SQRT(Calcs!J221)</f>
        <v>3.0144115089203682E-2</v>
      </c>
      <c r="H220" s="71">
        <f t="shared" si="15"/>
        <v>5.0047105639999617E-2</v>
      </c>
      <c r="I220" s="70">
        <f>LN(Calcs!L222/Calcs!L221)</f>
        <v>-8.5507349345665393E-4</v>
      </c>
      <c r="J220" s="76">
        <f t="shared" si="16"/>
        <v>5.2553828749923662E-3</v>
      </c>
      <c r="K220" s="72">
        <f t="shared" si="17"/>
        <v>1567.7685781673622</v>
      </c>
      <c r="L220" s="72">
        <f t="shared" si="18"/>
        <v>1548.8310919185481</v>
      </c>
      <c r="M220" s="75">
        <f t="shared" si="19"/>
        <v>18.937486248814139</v>
      </c>
    </row>
    <row r="221" spans="1:13" x14ac:dyDescent="0.2">
      <c r="A221">
        <v>1.9685517010040501</v>
      </c>
      <c r="B221" s="69">
        <v>-1.7436666997327499</v>
      </c>
      <c r="C221">
        <v>1.7049953567327101</v>
      </c>
      <c r="D221">
        <v>0</v>
      </c>
      <c r="E221">
        <v>0.13480230378692201</v>
      </c>
      <c r="F221">
        <v>1.6742985671356202E-2</v>
      </c>
      <c r="G221">
        <f>SQRT(Calcs!J222)</f>
        <v>0</v>
      </c>
      <c r="H221" s="71">
        <f t="shared" si="15"/>
        <v>0.13480230378692201</v>
      </c>
      <c r="I221" s="70">
        <f>LN(Calcs!L223/Calcs!L222)</f>
        <v>1.7570679889387651E-5</v>
      </c>
      <c r="J221" s="76">
        <f t="shared" si="16"/>
        <v>-1.6725414991466812E-2</v>
      </c>
      <c r="K221" s="72">
        <f t="shared" si="17"/>
        <v>1567.7961251691988</v>
      </c>
      <c r="L221" s="72">
        <f t="shared" si="18"/>
        <v>1574.9814553922301</v>
      </c>
      <c r="M221" s="75">
        <f t="shared" si="19"/>
        <v>-7.1853302230313147</v>
      </c>
    </row>
    <row r="222" spans="1:13" x14ac:dyDescent="0.2">
      <c r="A222">
        <v>0.62673105289396502</v>
      </c>
      <c r="B222" s="69">
        <v>-0.117910142265296</v>
      </c>
      <c r="C222">
        <v>-0.58850337891274096</v>
      </c>
      <c r="D222">
        <v>0</v>
      </c>
      <c r="E222">
        <v>8.5840612862253099E-2</v>
      </c>
      <c r="F222">
        <v>3.4369944295595399E-3</v>
      </c>
      <c r="G222">
        <f>SQRT(Calcs!J223)</f>
        <v>2.0908238230498765E-2</v>
      </c>
      <c r="H222" s="71">
        <f t="shared" si="15"/>
        <v>6.493237463175433E-2</v>
      </c>
      <c r="I222" s="70">
        <f>LN(Calcs!L224/Calcs!L223)</f>
        <v>-2.8247353232842888E-3</v>
      </c>
      <c r="J222" s="76">
        <f t="shared" si="16"/>
        <v>-6.2617297528438287E-3</v>
      </c>
      <c r="K222" s="72">
        <f t="shared" si="17"/>
        <v>1563.3737650137452</v>
      </c>
      <c r="L222" s="72">
        <f t="shared" si="18"/>
        <v>1580.4039711212679</v>
      </c>
      <c r="M222" s="75">
        <f t="shared" si="19"/>
        <v>-17.030206107522645</v>
      </c>
    </row>
    <row r="223" spans="1:13" x14ac:dyDescent="0.2">
      <c r="A223">
        <v>1.99920620218594</v>
      </c>
      <c r="B223" s="69">
        <v>-0.91443963052511201</v>
      </c>
      <c r="C223">
        <v>0.58058773184544199</v>
      </c>
      <c r="D223">
        <v>0</v>
      </c>
      <c r="E223">
        <v>7.9603934223167999E-2</v>
      </c>
      <c r="F223">
        <v>1.0075197115285201E-2</v>
      </c>
      <c r="G223">
        <f>SQRT(Calcs!J224)</f>
        <v>5.2346730207661771E-2</v>
      </c>
      <c r="H223" s="71">
        <f t="shared" si="15"/>
        <v>2.7257204015506228E-2</v>
      </c>
      <c r="I223" s="70">
        <f>LN(Calcs!L225/Calcs!L224)</f>
        <v>3.3040848017998371E-3</v>
      </c>
      <c r="J223" s="76">
        <f t="shared" si="16"/>
        <v>-6.7711123134853637E-3</v>
      </c>
      <c r="K223" s="72">
        <f t="shared" si="17"/>
        <v>1568.5478275739017</v>
      </c>
      <c r="L223" s="72">
        <f t="shared" si="18"/>
        <v>1596.4073358045778</v>
      </c>
      <c r="M223" s="75">
        <f t="shared" si="19"/>
        <v>-27.859508230676056</v>
      </c>
    </row>
    <row r="224" spans="1:13" x14ac:dyDescent="0.2">
      <c r="A224">
        <v>-0.15225930751884001</v>
      </c>
      <c r="B224" s="69">
        <v>1.3708946864719599E-3</v>
      </c>
      <c r="C224">
        <v>2.5923264162792599</v>
      </c>
      <c r="D224">
        <v>0</v>
      </c>
      <c r="E224">
        <v>5.0829012453785599E-2</v>
      </c>
      <c r="F224">
        <v>-4.3005167975557299E-4</v>
      </c>
      <c r="G224">
        <f>SQRT(Calcs!J225)</f>
        <v>0</v>
      </c>
      <c r="H224" s="71">
        <f t="shared" si="15"/>
        <v>5.0829012453785599E-2</v>
      </c>
      <c r="I224" s="70">
        <f>LN(Calcs!L226/Calcs!L225)</f>
        <v>1.7570679889387651E-5</v>
      </c>
      <c r="J224" s="76">
        <f t="shared" si="16"/>
        <v>4.4762235964496063E-4</v>
      </c>
      <c r="K224" s="72">
        <f t="shared" si="17"/>
        <v>1568.5753882678005</v>
      </c>
      <c r="L224" s="72">
        <f t="shared" si="18"/>
        <v>1595.7209457504175</v>
      </c>
      <c r="M224" s="75">
        <f t="shared" si="19"/>
        <v>-27.14555748261705</v>
      </c>
    </row>
    <row r="225" spans="1:13" x14ac:dyDescent="0.2">
      <c r="A225">
        <v>-1.13965736122335</v>
      </c>
      <c r="B225" s="69">
        <v>0.79531615794125199</v>
      </c>
      <c r="C225">
        <v>3.7015577391338898E-3</v>
      </c>
      <c r="D225">
        <v>0</v>
      </c>
      <c r="E225">
        <v>4.5783645225799897E-2</v>
      </c>
      <c r="F225">
        <v>-3.2284455149884901E-3</v>
      </c>
      <c r="G225">
        <f>SQRT(Calcs!J226)</f>
        <v>0</v>
      </c>
      <c r="H225" s="71">
        <f t="shared" si="15"/>
        <v>4.5783645225799897E-2</v>
      </c>
      <c r="I225" s="70">
        <f>LN(Calcs!L227/Calcs!L226)</f>
        <v>1.7570679889387651E-5</v>
      </c>
      <c r="J225" s="76">
        <f t="shared" si="16"/>
        <v>3.2460161948778777E-3</v>
      </c>
      <c r="K225" s="72">
        <f t="shared" si="17"/>
        <v>1568.6029494459638</v>
      </c>
      <c r="L225" s="72">
        <f t="shared" si="18"/>
        <v>1590.5775546662783</v>
      </c>
      <c r="M225" s="75">
        <f t="shared" si="19"/>
        <v>-21.974605220314515</v>
      </c>
    </row>
    <row r="226" spans="1:13" x14ac:dyDescent="0.2">
      <c r="A226">
        <v>-0.87164933791102694</v>
      </c>
      <c r="B226" s="69">
        <v>-0.13483439874967501</v>
      </c>
      <c r="C226">
        <v>-0.36473783405479898</v>
      </c>
      <c r="D226">
        <v>0</v>
      </c>
      <c r="E226">
        <v>6.2901909349386498E-2</v>
      </c>
      <c r="F226">
        <v>-3.3991178816571601E-3</v>
      </c>
      <c r="G226">
        <f>SQRT(Calcs!J227)</f>
        <v>0</v>
      </c>
      <c r="H226" s="71">
        <f t="shared" si="15"/>
        <v>6.2901909349386498E-2</v>
      </c>
      <c r="I226" s="70">
        <f>LN(Calcs!L228/Calcs!L227)</f>
        <v>1.7570679889387651E-5</v>
      </c>
      <c r="J226" s="76">
        <f t="shared" si="16"/>
        <v>3.4166885615465477E-3</v>
      </c>
      <c r="K226" s="72">
        <f t="shared" si="17"/>
        <v>1568.6305111083998</v>
      </c>
      <c r="L226" s="72">
        <f t="shared" si="18"/>
        <v>1585.1801724240761</v>
      </c>
      <c r="M226" s="75">
        <f t="shared" si="19"/>
        <v>-16.549661315676303</v>
      </c>
    </row>
    <row r="227" spans="1:13" x14ac:dyDescent="0.2">
      <c r="A227">
        <v>0.45846713958345098</v>
      </c>
      <c r="B227" s="69">
        <v>-0.85306299191687396</v>
      </c>
      <c r="C227">
        <v>-1.14701736917459</v>
      </c>
      <c r="D227">
        <v>0</v>
      </c>
      <c r="E227">
        <v>5.5019554889676997E-2</v>
      </c>
      <c r="F227">
        <v>1.6455954866495201E-3</v>
      </c>
      <c r="G227">
        <f>SQRT(Calcs!J228)</f>
        <v>0</v>
      </c>
      <c r="H227" s="71">
        <f t="shared" si="15"/>
        <v>5.5019554889676997E-2</v>
      </c>
      <c r="I227" s="70">
        <f>LN(Calcs!L229/Calcs!L228)</f>
        <v>1.7570679889387651E-5</v>
      </c>
      <c r="J227" s="76">
        <f t="shared" si="16"/>
        <v>-1.6280248067601325E-3</v>
      </c>
      <c r="K227" s="72">
        <f t="shared" si="17"/>
        <v>1568.6580732551174</v>
      </c>
      <c r="L227" s="72">
        <f t="shared" si="18"/>
        <v>1587.7908852608266</v>
      </c>
      <c r="M227" s="75">
        <f t="shared" si="19"/>
        <v>-19.132812005709184</v>
      </c>
    </row>
    <row r="228" spans="1:13" x14ac:dyDescent="0.2">
      <c r="A228">
        <v>-0.775718387813634</v>
      </c>
      <c r="B228" s="69">
        <v>1.0352009295373501</v>
      </c>
      <c r="C228">
        <v>-1.3399530621721201</v>
      </c>
      <c r="D228">
        <v>0</v>
      </c>
      <c r="E228">
        <v>2.38852679658265E-2</v>
      </c>
      <c r="F228">
        <v>-1.10570381794351E-3</v>
      </c>
      <c r="G228">
        <f>SQRT(Calcs!J229)</f>
        <v>0</v>
      </c>
      <c r="H228" s="71">
        <f t="shared" si="15"/>
        <v>2.38852679658265E-2</v>
      </c>
      <c r="I228" s="70">
        <f>LN(Calcs!L230/Calcs!L229)</f>
        <v>1.7570679889387651E-5</v>
      </c>
      <c r="J228" s="76">
        <f t="shared" si="16"/>
        <v>1.1232744978328976E-3</v>
      </c>
      <c r="K228" s="72">
        <f t="shared" si="17"/>
        <v>1568.6856358861248</v>
      </c>
      <c r="L228" s="72">
        <f t="shared" si="18"/>
        <v>1586.0362290606952</v>
      </c>
      <c r="M228" s="75">
        <f t="shared" si="19"/>
        <v>-17.350593174570349</v>
      </c>
    </row>
    <row r="229" spans="1:13" x14ac:dyDescent="0.2">
      <c r="A229">
        <v>1.91721022880023</v>
      </c>
      <c r="B229" s="69">
        <v>-2.57840867071996</v>
      </c>
      <c r="C229">
        <v>-0.187202491743236</v>
      </c>
      <c r="D229">
        <v>0</v>
      </c>
      <c r="E229">
        <v>4.6108003655521597E-2</v>
      </c>
      <c r="F229">
        <v>5.6269764565717402E-3</v>
      </c>
      <c r="G229">
        <f>SQRT(Calcs!J230)</f>
        <v>0</v>
      </c>
      <c r="H229" s="71">
        <f t="shared" si="15"/>
        <v>4.6108003655521597E-2</v>
      </c>
      <c r="I229" s="70">
        <f>LN(Calcs!L231/Calcs!L230)</f>
        <v>1.7570679889387651E-5</v>
      </c>
      <c r="J229" s="76">
        <f t="shared" si="16"/>
        <v>-5.6094057766823526E-3</v>
      </c>
      <c r="K229" s="72">
        <f t="shared" si="17"/>
        <v>1568.7131990014307</v>
      </c>
      <c r="L229" s="72">
        <f t="shared" si="18"/>
        <v>1594.9859739682993</v>
      </c>
      <c r="M229" s="75">
        <f t="shared" si="19"/>
        <v>-26.27277496686861</v>
      </c>
    </row>
    <row r="230" spans="1:13" x14ac:dyDescent="0.2">
      <c r="A230">
        <v>-0.28570510013397199</v>
      </c>
      <c r="B230" s="69">
        <v>0.84554920315623205</v>
      </c>
      <c r="C230">
        <v>-0.37042637832909903</v>
      </c>
      <c r="D230">
        <v>0</v>
      </c>
      <c r="E230">
        <v>0</v>
      </c>
      <c r="F230">
        <v>6.2597647892768702E-5</v>
      </c>
      <c r="G230">
        <f>SQRT(Calcs!J231)</f>
        <v>4.6727011903705262E-2</v>
      </c>
      <c r="H230" s="71">
        <f t="shared" si="15"/>
        <v>-4.6727011903705262E-2</v>
      </c>
      <c r="I230" s="70">
        <f>LN(Calcs!L232/Calcs!L231)</f>
        <v>-5.9803211044044116E-4</v>
      </c>
      <c r="J230" s="76">
        <f t="shared" si="16"/>
        <v>-6.6062975833320985E-4</v>
      </c>
      <c r="K230" s="72">
        <f t="shared" si="17"/>
        <v>1567.7753385996252</v>
      </c>
      <c r="L230" s="72">
        <f t="shared" si="18"/>
        <v>1595.0858194637055</v>
      </c>
      <c r="M230" s="75">
        <f t="shared" si="19"/>
        <v>-27.310480864080318</v>
      </c>
    </row>
    <row r="231" spans="1:13" x14ac:dyDescent="0.2">
      <c r="A231">
        <v>-0.83443387317724205</v>
      </c>
      <c r="B231" s="69">
        <v>-0.439055211615545</v>
      </c>
      <c r="C231">
        <v>0.56865143520404005</v>
      </c>
      <c r="D231">
        <v>0</v>
      </c>
      <c r="E231">
        <v>3.5099988485046002E-3</v>
      </c>
      <c r="F231">
        <v>-1.2192775630123599E-4</v>
      </c>
      <c r="G231">
        <f>SQRT(Calcs!J232)</f>
        <v>0</v>
      </c>
      <c r="H231" s="71">
        <f t="shared" si="15"/>
        <v>3.5099988485046002E-3</v>
      </c>
      <c r="I231" s="70">
        <f>LN(Calcs!L233/Calcs!L232)</f>
        <v>1.7570679889387651E-5</v>
      </c>
      <c r="J231" s="76">
        <f t="shared" si="16"/>
        <v>1.3949843619062366E-4</v>
      </c>
      <c r="K231" s="72">
        <f t="shared" si="17"/>
        <v>1567.8028857202482</v>
      </c>
      <c r="L231" s="72">
        <f t="shared" si="18"/>
        <v>1594.8913460847227</v>
      </c>
      <c r="M231" s="75">
        <f t="shared" si="19"/>
        <v>-27.088460364474486</v>
      </c>
    </row>
    <row r="232" spans="1:13" x14ac:dyDescent="0.2">
      <c r="A232">
        <v>-1.73502235063198</v>
      </c>
      <c r="B232" s="69">
        <v>2.56410281265422</v>
      </c>
      <c r="C232">
        <v>-0.81892447278361602</v>
      </c>
      <c r="D232">
        <v>0</v>
      </c>
      <c r="E232">
        <v>0</v>
      </c>
      <c r="F232">
        <v>6.2597647892768702E-5</v>
      </c>
      <c r="G232">
        <f>SQRT(Calcs!J233)</f>
        <v>0</v>
      </c>
      <c r="H232" s="71">
        <f t="shared" si="15"/>
        <v>0</v>
      </c>
      <c r="I232" s="70">
        <f>LN(Calcs!L234/Calcs!L233)</f>
        <v>1.7570679889387651E-5</v>
      </c>
      <c r="J232" s="76">
        <f t="shared" si="16"/>
        <v>-4.5026968003381051E-5</v>
      </c>
      <c r="K232" s="72">
        <f t="shared" si="17"/>
        <v>1567.8304333248973</v>
      </c>
      <c r="L232" s="72">
        <f t="shared" si="18"/>
        <v>1594.9911856564606</v>
      </c>
      <c r="M232" s="75">
        <f t="shared" si="19"/>
        <v>-27.160752331563344</v>
      </c>
    </row>
    <row r="233" spans="1:13" x14ac:dyDescent="0.2">
      <c r="A233">
        <v>0.91504872059801601</v>
      </c>
      <c r="B233" s="69">
        <v>4.2223961529386497E-2</v>
      </c>
      <c r="C233">
        <v>0.93736926332120296</v>
      </c>
      <c r="D233">
        <v>0</v>
      </c>
      <c r="E233">
        <v>6.3690322310070102E-2</v>
      </c>
      <c r="F233">
        <v>3.7258281582696401E-3</v>
      </c>
      <c r="G233">
        <f>SQRT(Calcs!J234)</f>
        <v>2.0650198222750556E-2</v>
      </c>
      <c r="H233" s="71">
        <f t="shared" si="15"/>
        <v>4.3040124087319546E-2</v>
      </c>
      <c r="I233" s="70">
        <f>LN(Calcs!L235/Calcs!L234)</f>
        <v>-1.7526851341300206E-3</v>
      </c>
      <c r="J233" s="76">
        <f t="shared" si="16"/>
        <v>-5.4785132923996609E-3</v>
      </c>
      <c r="K233" s="72">
        <f t="shared" si="17"/>
        <v>1565.0849269385146</v>
      </c>
      <c r="L233" s="72">
        <f t="shared" si="18"/>
        <v>1600.9449331608303</v>
      </c>
      <c r="M233" s="75">
        <f t="shared" si="19"/>
        <v>-35.860006222315633</v>
      </c>
    </row>
    <row r="234" spans="1:13" x14ac:dyDescent="0.2">
      <c r="A234">
        <v>0.23958168364128599</v>
      </c>
      <c r="B234" s="69">
        <v>0.49621896541503202</v>
      </c>
      <c r="C234">
        <v>1.15187138842034</v>
      </c>
      <c r="D234">
        <v>0</v>
      </c>
      <c r="E234">
        <v>6.0845547568202603E-2</v>
      </c>
      <c r="F234">
        <v>9.7354689558202504E-4</v>
      </c>
      <c r="G234">
        <f>SQRT(Calcs!J235)</f>
        <v>3.9086043846814897E-2</v>
      </c>
      <c r="H234" s="71">
        <f t="shared" si="15"/>
        <v>2.1759503721387706E-2</v>
      </c>
      <c r="I234" s="70">
        <f>LN(Calcs!L236/Calcs!L235)</f>
        <v>4.0857313891746521E-3</v>
      </c>
      <c r="J234" s="76">
        <f t="shared" si="16"/>
        <v>3.1121844935926273E-3</v>
      </c>
      <c r="K234" s="72">
        <f t="shared" si="17"/>
        <v>1571.4925244988651</v>
      </c>
      <c r="L234" s="72">
        <f t="shared" si="18"/>
        <v>1602.5042870594182</v>
      </c>
      <c r="M234" s="75">
        <f t="shared" si="19"/>
        <v>-31.011762560553052</v>
      </c>
    </row>
    <row r="235" spans="1:13" x14ac:dyDescent="0.2">
      <c r="A235">
        <v>-1.34022862167798</v>
      </c>
      <c r="B235" s="69">
        <v>0.24187445849484099</v>
      </c>
      <c r="C235">
        <v>0.11446600353471099</v>
      </c>
      <c r="D235">
        <v>0</v>
      </c>
      <c r="E235">
        <v>7.0449069247083801E-2</v>
      </c>
      <c r="F235">
        <v>-5.8950157676357397E-3</v>
      </c>
      <c r="G235">
        <f>SQRT(Calcs!J236)</f>
        <v>0</v>
      </c>
      <c r="H235" s="71">
        <f t="shared" si="15"/>
        <v>7.0449069247083801E-2</v>
      </c>
      <c r="I235" s="70">
        <f>LN(Calcs!L237/Calcs!L236)</f>
        <v>1.75706491873755E-5</v>
      </c>
      <c r="J235" s="76">
        <f t="shared" si="16"/>
        <v>5.9125864168231151E-3</v>
      </c>
      <c r="K235" s="72">
        <f t="shared" si="17"/>
        <v>1571.5201368852968</v>
      </c>
      <c r="L235" s="72">
        <f t="shared" si="18"/>
        <v>1593.0852888677102</v>
      </c>
      <c r="M235" s="75">
        <f t="shared" si="19"/>
        <v>-21.565151982413454</v>
      </c>
    </row>
    <row r="236" spans="1:13" x14ac:dyDescent="0.2">
      <c r="A236">
        <v>0.604861354243455</v>
      </c>
      <c r="B236" s="69">
        <v>0.27844003219395502</v>
      </c>
      <c r="C236">
        <v>0.80713880562381402</v>
      </c>
      <c r="D236">
        <v>0</v>
      </c>
      <c r="E236">
        <v>7.3474089769209605E-2</v>
      </c>
      <c r="F236">
        <v>2.8514464661329002E-3</v>
      </c>
      <c r="G236">
        <f>SQRT(Calcs!J237)</f>
        <v>3.7588367049275491E-2</v>
      </c>
      <c r="H236" s="71">
        <f t="shared" si="15"/>
        <v>3.5885722719934114E-2</v>
      </c>
      <c r="I236" s="70">
        <f>LN(Calcs!L238/Calcs!L237)</f>
        <v>-2.1260549007874863E-3</v>
      </c>
      <c r="J236" s="76">
        <f t="shared" si="16"/>
        <v>-4.9775013669203869E-3</v>
      </c>
      <c r="K236" s="72">
        <f t="shared" si="17"/>
        <v>1568.1825480023751</v>
      </c>
      <c r="L236" s="72">
        <f t="shared" si="18"/>
        <v>1597.6343689317521</v>
      </c>
      <c r="M236" s="75">
        <f t="shared" si="19"/>
        <v>-29.451820929376936</v>
      </c>
    </row>
    <row r="237" spans="1:13" x14ac:dyDescent="0.2">
      <c r="A237">
        <v>-1.51308549891801</v>
      </c>
      <c r="B237" s="69">
        <v>2.5237725236267701</v>
      </c>
      <c r="C237">
        <v>1.00375152061004</v>
      </c>
      <c r="D237">
        <v>0</v>
      </c>
      <c r="E237">
        <v>7.7619992574003802E-2</v>
      </c>
      <c r="F237">
        <v>-7.3477391975164596E-3</v>
      </c>
      <c r="G237">
        <f>SQRT(Calcs!J238)</f>
        <v>3.6382845209761122E-2</v>
      </c>
      <c r="H237" s="71">
        <f t="shared" si="15"/>
        <v>4.1237147364242679E-2</v>
      </c>
      <c r="I237" s="70">
        <f>LN(Calcs!L239/Calcs!L238)</f>
        <v>3.1784465754883277E-3</v>
      </c>
      <c r="J237" s="76">
        <f t="shared" si="16"/>
        <v>1.0526185773004787E-2</v>
      </c>
      <c r="K237" s="72">
        <f t="shared" si="17"/>
        <v>1573.174862150805</v>
      </c>
      <c r="L237" s="72">
        <f t="shared" si="18"/>
        <v>1585.9383903772912</v>
      </c>
      <c r="M237" s="75">
        <f t="shared" si="19"/>
        <v>-12.763528226486187</v>
      </c>
    </row>
    <row r="238" spans="1:13" x14ac:dyDescent="0.2">
      <c r="A238">
        <v>-0.97347840179638001</v>
      </c>
      <c r="B238" s="69">
        <v>-0.18885736166725001</v>
      </c>
      <c r="C238">
        <v>0.394650793935232</v>
      </c>
      <c r="D238">
        <v>0</v>
      </c>
      <c r="E238">
        <v>0.142158776386307</v>
      </c>
      <c r="F238">
        <v>-8.6951557883031706E-3</v>
      </c>
      <c r="G238">
        <f>SQRT(Calcs!J239)</f>
        <v>0</v>
      </c>
      <c r="H238" s="71">
        <f t="shared" si="15"/>
        <v>0.142158776386307</v>
      </c>
      <c r="I238" s="70">
        <f>LN(Calcs!L240/Calcs!L239)</f>
        <v>1.75706491873755E-5</v>
      </c>
      <c r="J238" s="76">
        <f t="shared" si="16"/>
        <v>8.712726437490546E-3</v>
      </c>
      <c r="K238" s="72">
        <f t="shared" si="17"/>
        <v>1573.202504097261</v>
      </c>
      <c r="L238" s="72">
        <f t="shared" si="18"/>
        <v>1572.2081886306289</v>
      </c>
      <c r="M238" s="75">
        <f t="shared" si="19"/>
        <v>0.99431546663208792</v>
      </c>
    </row>
    <row r="239" spans="1:13" x14ac:dyDescent="0.2">
      <c r="A239">
        <v>-0.41590731455165503</v>
      </c>
      <c r="B239" s="69">
        <v>0.51582997470523995</v>
      </c>
      <c r="C239">
        <v>0.54158368934224099</v>
      </c>
      <c r="D239">
        <v>0</v>
      </c>
      <c r="E239">
        <v>0.135143689964877</v>
      </c>
      <c r="F239">
        <v>-3.51436396955125E-3</v>
      </c>
      <c r="G239">
        <f>SQRT(Calcs!J240)</f>
        <v>3.5671422555215833E-2</v>
      </c>
      <c r="H239" s="71">
        <f t="shared" si="15"/>
        <v>9.9472267409661169E-2</v>
      </c>
      <c r="I239" s="70">
        <f>LN(Calcs!L241/Calcs!L240)</f>
        <v>-2.8533711601679531E-3</v>
      </c>
      <c r="J239" s="76">
        <f t="shared" si="16"/>
        <v>6.6099280938329693E-4</v>
      </c>
      <c r="K239" s="72">
        <f t="shared" si="17"/>
        <v>1568.7199716486684</v>
      </c>
      <c r="L239" s="72">
        <f t="shared" si="18"/>
        <v>1566.692574434604</v>
      </c>
      <c r="M239" s="75">
        <f t="shared" si="19"/>
        <v>2.0273972140644219</v>
      </c>
    </row>
    <row r="240" spans="1:13" x14ac:dyDescent="0.2">
      <c r="A240">
        <v>1.8362738725287</v>
      </c>
      <c r="B240" s="69">
        <v>-1.3479929884619599</v>
      </c>
      <c r="C240">
        <v>-1.1295365065159699</v>
      </c>
      <c r="D240">
        <v>0</v>
      </c>
      <c r="E240">
        <v>0.146827989755865</v>
      </c>
      <c r="F240">
        <v>1.7004059769972799E-2</v>
      </c>
      <c r="G240">
        <f>SQRT(Calcs!J241)</f>
        <v>7.0951900416024852E-2</v>
      </c>
      <c r="H240" s="71">
        <f t="shared" si="15"/>
        <v>7.587608933984015E-2</v>
      </c>
      <c r="I240" s="70">
        <f>LN(Calcs!L242/Calcs!L241)</f>
        <v>1.7719400288451538E-3</v>
      </c>
      <c r="J240" s="76">
        <f t="shared" si="16"/>
        <v>-1.5232119741127646E-2</v>
      </c>
      <c r="K240" s="72">
        <f t="shared" si="17"/>
        <v>1571.5021135268207</v>
      </c>
      <c r="L240" s="72">
        <f t="shared" si="18"/>
        <v>1593.5604930837537</v>
      </c>
      <c r="M240" s="75">
        <f t="shared" si="19"/>
        <v>-22.058379556933005</v>
      </c>
    </row>
    <row r="241" spans="1:13" x14ac:dyDescent="0.2">
      <c r="A241">
        <v>-0.516235806815595</v>
      </c>
      <c r="B241" s="69">
        <v>0.76073884282795601</v>
      </c>
      <c r="C241">
        <v>0.99902704121110197</v>
      </c>
      <c r="D241">
        <v>0</v>
      </c>
      <c r="E241">
        <v>0.10885207070868801</v>
      </c>
      <c r="F241">
        <v>-3.5007592952993201E-3</v>
      </c>
      <c r="G241">
        <f>SQRT(Calcs!J242)</f>
        <v>4.8490476444883177E-2</v>
      </c>
      <c r="H241" s="71">
        <f t="shared" si="15"/>
        <v>6.036159426380483E-2</v>
      </c>
      <c r="I241" s="70">
        <f>LN(Calcs!L243/Calcs!L242)</f>
        <v>-6.5105482449925806E-3</v>
      </c>
      <c r="J241" s="76">
        <f t="shared" si="16"/>
        <v>-3.0097889496932605E-3</v>
      </c>
      <c r="K241" s="72">
        <f t="shared" si="17"/>
        <v>1561.3040068547839</v>
      </c>
      <c r="L241" s="72">
        <f t="shared" si="18"/>
        <v>1587.9915747836242</v>
      </c>
      <c r="M241" s="75">
        <f t="shared" si="19"/>
        <v>-26.687567928840281</v>
      </c>
    </row>
    <row r="242" spans="1:13" x14ac:dyDescent="0.2">
      <c r="A242">
        <v>1.43343434229362</v>
      </c>
      <c r="B242" s="69">
        <v>-0.294823574365423</v>
      </c>
      <c r="C242">
        <v>1.3501861218920999E-3</v>
      </c>
      <c r="D242">
        <v>0</v>
      </c>
      <c r="E242">
        <v>0.12677593151320399</v>
      </c>
      <c r="F242">
        <v>1.14783058264336E-2</v>
      </c>
      <c r="G242">
        <f>SQRT(Calcs!J243)</f>
        <v>0.10913909022961121</v>
      </c>
      <c r="H242" s="71">
        <f t="shared" si="15"/>
        <v>1.7636841283592775E-2</v>
      </c>
      <c r="I242" s="70">
        <f>LN(Calcs!L244/Calcs!L243)</f>
        <v>-1.0119523947227035E-2</v>
      </c>
      <c r="J242" s="76">
        <f t="shared" si="16"/>
        <v>-2.1597829773660635E-2</v>
      </c>
      <c r="K242" s="72">
        <f t="shared" si="17"/>
        <v>1545.5840270742754</v>
      </c>
      <c r="L242" s="72">
        <f t="shared" si="18"/>
        <v>1606.3240392687067</v>
      </c>
      <c r="M242" s="75">
        <f t="shared" si="19"/>
        <v>-60.740012194431301</v>
      </c>
    </row>
    <row r="243" spans="1:13" x14ac:dyDescent="0.2">
      <c r="A243">
        <v>5.1447634903235603E-2</v>
      </c>
      <c r="B243" s="69">
        <v>-0.61079902308961698</v>
      </c>
      <c r="C243">
        <v>0.83329187875362398</v>
      </c>
      <c r="D243">
        <v>0</v>
      </c>
      <c r="E243">
        <v>0.116726207180872</v>
      </c>
      <c r="F243">
        <v>4.1386144398171902E-4</v>
      </c>
      <c r="G243">
        <f>SQRT(Calcs!J244)</f>
        <v>0.11684226394747779</v>
      </c>
      <c r="H243" s="71">
        <f t="shared" si="15"/>
        <v>-1.16056766605796E-4</v>
      </c>
      <c r="I243" s="70">
        <f>LN(Calcs!L245/Calcs!L244)</f>
        <v>3.5150807835760121E-3</v>
      </c>
      <c r="J243" s="76">
        <f t="shared" si="16"/>
        <v>3.1012193395942929E-3</v>
      </c>
      <c r="K243" s="72">
        <f t="shared" si="17"/>
        <v>1551.0264394430376</v>
      </c>
      <c r="L243" s="72">
        <f t="shared" si="18"/>
        <v>1606.9889724407114</v>
      </c>
      <c r="M243" s="75">
        <f t="shared" si="19"/>
        <v>-55.962532997673861</v>
      </c>
    </row>
    <row r="244" spans="1:13" x14ac:dyDescent="0.2">
      <c r="A244">
        <v>1.3877518531127799</v>
      </c>
      <c r="B244" s="69">
        <v>-0.58761393134816897</v>
      </c>
      <c r="C244">
        <v>0.64497622357844797</v>
      </c>
      <c r="D244">
        <v>0</v>
      </c>
      <c r="E244">
        <v>9.7993001512033398E-2</v>
      </c>
      <c r="F244">
        <v>8.6101076695549901E-3</v>
      </c>
      <c r="G244">
        <f>SQRT(Calcs!J245)</f>
        <v>8.2728514715197474E-2</v>
      </c>
      <c r="H244" s="71">
        <f t="shared" si="15"/>
        <v>1.5264486796835924E-2</v>
      </c>
      <c r="I244" s="70">
        <f>LN(Calcs!L246/Calcs!L245)</f>
        <v>0.17971367278562175</v>
      </c>
      <c r="J244" s="76">
        <f t="shared" si="16"/>
        <v>0.17110356511606675</v>
      </c>
      <c r="K244" s="72">
        <f t="shared" si="17"/>
        <v>1856.3841745491995</v>
      </c>
      <c r="L244" s="72">
        <f t="shared" si="18"/>
        <v>1620.885058066383</v>
      </c>
      <c r="M244" s="75">
        <f t="shared" si="19"/>
        <v>235.49911648281659</v>
      </c>
    </row>
    <row r="245" spans="1:13" x14ac:dyDescent="0.2">
      <c r="A245">
        <v>-0.35878363155971499</v>
      </c>
      <c r="B245" s="69">
        <v>-0.31880520363204301</v>
      </c>
      <c r="C245">
        <v>-0.42719390564652698</v>
      </c>
      <c r="D245">
        <v>0</v>
      </c>
      <c r="E245">
        <v>7.9354914481356204E-2</v>
      </c>
      <c r="F245">
        <v>-1.74341661566102E-3</v>
      </c>
      <c r="G245">
        <f>SQRT(Calcs!J246)</f>
        <v>0.10352313103852828</v>
      </c>
      <c r="H245" s="71">
        <f t="shared" si="15"/>
        <v>-2.4168216557172079E-2</v>
      </c>
      <c r="I245" s="70">
        <f>LN(Calcs!L247/Calcs!L246)</f>
        <v>7.3614802010377239E-3</v>
      </c>
      <c r="J245" s="76">
        <f t="shared" si="16"/>
        <v>9.1048968166987446E-3</v>
      </c>
      <c r="K245" s="72">
        <f t="shared" si="17"/>
        <v>1870.1003335707771</v>
      </c>
      <c r="L245" s="72">
        <f t="shared" si="18"/>
        <v>1618.0616420344329</v>
      </c>
      <c r="M245" s="75">
        <f t="shared" si="19"/>
        <v>252.03869153634423</v>
      </c>
    </row>
    <row r="246" spans="1:13" x14ac:dyDescent="0.2">
      <c r="A246">
        <v>0.126197180875676</v>
      </c>
      <c r="B246" s="69">
        <v>0.62367830544327796</v>
      </c>
      <c r="C246">
        <v>-1.1148873305829099</v>
      </c>
      <c r="D246">
        <v>0</v>
      </c>
      <c r="E246">
        <v>6.7324800872834503E-2</v>
      </c>
      <c r="F246">
        <v>5.8881463396270298E-4</v>
      </c>
      <c r="G246">
        <f>SQRT(Calcs!J247)</f>
        <v>2.0958388982120154E-2</v>
      </c>
      <c r="H246" s="71">
        <f t="shared" si="15"/>
        <v>4.6366411890714346E-2</v>
      </c>
      <c r="I246" s="70">
        <f>LN(Calcs!L248/Calcs!L247)</f>
        <v>-4.1210660400707386E-5</v>
      </c>
      <c r="J246" s="76">
        <f t="shared" si="16"/>
        <v>-6.3002529436341037E-4</v>
      </c>
      <c r="K246" s="72">
        <f t="shared" si="17"/>
        <v>1870.0232670890064</v>
      </c>
      <c r="L246" s="72">
        <f t="shared" si="18"/>
        <v>1619.0146609561257</v>
      </c>
      <c r="M246" s="75">
        <f t="shared" si="19"/>
        <v>251.00860613288069</v>
      </c>
    </row>
    <row r="247" spans="1:13" x14ac:dyDescent="0.2">
      <c r="A247">
        <v>0.91813874118057004</v>
      </c>
      <c r="B247" s="69">
        <v>-0.97534766751891699</v>
      </c>
      <c r="C247">
        <v>-0.42041758115419697</v>
      </c>
      <c r="D247">
        <v>0</v>
      </c>
      <c r="E247">
        <v>8.0676039832244098E-2</v>
      </c>
      <c r="F247">
        <v>4.7157683734896597E-3</v>
      </c>
      <c r="G247">
        <f>SQRT(Calcs!J248)</f>
        <v>0</v>
      </c>
      <c r="H247" s="71">
        <f t="shared" si="15"/>
        <v>8.0676039832244098E-2</v>
      </c>
      <c r="I247" s="70">
        <f>LN(Calcs!L249/Calcs!L248)</f>
        <v>1.75706491873755E-5</v>
      </c>
      <c r="J247" s="76">
        <f t="shared" si="16"/>
        <v>-4.6981977243022843E-3</v>
      </c>
      <c r="K247" s="72">
        <f t="shared" si="17"/>
        <v>1870.0561249004704</v>
      </c>
      <c r="L247" s="72">
        <f t="shared" si="18"/>
        <v>1626.6675896275276</v>
      </c>
      <c r="M247" s="75">
        <f t="shared" si="19"/>
        <v>243.38853527294282</v>
      </c>
    </row>
    <row r="248" spans="1:13" x14ac:dyDescent="0.2">
      <c r="A248">
        <v>-1.5150993698149799</v>
      </c>
      <c r="B248" s="69">
        <v>1.51042357879582</v>
      </c>
      <c r="C248">
        <v>-0.21038445558622201</v>
      </c>
      <c r="D248">
        <v>0</v>
      </c>
      <c r="E248">
        <v>5.0244486892788202E-2</v>
      </c>
      <c r="F248">
        <v>-4.7378601434236002E-3</v>
      </c>
      <c r="G248">
        <f>SQRT(Calcs!J249)</f>
        <v>0</v>
      </c>
      <c r="H248" s="71">
        <f t="shared" si="15"/>
        <v>5.0244486892788202E-2</v>
      </c>
      <c r="I248" s="70">
        <f>LN(Calcs!L250/Calcs!L249)</f>
        <v>1.75706491873755E-5</v>
      </c>
      <c r="J248" s="76">
        <f t="shared" si="16"/>
        <v>4.7554307926109757E-3</v>
      </c>
      <c r="K248" s="72">
        <f t="shared" si="17"/>
        <v>1870.0889832892726</v>
      </c>
      <c r="L248" s="72">
        <f t="shared" si="18"/>
        <v>1618.9788944517904</v>
      </c>
      <c r="M248" s="75">
        <f t="shared" si="19"/>
        <v>251.11008883748218</v>
      </c>
    </row>
    <row r="249" spans="1:13" x14ac:dyDescent="0.2">
      <c r="A249">
        <v>-1.1242456080529299</v>
      </c>
      <c r="B249" s="69">
        <v>0.14411377779971499</v>
      </c>
      <c r="C249">
        <v>-0.273233371876697</v>
      </c>
      <c r="D249">
        <v>0</v>
      </c>
      <c r="E249">
        <v>8.7152681079877101E-2</v>
      </c>
      <c r="F249">
        <v>-6.1246969978833296E-3</v>
      </c>
      <c r="G249">
        <f>SQRT(Calcs!J250)</f>
        <v>1.521167319859704E-2</v>
      </c>
      <c r="H249" s="71">
        <f t="shared" si="15"/>
        <v>7.1941007881280064E-2</v>
      </c>
      <c r="I249" s="70">
        <f>LN(Calcs!L251/Calcs!L250)</f>
        <v>-6.8986986173248069E-4</v>
      </c>
      <c r="J249" s="76">
        <f t="shared" si="16"/>
        <v>5.434827136150849E-3</v>
      </c>
      <c r="K249" s="72">
        <f t="shared" si="17"/>
        <v>1868.7993101654017</v>
      </c>
      <c r="L249" s="72">
        <f t="shared" si="18"/>
        <v>1609.0934428769276</v>
      </c>
      <c r="M249" s="75">
        <f t="shared" si="19"/>
        <v>259.70586728847411</v>
      </c>
    </row>
    <row r="250" spans="1:13" x14ac:dyDescent="0.2">
      <c r="A250">
        <v>-0.47233061768481099</v>
      </c>
      <c r="B250" s="69">
        <v>1.59264169871565</v>
      </c>
      <c r="C250">
        <v>1.8512230753816199</v>
      </c>
      <c r="D250">
        <v>0</v>
      </c>
      <c r="E250">
        <v>8.8087175599894804E-2</v>
      </c>
      <c r="F250">
        <v>-2.57374654508456E-3</v>
      </c>
      <c r="G250">
        <f>SQRT(Calcs!J251)</f>
        <v>3.5674769770358911E-2</v>
      </c>
      <c r="H250" s="71">
        <f t="shared" si="15"/>
        <v>5.2412405829535894E-2</v>
      </c>
      <c r="I250" s="70">
        <f>LN(Calcs!L252/Calcs!L251)</f>
        <v>2.394105234736643E-3</v>
      </c>
      <c r="J250" s="76">
        <f t="shared" si="16"/>
        <v>4.967851779821203E-3</v>
      </c>
      <c r="K250" s="72">
        <f t="shared" si="17"/>
        <v>1873.2787723889276</v>
      </c>
      <c r="L250" s="72">
        <f t="shared" si="18"/>
        <v>1604.9573690736072</v>
      </c>
      <c r="M250" s="75">
        <f t="shared" si="19"/>
        <v>268.32140331532037</v>
      </c>
    </row>
    <row r="251" spans="1:13" x14ac:dyDescent="0.2">
      <c r="A251">
        <v>-0.25899894594352701</v>
      </c>
      <c r="B251" s="69">
        <v>0.102029701454738</v>
      </c>
      <c r="C251">
        <v>1.87493455970395</v>
      </c>
      <c r="D251">
        <v>0</v>
      </c>
      <c r="E251">
        <v>0.127945346305748</v>
      </c>
      <c r="F251">
        <v>-2.0573620394721001E-3</v>
      </c>
      <c r="G251">
        <f>SQRT(Calcs!J252)</f>
        <v>0</v>
      </c>
      <c r="H251" s="71">
        <f t="shared" si="15"/>
        <v>0.127945346305748</v>
      </c>
      <c r="I251" s="70">
        <f>LN(Calcs!L253/Calcs!L252)</f>
        <v>1.75706491873755E-5</v>
      </c>
      <c r="J251" s="76">
        <f t="shared" si="16"/>
        <v>2.0749326886594756E-3</v>
      </c>
      <c r="K251" s="72">
        <f t="shared" si="17"/>
        <v>1873.3116874022355</v>
      </c>
      <c r="L251" s="72">
        <f t="shared" si="18"/>
        <v>1601.6587850617725</v>
      </c>
      <c r="M251" s="75">
        <f t="shared" si="19"/>
        <v>271.65290234046302</v>
      </c>
    </row>
    <row r="252" spans="1:13" x14ac:dyDescent="0.2">
      <c r="A252">
        <v>-0.74861289027723299</v>
      </c>
      <c r="B252" s="69">
        <v>0.56052488078775797</v>
      </c>
      <c r="C252">
        <v>0.108565853967105</v>
      </c>
      <c r="D252">
        <v>0</v>
      </c>
      <c r="E252">
        <v>0.12852492535542701</v>
      </c>
      <c r="F252">
        <v>-6.0311789548299797E-3</v>
      </c>
      <c r="G252">
        <f>SQRT(Calcs!J253)</f>
        <v>0</v>
      </c>
      <c r="H252" s="71">
        <f t="shared" si="15"/>
        <v>0.12852492535542701</v>
      </c>
      <c r="I252" s="70">
        <f>LN(Calcs!L254/Calcs!L253)</f>
        <v>1.75706491873755E-5</v>
      </c>
      <c r="J252" s="76">
        <f t="shared" si="16"/>
        <v>6.0487496040173552E-3</v>
      </c>
      <c r="K252" s="72">
        <f t="shared" si="17"/>
        <v>1873.3446029938868</v>
      </c>
      <c r="L252" s="72">
        <f t="shared" si="18"/>
        <v>1592.0279660943249</v>
      </c>
      <c r="M252" s="75">
        <f t="shared" si="19"/>
        <v>281.3166368995619</v>
      </c>
    </row>
    <row r="253" spans="1:13" x14ac:dyDescent="0.2">
      <c r="A253">
        <v>1.18167746806549</v>
      </c>
      <c r="B253" s="69">
        <v>-1.64447617655173</v>
      </c>
      <c r="C253">
        <v>0.40099963248385001</v>
      </c>
      <c r="D253">
        <v>0</v>
      </c>
      <c r="E253">
        <v>0.141335369038155</v>
      </c>
      <c r="F253">
        <v>1.05437821637939E-2</v>
      </c>
      <c r="G253">
        <f>SQRT(Calcs!J254)</f>
        <v>0</v>
      </c>
      <c r="H253" s="71">
        <f t="shared" si="15"/>
        <v>0.141335369038155</v>
      </c>
      <c r="I253" s="70">
        <f>LN(Calcs!L255/Calcs!L254)</f>
        <v>1.75706491873755E-5</v>
      </c>
      <c r="J253" s="76">
        <f t="shared" si="16"/>
        <v>-1.0526211514606525E-2</v>
      </c>
      <c r="K253" s="72">
        <f t="shared" si="17"/>
        <v>1873.3775191638915</v>
      </c>
      <c r="L253" s="72">
        <f t="shared" si="18"/>
        <v>1608.9027679523406</v>
      </c>
      <c r="M253" s="75">
        <f t="shared" si="19"/>
        <v>264.47475121155094</v>
      </c>
    </row>
    <row r="254" spans="1:13" x14ac:dyDescent="0.2">
      <c r="A254">
        <v>-0.12500272289723299</v>
      </c>
      <c r="B254" s="69">
        <v>-0.20893524418460499</v>
      </c>
      <c r="C254">
        <v>1.41692474850501</v>
      </c>
      <c r="D254">
        <v>0</v>
      </c>
      <c r="E254">
        <v>9.5245865716985206E-2</v>
      </c>
      <c r="F254">
        <v>-7.0540893944168398E-4</v>
      </c>
      <c r="G254">
        <f>SQRT(Calcs!J255)</f>
        <v>0</v>
      </c>
      <c r="H254" s="71">
        <f t="shared" si="15"/>
        <v>9.5245865716985206E-2</v>
      </c>
      <c r="I254" s="70">
        <f>LN(Calcs!L256/Calcs!L255)</f>
        <v>1.75706491873755E-5</v>
      </c>
      <c r="J254" s="76">
        <f t="shared" si="16"/>
        <v>7.2297958862905945E-4</v>
      </c>
      <c r="K254" s="72">
        <f t="shared" si="17"/>
        <v>1873.4104359122598</v>
      </c>
      <c r="L254" s="72">
        <f t="shared" si="18"/>
        <v>1607.7682337594608</v>
      </c>
      <c r="M254" s="75">
        <f t="shared" si="19"/>
        <v>265.64220215279897</v>
      </c>
    </row>
    <row r="255" spans="1:13" x14ac:dyDescent="0.2">
      <c r="A255">
        <v>0.60723886547690897</v>
      </c>
      <c r="B255" s="69">
        <v>0.98267684560796997</v>
      </c>
      <c r="C255">
        <v>-0.831623683160996</v>
      </c>
      <c r="D255">
        <v>0</v>
      </c>
      <c r="E255">
        <v>8.6833758327871505E-2</v>
      </c>
      <c r="F255">
        <v>3.36924138495073E-3</v>
      </c>
      <c r="G255">
        <f>SQRT(Calcs!J256)</f>
        <v>0</v>
      </c>
      <c r="H255" s="71">
        <f t="shared" si="15"/>
        <v>8.6833758327871505E-2</v>
      </c>
      <c r="I255" s="70">
        <f>LN(Calcs!L257/Calcs!L256)</f>
        <v>1.75706491873755E-5</v>
      </c>
      <c r="J255" s="76">
        <f t="shared" si="16"/>
        <v>-3.3516707357633545E-3</v>
      </c>
      <c r="K255" s="72">
        <f t="shared" si="17"/>
        <v>1873.4433532390017</v>
      </c>
      <c r="L255" s="72">
        <f t="shared" si="18"/>
        <v>1613.1943288090633</v>
      </c>
      <c r="M255" s="75">
        <f t="shared" si="19"/>
        <v>260.24902442993834</v>
      </c>
    </row>
    <row r="256" spans="1:13" x14ac:dyDescent="0.2">
      <c r="A256">
        <v>2.85080563807694</v>
      </c>
      <c r="B256" s="69">
        <v>-1.1003241795585199</v>
      </c>
      <c r="C256">
        <v>-1.0132213939611801</v>
      </c>
      <c r="D256">
        <v>0</v>
      </c>
      <c r="E256">
        <v>0.110361508102719</v>
      </c>
      <c r="F256">
        <v>1.9857578938766801E-2</v>
      </c>
      <c r="G256">
        <f>SQRT(Calcs!J257)</f>
        <v>0</v>
      </c>
      <c r="H256" s="71">
        <f t="shared" si="15"/>
        <v>0.110361508102719</v>
      </c>
      <c r="I256" s="70">
        <f>LN(Calcs!L258/Calcs!L257)</f>
        <v>1.75706491873755E-5</v>
      </c>
      <c r="J256" s="76">
        <f t="shared" si="16"/>
        <v>-1.9840008289579426E-2</v>
      </c>
      <c r="K256" s="72">
        <f t="shared" si="17"/>
        <v>1873.4762711441274</v>
      </c>
      <c r="L256" s="72">
        <f t="shared" si="18"/>
        <v>1645.5486385014149</v>
      </c>
      <c r="M256" s="75">
        <f t="shared" si="19"/>
        <v>227.92763264271252</v>
      </c>
    </row>
    <row r="257" spans="1:13" x14ac:dyDescent="0.2">
      <c r="A257">
        <v>-0.29497132793826297</v>
      </c>
      <c r="B257" s="69">
        <v>0.148894287276334</v>
      </c>
      <c r="C257">
        <v>1.52012424717094</v>
      </c>
      <c r="D257">
        <v>0</v>
      </c>
      <c r="E257">
        <v>7.8145221438069901E-2</v>
      </c>
      <c r="F257">
        <v>-1.4015700692036801E-3</v>
      </c>
      <c r="G257">
        <f>SQRT(Calcs!J258)</f>
        <v>3.2321186772230052E-2</v>
      </c>
      <c r="H257" s="71">
        <f t="shared" si="15"/>
        <v>4.5824034665839848E-2</v>
      </c>
      <c r="I257" s="70">
        <f>LN(Calcs!L259/Calcs!L258)</f>
        <v>1.4407865230025155E-3</v>
      </c>
      <c r="J257" s="76">
        <f t="shared" si="16"/>
        <v>2.8423565922061954E-3</v>
      </c>
      <c r="K257" s="72">
        <f t="shared" si="17"/>
        <v>1876.1774959836473</v>
      </c>
      <c r="L257" s="72">
        <f t="shared" si="18"/>
        <v>1643.2439022842073</v>
      </c>
      <c r="M257" s="75">
        <f t="shared" si="19"/>
        <v>232.93359369944005</v>
      </c>
    </row>
    <row r="258" spans="1:13" x14ac:dyDescent="0.2">
      <c r="A258">
        <v>-1.0050394255498201</v>
      </c>
      <c r="B258" s="69">
        <v>1.41914626091598</v>
      </c>
      <c r="C258">
        <v>-0.15153447793147501</v>
      </c>
      <c r="D258">
        <v>0</v>
      </c>
      <c r="E258">
        <v>7.8921389945577999E-2</v>
      </c>
      <c r="F258">
        <v>-4.94639482582251E-3</v>
      </c>
      <c r="G258">
        <f>SQRT(Calcs!J259)</f>
        <v>0</v>
      </c>
      <c r="H258" s="71">
        <f t="shared" si="15"/>
        <v>7.8921389945577999E-2</v>
      </c>
      <c r="I258" s="70">
        <f>LN(Calcs!L260/Calcs!L259)</f>
        <v>1.75706491873755E-5</v>
      </c>
      <c r="J258" s="76">
        <f t="shared" si="16"/>
        <v>4.9639654750098855E-3</v>
      </c>
      <c r="K258" s="72">
        <f t="shared" si="17"/>
        <v>1876.2104619298582</v>
      </c>
      <c r="L258" s="72">
        <f t="shared" si="18"/>
        <v>1635.1358385222431</v>
      </c>
      <c r="M258" s="75">
        <f t="shared" si="19"/>
        <v>241.07462340761504</v>
      </c>
    </row>
    <row r="259" spans="1:13" x14ac:dyDescent="0.2">
      <c r="A259">
        <v>-0.623568289334269</v>
      </c>
      <c r="B259" s="69">
        <v>-0.13575029814181799</v>
      </c>
      <c r="C259">
        <v>-1.5277514499213001</v>
      </c>
      <c r="D259">
        <v>0</v>
      </c>
      <c r="E259">
        <v>0.114009237903814</v>
      </c>
      <c r="F259">
        <v>-4.4416016581360299E-3</v>
      </c>
      <c r="G259">
        <f>SQRT(Calcs!J260)</f>
        <v>0</v>
      </c>
      <c r="H259" s="71">
        <f t="shared" ref="H259:H316" si="20">E259-G259</f>
        <v>0.114009237903814</v>
      </c>
      <c r="I259" s="70">
        <f>LN(Calcs!L261/Calcs!L260)</f>
        <v>1.75706491873755E-5</v>
      </c>
      <c r="J259" s="76">
        <f t="shared" ref="J259:J316" si="21">I259-F259</f>
        <v>4.4591723073234054E-3</v>
      </c>
      <c r="K259" s="72">
        <f t="shared" ref="K259:K316" si="22">EXP(I259)*K258</f>
        <v>1876.2434284553071</v>
      </c>
      <c r="L259" s="72">
        <f t="shared" ref="L259:L316" si="23">EXP(F259)*L258</f>
        <v>1627.8893214548609</v>
      </c>
      <c r="M259" s="75">
        <f t="shared" ref="M259:M316" si="24">K259-L259</f>
        <v>248.35410700044622</v>
      </c>
    </row>
    <row r="260" spans="1:13" x14ac:dyDescent="0.2">
      <c r="A260">
        <v>-0.65709451950565001</v>
      </c>
      <c r="B260" s="69">
        <v>-0.53627840482904998</v>
      </c>
      <c r="C260">
        <v>-0.54523749092482299</v>
      </c>
      <c r="D260">
        <v>0</v>
      </c>
      <c r="E260">
        <v>0.108010424252292</v>
      </c>
      <c r="F260">
        <v>-4.4314320768239499E-3</v>
      </c>
      <c r="G260">
        <f>SQRT(Calcs!J261)</f>
        <v>0</v>
      </c>
      <c r="H260" s="71">
        <f t="shared" si="20"/>
        <v>0.108010424252292</v>
      </c>
      <c r="I260" s="70">
        <f>LN(Calcs!L262/Calcs!L261)</f>
        <v>1.75706491873755E-5</v>
      </c>
      <c r="J260" s="76">
        <f t="shared" si="21"/>
        <v>4.4490027260113254E-3</v>
      </c>
      <c r="K260" s="72">
        <f t="shared" si="22"/>
        <v>1876.2763955600044</v>
      </c>
      <c r="L260" s="72">
        <f t="shared" si="23"/>
        <v>1620.6914008255756</v>
      </c>
      <c r="M260" s="75">
        <f t="shared" si="24"/>
        <v>255.58499473442885</v>
      </c>
    </row>
    <row r="261" spans="1:13" x14ac:dyDescent="0.2">
      <c r="A261">
        <v>-0.344977686402548</v>
      </c>
      <c r="B261" s="69">
        <v>-0.60151807356913001</v>
      </c>
      <c r="C261">
        <v>0.31984306415031399</v>
      </c>
      <c r="D261">
        <v>0</v>
      </c>
      <c r="E261">
        <v>9.1077306172839698E-2</v>
      </c>
      <c r="F261">
        <v>-1.93311201191014E-3</v>
      </c>
      <c r="G261">
        <f>SQRT(Calcs!J262)</f>
        <v>0</v>
      </c>
      <c r="H261" s="71">
        <f t="shared" si="20"/>
        <v>9.1077306172839698E-2</v>
      </c>
      <c r="I261" s="70">
        <f>LN(Calcs!L263/Calcs!L262)</f>
        <v>1.75706491873755E-5</v>
      </c>
      <c r="J261" s="76">
        <f t="shared" si="21"/>
        <v>1.9506826610975155E-3</v>
      </c>
      <c r="K261" s="72">
        <f t="shared" si="22"/>
        <v>1876.3093632439602</v>
      </c>
      <c r="L261" s="72">
        <f t="shared" si="23"/>
        <v>1617.5614490594169</v>
      </c>
      <c r="M261" s="75">
        <f t="shared" si="24"/>
        <v>258.74791418454333</v>
      </c>
    </row>
    <row r="262" spans="1:13" x14ac:dyDescent="0.2">
      <c r="A262">
        <v>1.7841944504565901</v>
      </c>
      <c r="B262" s="69">
        <v>-0.94032914084677899</v>
      </c>
      <c r="C262">
        <v>2.0778149272479398</v>
      </c>
      <c r="D262">
        <v>0</v>
      </c>
      <c r="E262">
        <v>7.1785094400360405E-2</v>
      </c>
      <c r="F262">
        <v>8.1205645936676292E-3</v>
      </c>
      <c r="G262">
        <f>SQRT(Calcs!J263)</f>
        <v>0</v>
      </c>
      <c r="H262" s="71">
        <f t="shared" si="20"/>
        <v>7.1785094400360405E-2</v>
      </c>
      <c r="I262" s="70">
        <f>LN(Calcs!L264/Calcs!L263)</f>
        <v>1.75706491873755E-5</v>
      </c>
      <c r="J262" s="76">
        <f t="shared" si="21"/>
        <v>-8.1029939444802537E-3</v>
      </c>
      <c r="K262" s="72">
        <f t="shared" si="22"/>
        <v>1876.3423315071848</v>
      </c>
      <c r="L262" s="72">
        <f t="shared" si="23"/>
        <v>1630.7504398391588</v>
      </c>
      <c r="M262" s="75">
        <f t="shared" si="24"/>
        <v>245.59189166802594</v>
      </c>
    </row>
    <row r="263" spans="1:13" x14ac:dyDescent="0.2">
      <c r="A263">
        <v>0.60490821488423496</v>
      </c>
      <c r="B263" s="69">
        <v>-0.180970123465517</v>
      </c>
      <c r="C263">
        <v>-0.347590510391657</v>
      </c>
      <c r="D263">
        <v>0</v>
      </c>
      <c r="E263">
        <v>4.1420294688803601E-2</v>
      </c>
      <c r="F263">
        <v>1.63754026182008E-3</v>
      </c>
      <c r="G263">
        <f>SQRT(Calcs!J264)</f>
        <v>0</v>
      </c>
      <c r="H263" s="71">
        <f t="shared" si="20"/>
        <v>4.1420294688803601E-2</v>
      </c>
      <c r="I263" s="70">
        <f>LN(Calcs!L265/Calcs!L264)</f>
        <v>1.75706491873755E-5</v>
      </c>
      <c r="J263" s="76">
        <f t="shared" si="21"/>
        <v>-1.6199696126327045E-3</v>
      </c>
      <c r="K263" s="72">
        <f t="shared" si="22"/>
        <v>1876.3753003496884</v>
      </c>
      <c r="L263" s="72">
        <f t="shared" si="23"/>
        <v>1633.4230469950626</v>
      </c>
      <c r="M263" s="75">
        <f t="shared" si="24"/>
        <v>242.95225335462578</v>
      </c>
    </row>
    <row r="264" spans="1:13" x14ac:dyDescent="0.2">
      <c r="A264">
        <v>-0.86542628809961497</v>
      </c>
      <c r="B264" s="69">
        <v>0.44635604825205299</v>
      </c>
      <c r="C264">
        <v>1.85393162094094</v>
      </c>
      <c r="D264">
        <v>0</v>
      </c>
      <c r="E264">
        <v>2.9268519568423801E-2</v>
      </c>
      <c r="F264">
        <v>-1.53472607905428E-3</v>
      </c>
      <c r="G264">
        <f>SQRT(Calcs!J265)</f>
        <v>0</v>
      </c>
      <c r="H264" s="71">
        <f t="shared" si="20"/>
        <v>2.9268519568423801E-2</v>
      </c>
      <c r="I264" s="70">
        <f>LN(Calcs!L266/Calcs!L265)</f>
        <v>1.75706491873755E-5</v>
      </c>
      <c r="J264" s="76">
        <f t="shared" si="21"/>
        <v>1.5522967282416554E-3</v>
      </c>
      <c r="K264" s="72">
        <f t="shared" si="22"/>
        <v>1876.4082697714809</v>
      </c>
      <c r="L264" s="72">
        <f t="shared" si="23"/>
        <v>1630.9181127323541</v>
      </c>
      <c r="M264" s="75">
        <f t="shared" si="24"/>
        <v>245.49015703912687</v>
      </c>
    </row>
    <row r="265" spans="1:13" x14ac:dyDescent="0.2">
      <c r="A265">
        <v>-0.57996245289996795</v>
      </c>
      <c r="B265" s="69">
        <v>0.63634347131386704</v>
      </c>
      <c r="C265">
        <v>1.07548248655074</v>
      </c>
      <c r="D265">
        <v>0</v>
      </c>
      <c r="E265">
        <v>3.45852438239138E-2</v>
      </c>
      <c r="F265">
        <v>-1.20331987543965E-3</v>
      </c>
      <c r="G265">
        <f>SQRT(Calcs!J266)</f>
        <v>0</v>
      </c>
      <c r="H265" s="71">
        <f t="shared" si="20"/>
        <v>3.45852438239138E-2</v>
      </c>
      <c r="I265" s="70">
        <f>LN(Calcs!L267/Calcs!L266)</f>
        <v>1.75706491873755E-5</v>
      </c>
      <c r="J265" s="76">
        <f t="shared" si="21"/>
        <v>1.2208905246270255E-3</v>
      </c>
      <c r="K265" s="72">
        <f t="shared" si="22"/>
        <v>1876.4412397725728</v>
      </c>
      <c r="L265" s="72">
        <f t="shared" si="23"/>
        <v>1628.9567768459804</v>
      </c>
      <c r="M265" s="75">
        <f t="shared" si="24"/>
        <v>247.48446292659241</v>
      </c>
    </row>
    <row r="266" spans="1:13" x14ac:dyDescent="0.2">
      <c r="A266">
        <v>0.31380446187160399</v>
      </c>
      <c r="B266" s="69">
        <v>-0.32799453001234902</v>
      </c>
      <c r="C266">
        <v>-1.7249146798067201</v>
      </c>
      <c r="D266">
        <v>0</v>
      </c>
      <c r="E266">
        <v>4.6327270650465303E-2</v>
      </c>
      <c r="F266">
        <v>9.7412856955059104E-4</v>
      </c>
      <c r="G266">
        <f>SQRT(Calcs!J267)</f>
        <v>0</v>
      </c>
      <c r="H266" s="71">
        <f t="shared" si="20"/>
        <v>4.6327270650465303E-2</v>
      </c>
      <c r="I266" s="70">
        <f>LN(Calcs!L268/Calcs!L267)</f>
        <v>1.75706491873755E-5</v>
      </c>
      <c r="J266" s="76">
        <f t="shared" si="21"/>
        <v>-9.5655792036321557E-4</v>
      </c>
      <c r="K266" s="72">
        <f t="shared" si="22"/>
        <v>1876.4742103529738</v>
      </c>
      <c r="L266" s="72">
        <f t="shared" si="23"/>
        <v>1630.5443633119937</v>
      </c>
      <c r="M266" s="75">
        <f t="shared" si="24"/>
        <v>245.92984704098012</v>
      </c>
    </row>
    <row r="267" spans="1:13" x14ac:dyDescent="0.2">
      <c r="A267">
        <v>0.43995224105634101</v>
      </c>
      <c r="B267" s="69">
        <v>-5.96704878522414E-3</v>
      </c>
      <c r="C267">
        <v>1.0291605883302599</v>
      </c>
      <c r="D267">
        <v>0</v>
      </c>
      <c r="E267">
        <v>3.05395987345502E-2</v>
      </c>
      <c r="F267">
        <v>9.0713335034999702E-4</v>
      </c>
      <c r="G267">
        <f>SQRT(Calcs!J268)</f>
        <v>7.0302807229413108E-2</v>
      </c>
      <c r="H267" s="71">
        <f t="shared" si="20"/>
        <v>-3.9763208494862909E-2</v>
      </c>
      <c r="I267" s="70">
        <f>LN(Calcs!L269/Calcs!L268)</f>
        <v>8.1528243263241998E-4</v>
      </c>
      <c r="J267" s="76">
        <f t="shared" si="21"/>
        <v>-9.1850917717577044E-5</v>
      </c>
      <c r="K267" s="72">
        <f t="shared" si="22"/>
        <v>1878.0046906140235</v>
      </c>
      <c r="L267" s="72">
        <f t="shared" si="23"/>
        <v>1632.0241555661562</v>
      </c>
      <c r="M267" s="75">
        <f t="shared" si="24"/>
        <v>245.98053504786731</v>
      </c>
    </row>
    <row r="268" spans="1:13" x14ac:dyDescent="0.2">
      <c r="A268">
        <v>-0.16216702428073401</v>
      </c>
      <c r="B268" s="69">
        <v>-4.9703352928822997E-2</v>
      </c>
      <c r="C268">
        <v>0.53351424337638798</v>
      </c>
      <c r="D268">
        <v>0</v>
      </c>
      <c r="E268">
        <v>2.09378557122674E-2</v>
      </c>
      <c r="F268">
        <v>-1.52164150786545E-4</v>
      </c>
      <c r="G268">
        <f>SQRT(Calcs!J269)</f>
        <v>9.2808247489356469E-2</v>
      </c>
      <c r="H268" s="71">
        <f t="shared" si="20"/>
        <v>-7.1870391777089065E-2</v>
      </c>
      <c r="I268" s="70">
        <f>LN(Calcs!L270/Calcs!L269)</f>
        <v>-5.0966642000368481E-3</v>
      </c>
      <c r="J268" s="76">
        <f t="shared" si="21"/>
        <v>-4.9445000492503027E-3</v>
      </c>
      <c r="K268" s="72">
        <f t="shared" si="22"/>
        <v>1868.4574814659127</v>
      </c>
      <c r="L268" s="72">
        <f t="shared" si="23"/>
        <v>1631.7758388893885</v>
      </c>
      <c r="M268" s="75">
        <f t="shared" si="24"/>
        <v>236.68164257652415</v>
      </c>
    </row>
    <row r="269" spans="1:13" x14ac:dyDescent="0.2">
      <c r="A269">
        <v>1.2512606680837599</v>
      </c>
      <c r="B269" s="69">
        <v>-1.56326951671935</v>
      </c>
      <c r="C269">
        <v>1.07039966325098</v>
      </c>
      <c r="D269">
        <v>0</v>
      </c>
      <c r="E269">
        <v>0</v>
      </c>
      <c r="F269">
        <v>6.2597647892768702E-5</v>
      </c>
      <c r="G269">
        <f>SQRT(Calcs!J270)</f>
        <v>0.13762274372485486</v>
      </c>
      <c r="H269" s="71">
        <f t="shared" si="20"/>
        <v>-0.13762274372485486</v>
      </c>
      <c r="I269" s="70">
        <f>LN(Calcs!L271/Calcs!L270)</f>
        <v>-3.558814950518309E-3</v>
      </c>
      <c r="J269" s="76">
        <f t="shared" si="21"/>
        <v>-3.6214125984110777E-3</v>
      </c>
      <c r="K269" s="72">
        <f t="shared" si="22"/>
        <v>1861.8198051828638</v>
      </c>
      <c r="L269" s="72">
        <f t="shared" si="23"/>
        <v>1631.8779874158865</v>
      </c>
      <c r="M269" s="75">
        <f t="shared" si="24"/>
        <v>229.94181776697724</v>
      </c>
    </row>
    <row r="270" spans="1:13" x14ac:dyDescent="0.2">
      <c r="A270">
        <v>0.245942542242716</v>
      </c>
      <c r="B270" s="69">
        <v>-6.1414075124075797E-3</v>
      </c>
      <c r="C270">
        <v>-1.4462332518882</v>
      </c>
      <c r="D270">
        <v>0</v>
      </c>
      <c r="E270">
        <v>3.4720554315660603E-2</v>
      </c>
      <c r="F270">
        <v>5.9812865489835198E-4</v>
      </c>
      <c r="G270">
        <f>SQRT(Calcs!J271)</f>
        <v>0.12562523829013483</v>
      </c>
      <c r="H270" s="71">
        <f t="shared" si="20"/>
        <v>-9.0904683974474237E-2</v>
      </c>
      <c r="I270" s="70">
        <f>LN(Calcs!L272/Calcs!L271)</f>
        <v>8.0171123016541947E-4</v>
      </c>
      <c r="J270" s="76">
        <f t="shared" si="21"/>
        <v>2.0358257526706749E-4</v>
      </c>
      <c r="K270" s="72">
        <f t="shared" si="22"/>
        <v>1863.3130455230178</v>
      </c>
      <c r="L270" s="72">
        <f t="shared" si="23"/>
        <v>1632.854352368277</v>
      </c>
      <c r="M270" s="75">
        <f t="shared" si="24"/>
        <v>230.45869315474079</v>
      </c>
    </row>
    <row r="271" spans="1:13" x14ac:dyDescent="0.2">
      <c r="A271">
        <v>-0.85338802659346802</v>
      </c>
      <c r="B271" s="69">
        <v>0.90610734404943705</v>
      </c>
      <c r="C271">
        <v>-5.1496319272003599E-2</v>
      </c>
      <c r="D271">
        <v>0</v>
      </c>
      <c r="E271">
        <v>2.66188050773336E-2</v>
      </c>
      <c r="F271">
        <v>-1.36979240120622E-3</v>
      </c>
      <c r="G271">
        <f>SQRT(Calcs!J272)</f>
        <v>0.15849235451517749</v>
      </c>
      <c r="H271" s="71">
        <f t="shared" si="20"/>
        <v>-0.13187354943784388</v>
      </c>
      <c r="I271" s="70">
        <f>LN(Calcs!L273/Calcs!L272)</f>
        <v>9.7023555699990924E-3</v>
      </c>
      <c r="J271" s="76">
        <f t="shared" si="21"/>
        <v>1.1072147971205312E-2</v>
      </c>
      <c r="K271" s="72">
        <f t="shared" si="22"/>
        <v>1881.4795576996419</v>
      </c>
      <c r="L271" s="72">
        <f t="shared" si="23"/>
        <v>1630.6192120727112</v>
      </c>
      <c r="M271" s="75">
        <f t="shared" si="24"/>
        <v>250.86034562693067</v>
      </c>
    </row>
    <row r="272" spans="1:13" x14ac:dyDescent="0.2">
      <c r="A272">
        <v>-0.11379927375413</v>
      </c>
      <c r="B272" s="69">
        <v>-0.75799469004048603</v>
      </c>
      <c r="C272">
        <v>0.911695389796917</v>
      </c>
      <c r="D272">
        <v>0</v>
      </c>
      <c r="E272">
        <v>4.5372200712966097E-2</v>
      </c>
      <c r="F272">
        <v>-2.6674575549493699E-4</v>
      </c>
      <c r="G272">
        <f>SQRT(Calcs!J273)</f>
        <v>0.14110211895598609</v>
      </c>
      <c r="H272" s="71">
        <f t="shared" si="20"/>
        <v>-9.572991824301999E-2</v>
      </c>
      <c r="I272" s="70">
        <f>LN(Calcs!L274/Calcs!L273)</f>
        <v>-5.2988683333825282E-3</v>
      </c>
      <c r="J272" s="76">
        <f t="shared" si="21"/>
        <v>-5.0321225778875911E-3</v>
      </c>
      <c r="K272" s="72">
        <f t="shared" si="22"/>
        <v>1871.5362127550318</v>
      </c>
      <c r="L272" s="72">
        <f t="shared" si="23"/>
        <v>1630.1843093258719</v>
      </c>
      <c r="M272" s="75">
        <f t="shared" si="24"/>
        <v>241.35190342915985</v>
      </c>
    </row>
    <row r="273" spans="1:13" x14ac:dyDescent="0.2">
      <c r="A273">
        <v>1.1086308189254299</v>
      </c>
      <c r="B273" s="69">
        <v>-1.04844798048188</v>
      </c>
      <c r="C273">
        <v>1.04635253100651</v>
      </c>
      <c r="D273">
        <v>0</v>
      </c>
      <c r="E273">
        <v>1.2612651298512099E-2</v>
      </c>
      <c r="F273">
        <v>9.4311397878392195E-4</v>
      </c>
      <c r="G273">
        <f>SQRT(Calcs!J274)</f>
        <v>0.10726533426123291</v>
      </c>
      <c r="H273" s="71">
        <f t="shared" si="20"/>
        <v>-9.4652682962720808E-2</v>
      </c>
      <c r="I273" s="70">
        <f>LN(Calcs!L275/Calcs!L274)</f>
        <v>6.2317725845286729E-3</v>
      </c>
      <c r="J273" s="76">
        <f t="shared" si="21"/>
        <v>5.2886586057447511E-3</v>
      </c>
      <c r="K273" s="72">
        <f t="shared" si="22"/>
        <v>1883.235616967683</v>
      </c>
      <c r="L273" s="72">
        <f t="shared" si="23"/>
        <v>1631.7224841590723</v>
      </c>
      <c r="M273" s="75">
        <f t="shared" si="24"/>
        <v>251.51313280861064</v>
      </c>
    </row>
    <row r="274" spans="1:13" x14ac:dyDescent="0.2">
      <c r="A274">
        <v>-0.680730904105042</v>
      </c>
      <c r="B274" s="69">
        <v>0.11546941655382199</v>
      </c>
      <c r="C274">
        <v>0.87780621901934297</v>
      </c>
      <c r="D274">
        <v>0</v>
      </c>
      <c r="E274">
        <v>0</v>
      </c>
      <c r="F274">
        <v>6.2597647892768702E-5</v>
      </c>
      <c r="G274">
        <f>SQRT(Calcs!J275)</f>
        <v>9.5933826453001594E-2</v>
      </c>
      <c r="H274" s="71">
        <f t="shared" si="20"/>
        <v>-9.5933826453001594E-2</v>
      </c>
      <c r="I274" s="70">
        <f>LN(Calcs!L276/Calcs!L275)</f>
        <v>-9.0790764963421845E-3</v>
      </c>
      <c r="J274" s="76">
        <f t="shared" si="21"/>
        <v>-9.1416741442349528E-3</v>
      </c>
      <c r="K274" s="72">
        <f t="shared" si="22"/>
        <v>1866.2149595828516</v>
      </c>
      <c r="L274" s="72">
        <f t="shared" si="23"/>
        <v>1631.8246293455852</v>
      </c>
      <c r="M274" s="75">
        <f t="shared" si="24"/>
        <v>234.39033023726643</v>
      </c>
    </row>
    <row r="275" spans="1:13" x14ac:dyDescent="0.2">
      <c r="A275">
        <v>1.8100033893015499</v>
      </c>
      <c r="B275" s="69">
        <v>-2.7989002204175599</v>
      </c>
      <c r="C275">
        <v>-1.7511478747593701</v>
      </c>
      <c r="D275">
        <v>0</v>
      </c>
      <c r="E275">
        <v>0</v>
      </c>
      <c r="F275">
        <v>6.2597647892768702E-5</v>
      </c>
      <c r="G275">
        <f>SQRT(Calcs!J276)</f>
        <v>0.14955889224349986</v>
      </c>
      <c r="H275" s="71">
        <f t="shared" si="20"/>
        <v>-0.14955889224349986</v>
      </c>
      <c r="I275" s="70">
        <f>LN(Calcs!L277/Calcs!L276)</f>
        <v>-3.4368283575712168E-3</v>
      </c>
      <c r="J275" s="76">
        <f t="shared" si="21"/>
        <v>-3.4994260054639855E-3</v>
      </c>
      <c r="K275" s="72">
        <f t="shared" si="22"/>
        <v>1859.8121081415613</v>
      </c>
      <c r="L275" s="72">
        <f t="shared" si="23"/>
        <v>1631.9267809263467</v>
      </c>
      <c r="M275" s="75">
        <f t="shared" si="24"/>
        <v>227.8853272152146</v>
      </c>
    </row>
    <row r="276" spans="1:13" x14ac:dyDescent="0.2">
      <c r="A276">
        <v>9.0134657584814898E-2</v>
      </c>
      <c r="B276" s="69">
        <v>-1.44692408839841</v>
      </c>
      <c r="C276">
        <v>-1.62873884467382</v>
      </c>
      <c r="D276">
        <v>0</v>
      </c>
      <c r="E276">
        <v>7.0182090076524498E-2</v>
      </c>
      <c r="F276">
        <v>4.51315158402123E-4</v>
      </c>
      <c r="G276">
        <f>SQRT(Calcs!J277)</f>
        <v>0.16433177535643256</v>
      </c>
      <c r="H276" s="71">
        <f t="shared" si="20"/>
        <v>-9.4149685279908066E-2</v>
      </c>
      <c r="I276" s="70">
        <f>LN(Calcs!L278/Calcs!L277)</f>
        <v>6.5359853687956869E-3</v>
      </c>
      <c r="J276" s="76">
        <f t="shared" si="21"/>
        <v>6.084670210393564E-3</v>
      </c>
      <c r="K276" s="72">
        <f t="shared" si="22"/>
        <v>1872.007624311613</v>
      </c>
      <c r="L276" s="72">
        <f t="shared" si="23"/>
        <v>1632.6634604447936</v>
      </c>
      <c r="M276" s="75">
        <f t="shared" si="24"/>
        <v>239.34416386681937</v>
      </c>
    </row>
    <row r="277" spans="1:13" x14ac:dyDescent="0.2">
      <c r="A277">
        <v>1.9690674834886901E-2</v>
      </c>
      <c r="B277" s="69">
        <v>-7.2217989171018404E-2</v>
      </c>
      <c r="C277">
        <v>7.5297747338344797E-3</v>
      </c>
      <c r="D277">
        <v>0</v>
      </c>
      <c r="E277">
        <v>2.3124434278496701E-2</v>
      </c>
      <c r="F277">
        <v>9.0220110896822202E-5</v>
      </c>
      <c r="G277">
        <f>SQRT(Calcs!J278)</f>
        <v>0.15811827988009525</v>
      </c>
      <c r="H277" s="71">
        <f t="shared" si="20"/>
        <v>-0.13499384560159855</v>
      </c>
      <c r="I277" s="70">
        <f>LN(Calcs!L279/Calcs!L278)</f>
        <v>5.6559140962050246E-3</v>
      </c>
      <c r="J277" s="76">
        <f t="shared" si="21"/>
        <v>5.5656939853082022E-3</v>
      </c>
      <c r="K277" s="72">
        <f t="shared" si="22"/>
        <v>1882.625537319077</v>
      </c>
      <c r="L277" s="72">
        <f t="shared" si="23"/>
        <v>1632.8107661681215</v>
      </c>
      <c r="M277" s="75">
        <f t="shared" si="24"/>
        <v>249.81477115095549</v>
      </c>
    </row>
    <row r="278" spans="1:13" x14ac:dyDescent="0.2">
      <c r="A278">
        <v>2.1488694881316399</v>
      </c>
      <c r="B278" s="69">
        <v>-1.4207105025062701</v>
      </c>
      <c r="C278">
        <v>0.85810040083269101</v>
      </c>
      <c r="D278">
        <v>0</v>
      </c>
      <c r="E278">
        <v>0</v>
      </c>
      <c r="F278">
        <v>6.2597647892768702E-5</v>
      </c>
      <c r="G278">
        <f>SQRT(Calcs!J279)</f>
        <v>0.1408656763159169</v>
      </c>
      <c r="H278" s="71">
        <f t="shared" si="20"/>
        <v>-0.1408656763159169</v>
      </c>
      <c r="I278" s="70">
        <f>LN(Calcs!L280/Calcs!L279)</f>
        <v>-1.5700537976704335E-3</v>
      </c>
      <c r="J278" s="76">
        <f t="shared" si="21"/>
        <v>-1.6326514455632022E-3</v>
      </c>
      <c r="K278" s="72">
        <f t="shared" si="22"/>
        <v>1879.6720331315669</v>
      </c>
      <c r="L278" s="72">
        <f t="shared" si="23"/>
        <v>1632.9129794806606</v>
      </c>
      <c r="M278" s="75">
        <f t="shared" si="24"/>
        <v>246.75905365090625</v>
      </c>
    </row>
    <row r="279" spans="1:13" x14ac:dyDescent="0.2">
      <c r="A279">
        <v>1.78144393115846</v>
      </c>
      <c r="B279" s="69">
        <v>-2.2008457666829999</v>
      </c>
      <c r="C279">
        <v>0.15670838836968401</v>
      </c>
      <c r="D279">
        <v>0</v>
      </c>
      <c r="E279">
        <v>3.0198104239379801E-2</v>
      </c>
      <c r="F279">
        <v>3.44963219591626E-3</v>
      </c>
      <c r="G279">
        <f>SQRT(Calcs!J280)</f>
        <v>0.13962350830836748</v>
      </c>
      <c r="H279" s="71">
        <f t="shared" si="20"/>
        <v>-0.10942540406898768</v>
      </c>
      <c r="I279" s="70">
        <f>LN(Calcs!L281/Calcs!L280)</f>
        <v>8.6959427875972668E-3</v>
      </c>
      <c r="J279" s="76">
        <f t="shared" si="21"/>
        <v>5.2463105916810068E-3</v>
      </c>
      <c r="K279" s="72">
        <f t="shared" si="22"/>
        <v>1896.088829901601</v>
      </c>
      <c r="L279" s="72">
        <f t="shared" si="23"/>
        <v>1638.5556556508657</v>
      </c>
      <c r="M279" s="75">
        <f t="shared" si="24"/>
        <v>257.53317425073533</v>
      </c>
    </row>
    <row r="280" spans="1:13" x14ac:dyDescent="0.2">
      <c r="A280">
        <v>-1.12951807079128</v>
      </c>
      <c r="B280" s="69">
        <v>0.224516330757598</v>
      </c>
      <c r="C280">
        <v>7.6863931420958001E-2</v>
      </c>
      <c r="D280">
        <v>0</v>
      </c>
      <c r="E280">
        <v>1.6680442701626001E-2</v>
      </c>
      <c r="F280">
        <v>-1.1248171221277599E-3</v>
      </c>
      <c r="G280">
        <f>SQRT(Calcs!J281)</f>
        <v>0.12188657086805531</v>
      </c>
      <c r="H280" s="71">
        <f t="shared" si="20"/>
        <v>-0.10520612816642931</v>
      </c>
      <c r="I280" s="70">
        <f>LN(Calcs!L282/Calcs!L281)</f>
        <v>-1.2043489378958593E-2</v>
      </c>
      <c r="J280" s="76">
        <f t="shared" si="21"/>
        <v>-1.0918672256830833E-2</v>
      </c>
      <c r="K280" s="72">
        <f t="shared" si="22"/>
        <v>1873.3902635485181</v>
      </c>
      <c r="L280" s="72">
        <f t="shared" si="23"/>
        <v>1636.713616366708</v>
      </c>
      <c r="M280" s="75">
        <f t="shared" si="24"/>
        <v>236.67664718181004</v>
      </c>
    </row>
    <row r="281" spans="1:13" x14ac:dyDescent="0.2">
      <c r="A281">
        <v>1.45240301207606</v>
      </c>
      <c r="B281" s="69">
        <v>-0.75279519352976398</v>
      </c>
      <c r="C281">
        <v>-0.89083473583151096</v>
      </c>
      <c r="D281">
        <v>0</v>
      </c>
      <c r="E281">
        <v>5.2541706329368902E-3</v>
      </c>
      <c r="F281">
        <v>5.4326160298717599E-4</v>
      </c>
      <c r="G281">
        <f>SQRT(Calcs!J282)</f>
        <v>0.14401637614258092</v>
      </c>
      <c r="H281" s="71">
        <f t="shared" si="20"/>
        <v>-0.13876220550964402</v>
      </c>
      <c r="I281" s="70">
        <f>LN(Calcs!L283/Calcs!L282)</f>
        <v>-7.9310285692594362E-3</v>
      </c>
      <c r="J281" s="76">
        <f t="shared" si="21"/>
        <v>-8.4742901722466117E-3</v>
      </c>
      <c r="K281" s="72">
        <f t="shared" si="22"/>
        <v>1858.5911156529389</v>
      </c>
      <c r="L281" s="72">
        <f t="shared" si="23"/>
        <v>1637.6030215975477</v>
      </c>
      <c r="M281" s="75">
        <f t="shared" si="24"/>
        <v>220.98809405539123</v>
      </c>
    </row>
    <row r="282" spans="1:13" x14ac:dyDescent="0.2">
      <c r="A282">
        <v>0.27297902185705197</v>
      </c>
      <c r="B282" s="69">
        <v>-0.49067257914992102</v>
      </c>
      <c r="C282">
        <v>0.13146602228330001</v>
      </c>
      <c r="D282">
        <v>0</v>
      </c>
      <c r="E282">
        <v>0</v>
      </c>
      <c r="F282">
        <v>6.2597647892768702E-5</v>
      </c>
      <c r="G282">
        <f>SQRT(Calcs!J283)</f>
        <v>0.16532409542817206</v>
      </c>
      <c r="H282" s="71">
        <f t="shared" si="20"/>
        <v>-0.16532409542817206</v>
      </c>
      <c r="I282" s="70">
        <f>LN(Calcs!L284/Calcs!L283)</f>
        <v>6.9772429878363672E-3</v>
      </c>
      <c r="J282" s="76">
        <f t="shared" si="21"/>
        <v>6.9146453399435981E-3</v>
      </c>
      <c r="K282" s="72">
        <f t="shared" si="22"/>
        <v>1871.6043027739768</v>
      </c>
      <c r="L282" s="72">
        <f t="shared" si="23"/>
        <v>1637.7055349033942</v>
      </c>
      <c r="M282" s="75">
        <f t="shared" si="24"/>
        <v>233.89876787058256</v>
      </c>
    </row>
    <row r="283" spans="1:13" x14ac:dyDescent="0.2">
      <c r="A283">
        <v>0.68381161101547805</v>
      </c>
      <c r="B283" s="69">
        <v>-1.3245102795003401</v>
      </c>
      <c r="C283">
        <v>-0.10674287800525301</v>
      </c>
      <c r="D283">
        <v>0</v>
      </c>
      <c r="E283">
        <v>0</v>
      </c>
      <c r="F283">
        <v>6.2597647892768702E-5</v>
      </c>
      <c r="G283">
        <f>SQRT(Calcs!J284)</f>
        <v>0.11479689408975195</v>
      </c>
      <c r="H283" s="71">
        <f t="shared" si="20"/>
        <v>-0.11479689408975195</v>
      </c>
      <c r="I283" s="70">
        <f>LN(Calcs!L285/Calcs!L284)</f>
        <v>3.3532985374036973E-3</v>
      </c>
      <c r="J283" s="76">
        <f t="shared" si="21"/>
        <v>3.2907008895109286E-3</v>
      </c>
      <c r="K283" s="72">
        <f t="shared" si="22"/>
        <v>1877.8908852481284</v>
      </c>
      <c r="L283" s="72">
        <f t="shared" si="23"/>
        <v>1637.8080546265332</v>
      </c>
      <c r="M283" s="75">
        <f t="shared" si="24"/>
        <v>240.08283062159512</v>
      </c>
    </row>
    <row r="284" spans="1:13" x14ac:dyDescent="0.2">
      <c r="A284">
        <v>0.310392428896821</v>
      </c>
      <c r="B284" s="69">
        <v>-1.7403698553587099</v>
      </c>
      <c r="C284">
        <v>-0.61928390652483201</v>
      </c>
      <c r="D284">
        <v>0</v>
      </c>
      <c r="E284">
        <v>2.70122069463084E-2</v>
      </c>
      <c r="F284">
        <v>5.8931649082079101E-4</v>
      </c>
      <c r="G284">
        <f>SQRT(Calcs!J285)</f>
        <v>9.5882267777252991E-2</v>
      </c>
      <c r="H284" s="71">
        <f t="shared" si="20"/>
        <v>-6.8870060830944588E-2</v>
      </c>
      <c r="I284" s="70">
        <f>LN(Calcs!L286/Calcs!L285)</f>
        <v>1.5546626460339673E-3</v>
      </c>
      <c r="J284" s="76">
        <f t="shared" si="21"/>
        <v>9.6534615521317625E-4</v>
      </c>
      <c r="K284" s="72">
        <f t="shared" si="22"/>
        <v>1880.81264264581</v>
      </c>
      <c r="L284" s="72">
        <f t="shared" si="23"/>
        <v>1638.773526378194</v>
      </c>
      <c r="M284" s="75">
        <f t="shared" si="24"/>
        <v>242.03911626761601</v>
      </c>
    </row>
    <row r="285" spans="1:13" x14ac:dyDescent="0.2">
      <c r="A285">
        <v>0.52737373193966697</v>
      </c>
      <c r="B285" s="69">
        <v>-0.930821449387081</v>
      </c>
      <c r="C285">
        <v>0.89995378263511105</v>
      </c>
      <c r="D285">
        <v>0</v>
      </c>
      <c r="E285">
        <v>0</v>
      </c>
      <c r="F285">
        <v>6.2597647892768702E-5</v>
      </c>
      <c r="G285">
        <f>SQRT(Calcs!J286)</f>
        <v>8.7829421771443997E-2</v>
      </c>
      <c r="H285" s="71">
        <f t="shared" si="20"/>
        <v>-8.7829421771443997E-2</v>
      </c>
      <c r="I285" s="70">
        <f>LN(Calcs!L287/Calcs!L286)</f>
        <v>-9.5204713570586404E-3</v>
      </c>
      <c r="J285" s="76">
        <f t="shared" si="21"/>
        <v>-9.5830690049514087E-3</v>
      </c>
      <c r="K285" s="72">
        <f t="shared" si="22"/>
        <v>1862.991387735713</v>
      </c>
      <c r="L285" s="72">
        <f t="shared" si="23"/>
        <v>1638.8761129571799</v>
      </c>
      <c r="M285" s="75">
        <f t="shared" si="24"/>
        <v>224.11527477853315</v>
      </c>
    </row>
    <row r="286" spans="1:13" x14ac:dyDescent="0.2">
      <c r="A286">
        <v>1.06788281314088</v>
      </c>
      <c r="B286" s="69">
        <v>-0.608097228381002</v>
      </c>
      <c r="C286">
        <v>2.3041366589895702</v>
      </c>
      <c r="D286">
        <v>0</v>
      </c>
      <c r="E286">
        <v>1.08103129125464E-2</v>
      </c>
      <c r="F286">
        <v>7.8957870625648297E-4</v>
      </c>
      <c r="G286">
        <f>SQRT(Calcs!J287)</f>
        <v>0.1225479821753917</v>
      </c>
      <c r="H286" s="71">
        <f t="shared" si="20"/>
        <v>-0.1117376692628453</v>
      </c>
      <c r="I286" s="70">
        <f>LN(Calcs!L288/Calcs!L287)</f>
        <v>3.0316200540859649E-3</v>
      </c>
      <c r="J286" s="76">
        <f t="shared" si="21"/>
        <v>2.242041347829482E-3</v>
      </c>
      <c r="K286" s="72">
        <f t="shared" si="22"/>
        <v>1868.647839561519</v>
      </c>
      <c r="L286" s="72">
        <f t="shared" si="23"/>
        <v>1640.1706456386287</v>
      </c>
      <c r="M286" s="75">
        <f t="shared" si="24"/>
        <v>228.47719392289036</v>
      </c>
    </row>
    <row r="287" spans="1:13" x14ac:dyDescent="0.2">
      <c r="A287">
        <v>-0.32236422718911401</v>
      </c>
      <c r="B287" s="69">
        <v>0.63923282609385701</v>
      </c>
      <c r="C287">
        <v>-9.2830929221688799E-2</v>
      </c>
      <c r="D287">
        <v>0</v>
      </c>
      <c r="E287">
        <v>0</v>
      </c>
      <c r="F287">
        <v>6.2597647892768702E-5</v>
      </c>
      <c r="G287">
        <f>SQRT(Calcs!J288)</f>
        <v>0.10841272240444856</v>
      </c>
      <c r="H287" s="71">
        <f t="shared" si="20"/>
        <v>-0.10841272240444856</v>
      </c>
      <c r="I287" s="70">
        <f>LN(Calcs!L289/Calcs!L288)</f>
        <v>1.1721514419240161E-2</v>
      </c>
      <c r="J287" s="76">
        <f t="shared" si="21"/>
        <v>1.1658916771347392E-2</v>
      </c>
      <c r="K287" s="72">
        <f t="shared" si="22"/>
        <v>1890.6800956033076</v>
      </c>
      <c r="L287" s="72">
        <f t="shared" si="23"/>
        <v>1640.2733196767315</v>
      </c>
      <c r="M287" s="75">
        <f t="shared" si="24"/>
        <v>250.40677592657607</v>
      </c>
    </row>
    <row r="288" spans="1:13" x14ac:dyDescent="0.2">
      <c r="A288">
        <v>-0.491927516260805</v>
      </c>
      <c r="B288" s="69">
        <v>0.63175959563642003</v>
      </c>
      <c r="C288">
        <v>1.2054919894987199</v>
      </c>
      <c r="D288">
        <v>0</v>
      </c>
      <c r="E288">
        <v>0</v>
      </c>
      <c r="F288">
        <v>6.2597647892768702E-5</v>
      </c>
      <c r="G288">
        <f>SQRT(Calcs!J289)</f>
        <v>9.2008513191734392E-2</v>
      </c>
      <c r="H288" s="71">
        <f t="shared" si="20"/>
        <v>-9.2008513191734392E-2</v>
      </c>
      <c r="I288" s="70">
        <f>LN(Calcs!L290/Calcs!L289)</f>
        <v>5.3497986452495042E-3</v>
      </c>
      <c r="J288" s="76">
        <f t="shared" si="21"/>
        <v>5.2872009973567351E-3</v>
      </c>
      <c r="K288" s="72">
        <f t="shared" si="22"/>
        <v>1900.8219576887673</v>
      </c>
      <c r="L288" s="72">
        <f t="shared" si="23"/>
        <v>1640.3760001421888</v>
      </c>
      <c r="M288" s="75">
        <f t="shared" si="24"/>
        <v>260.44595754657848</v>
      </c>
    </row>
    <row r="289" spans="1:13" x14ac:dyDescent="0.2">
      <c r="A289">
        <v>-0.51105304190662404</v>
      </c>
      <c r="B289" s="69">
        <v>0.14349002737744099</v>
      </c>
      <c r="C289">
        <v>-0.49135331398888399</v>
      </c>
      <c r="D289">
        <v>0</v>
      </c>
      <c r="E289">
        <v>0</v>
      </c>
      <c r="F289">
        <v>6.2597647892768702E-5</v>
      </c>
      <c r="G289">
        <f>SQRT(Calcs!J290)</f>
        <v>0.10106724088890913</v>
      </c>
      <c r="H289" s="71">
        <f t="shared" si="20"/>
        <v>-0.10106724088890913</v>
      </c>
      <c r="I289" s="70">
        <f>LN(Calcs!L291/Calcs!L290)</f>
        <v>-6.3298742308787624E-3</v>
      </c>
      <c r="J289" s="76">
        <f t="shared" si="21"/>
        <v>-6.3924718787715315E-3</v>
      </c>
      <c r="K289" s="72">
        <f t="shared" si="22"/>
        <v>1888.8279939494307</v>
      </c>
      <c r="L289" s="72">
        <f t="shared" si="23"/>
        <v>1640.4786870354028</v>
      </c>
      <c r="M289" s="75">
        <f t="shared" si="24"/>
        <v>248.34930691402792</v>
      </c>
    </row>
    <row r="290" spans="1:13" x14ac:dyDescent="0.2">
      <c r="A290">
        <v>-0.73733061428160795</v>
      </c>
      <c r="B290" s="69">
        <v>0.41071910038289</v>
      </c>
      <c r="C290">
        <v>-0.93199983655935503</v>
      </c>
      <c r="D290">
        <v>0</v>
      </c>
      <c r="E290">
        <v>0</v>
      </c>
      <c r="F290">
        <v>6.2597647892768702E-5</v>
      </c>
      <c r="G290">
        <f>SQRT(Calcs!J291)</f>
        <v>0.12493172690083527</v>
      </c>
      <c r="H290" s="71">
        <f t="shared" si="20"/>
        <v>-0.12493172690083527</v>
      </c>
      <c r="I290" s="70">
        <f>LN(Calcs!L292/Calcs!L291)</f>
        <v>-3.1912012846663546E-3</v>
      </c>
      <c r="J290" s="76">
        <f t="shared" si="21"/>
        <v>-3.2537989325591233E-3</v>
      </c>
      <c r="K290" s="72">
        <f t="shared" si="22"/>
        <v>1882.8099710969316</v>
      </c>
      <c r="L290" s="72">
        <f t="shared" si="23"/>
        <v>1640.581380356776</v>
      </c>
      <c r="M290" s="75">
        <f t="shared" si="24"/>
        <v>242.2285907401556</v>
      </c>
    </row>
    <row r="291" spans="1:13" x14ac:dyDescent="0.2">
      <c r="A291">
        <v>-3.5082135404444E-2</v>
      </c>
      <c r="B291" s="69">
        <v>-0.232373257097024</v>
      </c>
      <c r="C291">
        <v>2.787498534849</v>
      </c>
      <c r="D291">
        <v>0</v>
      </c>
      <c r="E291">
        <v>0</v>
      </c>
      <c r="F291">
        <v>6.2597647892768702E-5</v>
      </c>
      <c r="G291">
        <f>SQRT(Calcs!J292)</f>
        <v>0.11849855125295422</v>
      </c>
      <c r="H291" s="71">
        <f t="shared" si="20"/>
        <v>-0.11849855125295422</v>
      </c>
      <c r="I291" s="70">
        <f>LN(Calcs!L293/Calcs!L292)</f>
        <v>4.2227948716497144E-3</v>
      </c>
      <c r="J291" s="76">
        <f t="shared" si="21"/>
        <v>4.1601972237569453E-3</v>
      </c>
      <c r="K291" s="72">
        <f t="shared" si="22"/>
        <v>1890.7775021721072</v>
      </c>
      <c r="L291" s="72">
        <f t="shared" si="23"/>
        <v>1640.6840801067108</v>
      </c>
      <c r="M291" s="75">
        <f t="shared" si="24"/>
        <v>250.09342206539645</v>
      </c>
    </row>
    <row r="292" spans="1:13" x14ac:dyDescent="0.2">
      <c r="A292">
        <v>1.9568116312024499</v>
      </c>
      <c r="B292" s="69">
        <v>-8.1121999079107707E-2</v>
      </c>
      <c r="C292">
        <v>0.53751510656141299</v>
      </c>
      <c r="D292">
        <v>0</v>
      </c>
      <c r="E292">
        <v>0</v>
      </c>
      <c r="F292">
        <v>6.2597647892768702E-5</v>
      </c>
      <c r="G292">
        <f>SQRT(Calcs!J293)</f>
        <v>9.5975189735971619E-2</v>
      </c>
      <c r="H292" s="71">
        <f t="shared" si="20"/>
        <v>-9.5975189735971619E-2</v>
      </c>
      <c r="I292" s="70">
        <f>LN(Calcs!L294/Calcs!L293)</f>
        <v>4.8564522299239839E-5</v>
      </c>
      <c r="J292" s="76">
        <f t="shared" si="21"/>
        <v>-1.4033125593528862E-5</v>
      </c>
      <c r="K292" s="72">
        <f t="shared" si="22"/>
        <v>1890.8693291080219</v>
      </c>
      <c r="L292" s="72">
        <f t="shared" si="23"/>
        <v>1640.7867862856097</v>
      </c>
      <c r="M292" s="75">
        <f t="shared" si="24"/>
        <v>250.08254282241228</v>
      </c>
    </row>
    <row r="293" spans="1:13" x14ac:dyDescent="0.2">
      <c r="A293">
        <v>0.11950260840995</v>
      </c>
      <c r="B293" s="69">
        <v>-0.97387465916952298</v>
      </c>
      <c r="C293">
        <v>1.6989197851136699</v>
      </c>
      <c r="D293">
        <v>0</v>
      </c>
      <c r="E293">
        <v>0</v>
      </c>
      <c r="F293">
        <v>6.2597647892768702E-5</v>
      </c>
      <c r="G293">
        <f>SQRT(Calcs!J294)</f>
        <v>7.1015477439265201E-2</v>
      </c>
      <c r="H293" s="71">
        <f t="shared" si="20"/>
        <v>-7.1015477439265201E-2</v>
      </c>
      <c r="I293" s="70">
        <f>LN(Calcs!L295/Calcs!L294)</f>
        <v>4.9712182464154318E-3</v>
      </c>
      <c r="J293" s="76">
        <f t="shared" si="21"/>
        <v>4.9086205985226627E-3</v>
      </c>
      <c r="K293" s="72">
        <f t="shared" si="22"/>
        <v>1900.2926565205005</v>
      </c>
      <c r="L293" s="72">
        <f t="shared" si="23"/>
        <v>1640.8894988938748</v>
      </c>
      <c r="M293" s="75">
        <f t="shared" si="24"/>
        <v>259.40315762662567</v>
      </c>
    </row>
    <row r="294" spans="1:13" x14ac:dyDescent="0.2">
      <c r="A294">
        <v>-0.86172288127968499</v>
      </c>
      <c r="B294" s="69">
        <v>1.1995237756794299</v>
      </c>
      <c r="C294">
        <v>1.1047575934201801</v>
      </c>
      <c r="D294">
        <v>0</v>
      </c>
      <c r="E294">
        <v>1.31703695011359E-2</v>
      </c>
      <c r="F294">
        <v>-6.52679467026407E-4</v>
      </c>
      <c r="G294">
        <f>SQRT(Calcs!J295)</f>
        <v>5.9543370415545884E-3</v>
      </c>
      <c r="H294" s="71">
        <f t="shared" si="20"/>
        <v>7.2160324595813112E-3</v>
      </c>
      <c r="I294" s="70">
        <f>LN(Calcs!L296/Calcs!L295)</f>
        <v>-9.4128956826251969E-5</v>
      </c>
      <c r="J294" s="76">
        <f t="shared" si="21"/>
        <v>5.5855051020015502E-4</v>
      </c>
      <c r="K294" s="72">
        <f t="shared" si="22"/>
        <v>1900.1137923733575</v>
      </c>
      <c r="L294" s="72">
        <f t="shared" si="23"/>
        <v>1639.8188734359205</v>
      </c>
      <c r="M294" s="75">
        <f t="shared" si="24"/>
        <v>260.29491893743693</v>
      </c>
    </row>
    <row r="295" spans="1:13" x14ac:dyDescent="0.2">
      <c r="A295">
        <v>0.46096743282675301</v>
      </c>
      <c r="B295" s="69">
        <v>7.7421529866739097E-3</v>
      </c>
      <c r="C295">
        <v>1.2891189309911399</v>
      </c>
      <c r="D295">
        <v>0</v>
      </c>
      <c r="E295">
        <v>3.8920273573950802E-2</v>
      </c>
      <c r="F295">
        <v>1.1897675366957601E-3</v>
      </c>
      <c r="G295">
        <f>SQRT(Calcs!J296)</f>
        <v>0</v>
      </c>
      <c r="H295" s="71">
        <f t="shared" si="20"/>
        <v>3.8920273573950802E-2</v>
      </c>
      <c r="I295" s="70">
        <f>LN(Calcs!L297/Calcs!L296)</f>
        <v>1.75706491873755E-5</v>
      </c>
      <c r="J295" s="76">
        <f t="shared" si="21"/>
        <v>-1.1721968875083846E-3</v>
      </c>
      <c r="K295" s="72">
        <f t="shared" si="22"/>
        <v>1900.14717889953</v>
      </c>
      <c r="L295" s="72">
        <f t="shared" si="23"/>
        <v>1641.7710377781943</v>
      </c>
      <c r="M295" s="75">
        <f t="shared" si="24"/>
        <v>258.37614112133565</v>
      </c>
    </row>
    <row r="296" spans="1:13" x14ac:dyDescent="0.2">
      <c r="A296">
        <v>-0.39355926058896901</v>
      </c>
      <c r="B296" s="69">
        <v>-0.50446297664115802</v>
      </c>
      <c r="C296">
        <v>-0.80385245646272596</v>
      </c>
      <c r="D296">
        <v>0</v>
      </c>
      <c r="E296">
        <v>3.2306139561407002E-2</v>
      </c>
      <c r="F296">
        <v>-7.4040384010438801E-4</v>
      </c>
      <c r="G296">
        <f>SQRT(Calcs!J297)</f>
        <v>1.6674234202494628E-2</v>
      </c>
      <c r="H296" s="71">
        <f t="shared" si="20"/>
        <v>1.5631905358912374E-2</v>
      </c>
      <c r="I296" s="70">
        <f>LN(Calcs!L298/Calcs!L297)</f>
        <v>-7.1867821789763726E-4</v>
      </c>
      <c r="J296" s="76">
        <f t="shared" si="21"/>
        <v>2.1725622206750748E-5</v>
      </c>
      <c r="K296" s="72">
        <f t="shared" si="22"/>
        <v>1898.7820751051925</v>
      </c>
      <c r="L296" s="72">
        <f t="shared" si="23"/>
        <v>1640.5559140938828</v>
      </c>
      <c r="M296" s="75">
        <f t="shared" si="24"/>
        <v>258.22616101130961</v>
      </c>
    </row>
    <row r="297" spans="1:13" x14ac:dyDescent="0.2">
      <c r="A297">
        <v>0.248207773558172</v>
      </c>
      <c r="B297" s="69">
        <v>-1.3453318033986701</v>
      </c>
      <c r="C297">
        <v>7.9309314828461694E-2</v>
      </c>
      <c r="D297">
        <v>0</v>
      </c>
      <c r="E297">
        <v>0</v>
      </c>
      <c r="F297">
        <v>6.2597647892768702E-5</v>
      </c>
      <c r="G297">
        <f>SQRT(Calcs!J298)</f>
        <v>5.9425621249932871E-2</v>
      </c>
      <c r="H297" s="71">
        <f t="shared" si="20"/>
        <v>-5.9425621249932871E-2</v>
      </c>
      <c r="I297" s="70">
        <f>LN(Calcs!L299/Calcs!L298)</f>
        <v>1.1233407862329819E-3</v>
      </c>
      <c r="J297" s="76">
        <f t="shared" si="21"/>
        <v>1.0607431383402133E-3</v>
      </c>
      <c r="K297" s="72">
        <f t="shared" si="22"/>
        <v>1900.916252934401</v>
      </c>
      <c r="L297" s="72">
        <f t="shared" si="23"/>
        <v>1640.6586122496396</v>
      </c>
      <c r="M297" s="75">
        <f t="shared" si="24"/>
        <v>260.25764068476133</v>
      </c>
    </row>
    <row r="298" spans="1:13" x14ac:dyDescent="0.2">
      <c r="A298">
        <v>-1.0571632521115299</v>
      </c>
      <c r="B298" s="69">
        <v>0.84547327202369105</v>
      </c>
      <c r="C298">
        <v>-0.82126491733309603</v>
      </c>
      <c r="D298">
        <v>0</v>
      </c>
      <c r="E298">
        <v>2.7713276653924101E-2</v>
      </c>
      <c r="F298">
        <v>-1.78449257101423E-3</v>
      </c>
      <c r="G298">
        <f>SQRT(Calcs!J299)</f>
        <v>3.3802890458548437E-2</v>
      </c>
      <c r="H298" s="71">
        <f t="shared" si="20"/>
        <v>-6.0896138046243366E-3</v>
      </c>
      <c r="I298" s="70">
        <f>LN(Calcs!L300/Calcs!L299)</f>
        <v>5.4706771359963569E-4</v>
      </c>
      <c r="J298" s="76">
        <f t="shared" si="21"/>
        <v>2.3315602846138658E-3</v>
      </c>
      <c r="K298" s="72">
        <f t="shared" si="22"/>
        <v>1901.9564673505561</v>
      </c>
      <c r="L298" s="72">
        <f t="shared" si="23"/>
        <v>1637.7334798592556</v>
      </c>
      <c r="M298" s="75">
        <f t="shared" si="24"/>
        <v>264.2229874913005</v>
      </c>
    </row>
    <row r="299" spans="1:13" x14ac:dyDescent="0.2">
      <c r="A299">
        <v>-0.46198142744366</v>
      </c>
      <c r="B299" s="69">
        <v>0.57250863095184601</v>
      </c>
      <c r="C299">
        <v>-6.1893284361787301E-2</v>
      </c>
      <c r="D299">
        <v>0</v>
      </c>
      <c r="E299">
        <v>4.4815049807295997E-2</v>
      </c>
      <c r="F299">
        <v>-1.2455990630500201E-3</v>
      </c>
      <c r="G299">
        <f>SQRT(Calcs!J300)</f>
        <v>2.246666493775009E-2</v>
      </c>
      <c r="H299" s="71">
        <f t="shared" si="20"/>
        <v>2.2348384869545906E-2</v>
      </c>
      <c r="I299" s="70">
        <f>LN(Calcs!L301/Calcs!L300)</f>
        <v>-5.9120602201075015E-4</v>
      </c>
      <c r="J299" s="76">
        <f t="shared" si="21"/>
        <v>6.5439304103926993E-4</v>
      </c>
      <c r="K299" s="72">
        <f t="shared" si="22"/>
        <v>1900.8323515582113</v>
      </c>
      <c r="L299" s="72">
        <f t="shared" si="23"/>
        <v>1635.6947905295651</v>
      </c>
      <c r="M299" s="75">
        <f t="shared" si="24"/>
        <v>265.13756102864613</v>
      </c>
    </row>
    <row r="300" spans="1:13" x14ac:dyDescent="0.2">
      <c r="A300">
        <v>-0.76144426292048495</v>
      </c>
      <c r="B300" s="69">
        <v>0.35686073759863601</v>
      </c>
      <c r="C300">
        <v>-3.2982287683158802</v>
      </c>
      <c r="D300">
        <v>0</v>
      </c>
      <c r="E300">
        <v>5.5621819721039599E-2</v>
      </c>
      <c r="F300">
        <v>-2.6115237171777999E-3</v>
      </c>
      <c r="G300">
        <f>SQRT(Calcs!J301)</f>
        <v>0</v>
      </c>
      <c r="H300" s="71">
        <f t="shared" si="20"/>
        <v>5.5621819721039599E-2</v>
      </c>
      <c r="I300" s="70">
        <f>LN(Calcs!L302/Calcs!L301)</f>
        <v>1.75706491873755E-5</v>
      </c>
      <c r="J300" s="76">
        <f>I300-F300</f>
        <v>2.6290943663651754E-3</v>
      </c>
      <c r="K300" s="72">
        <f t="shared" si="22"/>
        <v>1900.8657507100461</v>
      </c>
      <c r="L300" s="72">
        <f t="shared" si="23"/>
        <v>1631.4287077028505</v>
      </c>
      <c r="M300" s="75">
        <f t="shared" si="24"/>
        <v>269.4370430071956</v>
      </c>
    </row>
    <row r="301" spans="1:13" x14ac:dyDescent="0.2">
      <c r="A301">
        <v>-1.3686289325208201</v>
      </c>
      <c r="B301" s="69">
        <v>1.16041906573166</v>
      </c>
      <c r="C301">
        <v>0.81373690888690497</v>
      </c>
      <c r="D301">
        <v>0</v>
      </c>
      <c r="E301">
        <v>6.1086128741404802E-2</v>
      </c>
      <c r="F301">
        <v>-5.21137843721257E-3</v>
      </c>
      <c r="G301">
        <f>SQRT(Calcs!J302)</f>
        <v>2.9798979142509879E-2</v>
      </c>
      <c r="H301" s="71">
        <f t="shared" si="20"/>
        <v>3.128714959889492E-2</v>
      </c>
      <c r="I301" s="70">
        <f>LN(Calcs!L303/Calcs!L302)</f>
        <v>-7.4652109771010063E-4</v>
      </c>
      <c r="J301" s="76">
        <f t="shared" si="21"/>
        <v>4.4648573395024696E-3</v>
      </c>
      <c r="K301" s="72">
        <f t="shared" si="22"/>
        <v>1899.4472438617483</v>
      </c>
      <c r="L301" s="72">
        <f t="shared" si="23"/>
        <v>1622.9488304301585</v>
      </c>
      <c r="M301" s="75">
        <f t="shared" si="24"/>
        <v>276.49841343158982</v>
      </c>
    </row>
    <row r="302" spans="1:13" x14ac:dyDescent="0.2">
      <c r="A302">
        <v>-1.2970110876874501</v>
      </c>
      <c r="B302" s="69">
        <v>2.3504432376093698</v>
      </c>
      <c r="C302">
        <v>1.5760354041229101</v>
      </c>
      <c r="D302">
        <v>0</v>
      </c>
      <c r="E302">
        <v>8.8824473770487203E-2</v>
      </c>
      <c r="F302">
        <v>-7.2103731582983596E-3</v>
      </c>
      <c r="G302">
        <f>SQRT(Calcs!J303)</f>
        <v>9.3515457628830026E-3</v>
      </c>
      <c r="H302" s="71">
        <f t="shared" si="20"/>
        <v>7.9472928007604193E-2</v>
      </c>
      <c r="I302" s="70">
        <f>LN(Calcs!L304/Calcs!L303)</f>
        <v>-4.2877593802826043E-4</v>
      </c>
      <c r="J302" s="76">
        <f t="shared" si="21"/>
        <v>6.7815972202700994E-3</v>
      </c>
      <c r="K302" s="72">
        <f t="shared" si="22"/>
        <v>1898.6329811686264</v>
      </c>
      <c r="L302" s="72">
        <f t="shared" si="23"/>
        <v>1611.2888506648108</v>
      </c>
      <c r="M302" s="75">
        <f t="shared" si="24"/>
        <v>287.34413050381568</v>
      </c>
    </row>
    <row r="303" spans="1:13" x14ac:dyDescent="0.2">
      <c r="A303">
        <v>-0.47140975351957198</v>
      </c>
      <c r="B303" s="69">
        <v>-0.25055073743206102</v>
      </c>
      <c r="C303">
        <v>0.12162339370112001</v>
      </c>
      <c r="D303">
        <v>0</v>
      </c>
      <c r="E303">
        <v>0.14886428444001301</v>
      </c>
      <c r="F303">
        <v>-4.4020489882285897E-3</v>
      </c>
      <c r="G303">
        <f>SQRT(Calcs!J304)</f>
        <v>1.0445630670330542E-2</v>
      </c>
      <c r="H303" s="71">
        <f t="shared" si="20"/>
        <v>0.13841865376968246</v>
      </c>
      <c r="I303" s="70">
        <f>LN(Calcs!L305/Calcs!L304)</f>
        <v>-1.0935388412316007E-4</v>
      </c>
      <c r="J303" s="76">
        <f t="shared" si="21"/>
        <v>4.29269510410543E-3</v>
      </c>
      <c r="K303" s="72">
        <f t="shared" si="22"/>
        <v>1898.4253696293822</v>
      </c>
      <c r="L303" s="72">
        <f t="shared" si="23"/>
        <v>1604.2114671333168</v>
      </c>
      <c r="M303" s="75">
        <f t="shared" si="24"/>
        <v>294.21390249606543</v>
      </c>
    </row>
    <row r="304" spans="1:13" x14ac:dyDescent="0.2">
      <c r="A304">
        <v>0.40990291599393602</v>
      </c>
      <c r="B304" s="69">
        <v>-0.36299261054730297</v>
      </c>
      <c r="C304">
        <v>-0.91160282385728397</v>
      </c>
      <c r="D304">
        <v>0</v>
      </c>
      <c r="E304">
        <v>0.140275995493678</v>
      </c>
      <c r="F304">
        <v>3.6456858073664299E-3</v>
      </c>
      <c r="G304">
        <f>SQRT(Calcs!J305)</f>
        <v>0</v>
      </c>
      <c r="H304" s="71">
        <f t="shared" si="20"/>
        <v>0.140275995493678</v>
      </c>
      <c r="I304" s="70">
        <f>LN(Calcs!L306/Calcs!L305)</f>
        <v>1.75706491873755E-5</v>
      </c>
      <c r="J304" s="76">
        <f t="shared" si="21"/>
        <v>-3.6281151581790544E-3</v>
      </c>
      <c r="K304" s="72">
        <f t="shared" si="22"/>
        <v>1898.4587264886104</v>
      </c>
      <c r="L304" s="72">
        <f t="shared" si="23"/>
        <v>1610.0705918855558</v>
      </c>
      <c r="M304" s="75">
        <f t="shared" si="24"/>
        <v>288.3881346030546</v>
      </c>
    </row>
    <row r="305" spans="1:13" x14ac:dyDescent="0.2">
      <c r="A305">
        <v>0.625786705839394</v>
      </c>
      <c r="B305" s="69">
        <v>-1.46670656974017</v>
      </c>
      <c r="C305">
        <v>-0.41106585783522098</v>
      </c>
      <c r="D305">
        <v>0</v>
      </c>
      <c r="E305">
        <v>0.12859111039833099</v>
      </c>
      <c r="F305">
        <v>5.0989605565155E-3</v>
      </c>
      <c r="G305">
        <f>SQRT(Calcs!J306)</f>
        <v>4.4275981315925396E-2</v>
      </c>
      <c r="H305" s="71">
        <f t="shared" si="20"/>
        <v>8.4315129082405599E-2</v>
      </c>
      <c r="I305" s="70">
        <f>LN(Calcs!L307/Calcs!L306)</f>
        <v>-2.8357379845964934E-3</v>
      </c>
      <c r="J305" s="76">
        <f t="shared" si="21"/>
        <v>-7.9346985411119925E-3</v>
      </c>
      <c r="K305" s="72">
        <f t="shared" si="22"/>
        <v>1893.0828208980483</v>
      </c>
      <c r="L305" s="72">
        <f t="shared" si="23"/>
        <v>1618.3012443803382</v>
      </c>
      <c r="M305" s="75">
        <f t="shared" si="24"/>
        <v>274.78157651771016</v>
      </c>
    </row>
    <row r="306" spans="1:13" x14ac:dyDescent="0.2">
      <c r="A306">
        <v>-0.45651585297862302</v>
      </c>
      <c r="B306" s="69">
        <v>-0.95814087861268005</v>
      </c>
      <c r="C306">
        <v>-0.723929998088365</v>
      </c>
      <c r="D306">
        <v>0</v>
      </c>
      <c r="E306">
        <v>8.6980452929918295E-2</v>
      </c>
      <c r="F306">
        <v>-2.4537795509439798E-3</v>
      </c>
      <c r="G306">
        <f>SQRT(Calcs!J307)</f>
        <v>6.3625016366704965E-2</v>
      </c>
      <c r="H306" s="71">
        <f t="shared" si="20"/>
        <v>2.335543656321333E-2</v>
      </c>
      <c r="I306" s="70">
        <f>LN(Calcs!L308/Calcs!L307)</f>
        <v>3.512244804838262E-4</v>
      </c>
      <c r="J306" s="76">
        <f t="shared" si="21"/>
        <v>2.8050040314278059E-3</v>
      </c>
      <c r="K306" s="72">
        <f t="shared" si="22"/>
        <v>1893.7478347060594</v>
      </c>
      <c r="L306" s="72">
        <f t="shared" si="23"/>
        <v>1614.3351578206543</v>
      </c>
      <c r="M306" s="75">
        <f t="shared" si="24"/>
        <v>279.41267688540506</v>
      </c>
    </row>
    <row r="307" spans="1:13" x14ac:dyDescent="0.2">
      <c r="A307">
        <v>3.3930526876662898E-2</v>
      </c>
      <c r="B307" s="69">
        <v>-0.49334851895161103</v>
      </c>
      <c r="C307">
        <v>-0.33538377765142502</v>
      </c>
      <c r="D307">
        <v>0</v>
      </c>
      <c r="E307">
        <v>5.7532526211512398E-2</v>
      </c>
      <c r="F307">
        <v>1.7900150793250099E-4</v>
      </c>
      <c r="G307">
        <f>SQRT(Calcs!J308)</f>
        <v>5.3921907256233054E-2</v>
      </c>
      <c r="H307" s="71">
        <f t="shared" si="20"/>
        <v>3.6106189552793447E-3</v>
      </c>
      <c r="I307" s="70">
        <f>LN(Calcs!L309/Calcs!L308)</f>
        <v>-2.4785197753901143E-3</v>
      </c>
      <c r="J307" s="76">
        <f t="shared" si="21"/>
        <v>-2.6575212833226153E-3</v>
      </c>
      <c r="K307" s="72">
        <f t="shared" si="22"/>
        <v>1889.0599551490586</v>
      </c>
      <c r="L307" s="72">
        <f t="shared" si="23"/>
        <v>1614.6241521126481</v>
      </c>
      <c r="M307" s="75">
        <f t="shared" si="24"/>
        <v>274.43580303641056</v>
      </c>
    </row>
    <row r="308" spans="1:13" x14ac:dyDescent="0.2">
      <c r="A308">
        <v>2.6428901134616201</v>
      </c>
      <c r="B308" s="69">
        <v>-2.4259580162833601</v>
      </c>
      <c r="C308">
        <v>1.49229571539095</v>
      </c>
      <c r="D308">
        <v>0</v>
      </c>
      <c r="E308">
        <v>3.8635793489403499E-2</v>
      </c>
      <c r="F308">
        <v>6.4919711500071899E-3</v>
      </c>
      <c r="G308">
        <f>SQRT(Calcs!J309)</f>
        <v>5.016068257484449E-2</v>
      </c>
      <c r="H308" s="71">
        <f t="shared" si="20"/>
        <v>-1.1524889085440991E-2</v>
      </c>
      <c r="I308" s="70">
        <f>LN(Calcs!L310/Calcs!L309)</f>
        <v>3.1267738303961362E-3</v>
      </c>
      <c r="J308" s="76">
        <f t="shared" si="21"/>
        <v>-3.3651973196110537E-3</v>
      </c>
      <c r="K308" s="72">
        <f t="shared" si="22"/>
        <v>1894.975862413032</v>
      </c>
      <c r="L308" s="72">
        <f t="shared" si="23"/>
        <v>1625.140343999115</v>
      </c>
      <c r="M308" s="75">
        <f t="shared" si="24"/>
        <v>269.83551841391704</v>
      </c>
    </row>
    <row r="309" spans="1:13" x14ac:dyDescent="0.2">
      <c r="A309">
        <v>0.21253279445154499</v>
      </c>
      <c r="B309" s="69">
        <v>-0.94400912855444696</v>
      </c>
      <c r="C309">
        <v>0.67694223198528303</v>
      </c>
      <c r="D309">
        <v>0</v>
      </c>
      <c r="E309">
        <v>1.19559878189631E-2</v>
      </c>
      <c r="F309">
        <v>2.2238446826766499E-4</v>
      </c>
      <c r="G309">
        <f>SQRT(Calcs!J310)</f>
        <v>2.7747782508378525E-2</v>
      </c>
      <c r="H309" s="71">
        <f t="shared" si="20"/>
        <v>-1.5791794689415425E-2</v>
      </c>
      <c r="I309" s="70">
        <f>LN(Calcs!L311/Calcs!L310)</f>
        <v>-2.8622700402028385E-3</v>
      </c>
      <c r="J309" s="76">
        <f t="shared" si="21"/>
        <v>-3.0846545084705036E-3</v>
      </c>
      <c r="K309" s="72">
        <f t="shared" si="22"/>
        <v>1889.5596847543718</v>
      </c>
      <c r="L309" s="72">
        <f t="shared" si="23"/>
        <v>1625.5017901588922</v>
      </c>
      <c r="M309" s="75">
        <f t="shared" si="24"/>
        <v>264.05789459547964</v>
      </c>
    </row>
    <row r="310" spans="1:13" x14ac:dyDescent="0.2">
      <c r="A310">
        <v>1.66963096463203</v>
      </c>
      <c r="B310" s="69">
        <v>-1.70026992130818</v>
      </c>
      <c r="C310">
        <v>8.2604728462163601E-2</v>
      </c>
      <c r="D310">
        <v>0</v>
      </c>
      <c r="E310">
        <v>0</v>
      </c>
      <c r="F310">
        <v>6.2597647892768702E-5</v>
      </c>
      <c r="G310">
        <f>SQRT(Calcs!J311)</f>
        <v>5.2481727785335767E-2</v>
      </c>
      <c r="H310" s="71">
        <f t="shared" si="20"/>
        <v>-5.2481727785335767E-2</v>
      </c>
      <c r="I310" s="70">
        <f>LN(Calcs!L312/Calcs!L311)</f>
        <v>-4.0657967865030493E-3</v>
      </c>
      <c r="J310" s="76">
        <f t="shared" si="21"/>
        <v>-4.1283944343958184E-3</v>
      </c>
      <c r="K310" s="72">
        <f t="shared" si="22"/>
        <v>1881.8927157907754</v>
      </c>
      <c r="L310" s="72">
        <f t="shared" si="23"/>
        <v>1625.6035459324044</v>
      </c>
      <c r="M310" s="75">
        <f t="shared" si="24"/>
        <v>256.289169858371</v>
      </c>
    </row>
    <row r="311" spans="1:13" x14ac:dyDescent="0.2">
      <c r="A311">
        <v>-0.645710525582186</v>
      </c>
      <c r="B311" s="69">
        <v>-0.26414110018453302</v>
      </c>
      <c r="C311">
        <v>-0.28141514457073602</v>
      </c>
      <c r="D311">
        <v>0</v>
      </c>
      <c r="E311">
        <v>3.8911358386467101E-2</v>
      </c>
      <c r="F311">
        <v>-1.5231625759315999E-3</v>
      </c>
      <c r="G311">
        <f>SQRT(Calcs!J312)</f>
        <v>7.8293540263490266E-2</v>
      </c>
      <c r="H311" s="71">
        <f t="shared" si="20"/>
        <v>-3.9382181877023165E-2</v>
      </c>
      <c r="I311" s="70">
        <f>LN(Calcs!L313/Calcs!L312)</f>
        <v>-4.0579795470496614E-3</v>
      </c>
      <c r="J311" s="76">
        <f t="shared" si="21"/>
        <v>-2.5348169711180615E-3</v>
      </c>
      <c r="K311" s="72">
        <f t="shared" si="22"/>
        <v>1874.271507452461</v>
      </c>
      <c r="L311" s="72">
        <f t="shared" si="23"/>
        <v>1623.1293722106934</v>
      </c>
      <c r="M311" s="75">
        <f t="shared" si="24"/>
        <v>251.14213524176762</v>
      </c>
    </row>
    <row r="312" spans="1:13" x14ac:dyDescent="0.2">
      <c r="A312">
        <v>0.693519693825005</v>
      </c>
      <c r="B312" s="69">
        <v>0.75278584514680702</v>
      </c>
      <c r="C312">
        <v>0.20091099867437801</v>
      </c>
      <c r="D312">
        <v>0</v>
      </c>
      <c r="E312">
        <v>2.31353383849991E-2</v>
      </c>
      <c r="F312">
        <v>1.0722638580550701E-3</v>
      </c>
      <c r="G312">
        <f>SQRT(Calcs!J313)</f>
        <v>6.4339070740108834E-2</v>
      </c>
      <c r="H312" s="71">
        <f t="shared" si="20"/>
        <v>-4.1203732355109733E-2</v>
      </c>
      <c r="I312" s="70">
        <f>LN(Calcs!L314/Calcs!L313)</f>
        <v>-3.249637732238058E-3</v>
      </c>
      <c r="J312" s="76">
        <f t="shared" si="21"/>
        <v>-4.3219015902931281E-3</v>
      </c>
      <c r="K312" s="72">
        <f t="shared" si="22"/>
        <v>1868.1906896201126</v>
      </c>
      <c r="L312" s="72">
        <f t="shared" si="23"/>
        <v>1624.8707286033807</v>
      </c>
      <c r="M312" s="75">
        <f t="shared" si="24"/>
        <v>243.3199610167319</v>
      </c>
    </row>
    <row r="313" spans="1:13" x14ac:dyDescent="0.2">
      <c r="A313">
        <v>-0.147567909539843</v>
      </c>
      <c r="B313" s="69">
        <v>-9.8087424752938704E-2</v>
      </c>
      <c r="C313">
        <v>-0.46842502943740399</v>
      </c>
      <c r="D313">
        <v>0</v>
      </c>
      <c r="E313">
        <v>3.6854221895069803E-2</v>
      </c>
      <c r="F313">
        <v>-2.82690588340872E-4</v>
      </c>
      <c r="G313">
        <f>SQRT(Calcs!J314)</f>
        <v>0.11514380998057305</v>
      </c>
      <c r="H313" s="71">
        <f t="shared" si="20"/>
        <v>-7.8289588085503251E-2</v>
      </c>
      <c r="I313" s="70">
        <f>LN(Calcs!L315/Calcs!L314)</f>
        <v>3.2334656977588499E-3</v>
      </c>
      <c r="J313" s="76">
        <f t="shared" si="21"/>
        <v>3.5161562860997219E-3</v>
      </c>
      <c r="K313" s="72">
        <f t="shared" si="22"/>
        <v>1874.2411969141112</v>
      </c>
      <c r="L313" s="72">
        <f t="shared" si="23"/>
        <v>1624.4114578599508</v>
      </c>
      <c r="M313" s="75">
        <f t="shared" si="24"/>
        <v>249.82973905416043</v>
      </c>
    </row>
    <row r="314" spans="1:13" x14ac:dyDescent="0.2">
      <c r="A314">
        <v>1.0237618566967699</v>
      </c>
      <c r="B314" s="69">
        <v>-0.62730060726515002</v>
      </c>
      <c r="C314">
        <v>1.36576009800915</v>
      </c>
      <c r="D314">
        <v>0</v>
      </c>
      <c r="E314">
        <v>2.62405952198916E-2</v>
      </c>
      <c r="F314">
        <v>1.75351196342656E-3</v>
      </c>
      <c r="G314">
        <f>SQRT(Calcs!J315)</f>
        <v>9.980637420303945E-2</v>
      </c>
      <c r="H314" s="71">
        <f t="shared" si="20"/>
        <v>-7.3565778983147853E-2</v>
      </c>
      <c r="I314" s="70">
        <f>LN(Calcs!L316/Calcs!L315)</f>
        <v>-1.0697839566429194E-2</v>
      </c>
      <c r="J314" s="76">
        <f t="shared" si="21"/>
        <v>-1.2451351529855754E-2</v>
      </c>
      <c r="K314" s="72">
        <f t="shared" si="22"/>
        <v>1854.2977314776381</v>
      </c>
      <c r="L314" s="72">
        <f t="shared" si="23"/>
        <v>1627.2623816187916</v>
      </c>
      <c r="M314" s="75">
        <f t="shared" si="24"/>
        <v>227.03534985884653</v>
      </c>
    </row>
    <row r="315" spans="1:13" x14ac:dyDescent="0.2">
      <c r="A315">
        <v>-0.45655328180882099</v>
      </c>
      <c r="B315" s="69">
        <v>0.15236550490734799</v>
      </c>
      <c r="C315">
        <v>1.5349960235700599</v>
      </c>
      <c r="D315">
        <v>0</v>
      </c>
      <c r="E315">
        <v>0</v>
      </c>
      <c r="F315">
        <v>6.2597647892768702E-5</v>
      </c>
      <c r="G315">
        <f>SQRT(Calcs!J316)</f>
        <v>0.10190106178559642</v>
      </c>
      <c r="H315" s="71">
        <f t="shared" si="20"/>
        <v>-0.10190106178559642</v>
      </c>
      <c r="I315" s="70">
        <f>LN(Calcs!L317/Calcs!L316)</f>
        <v>-4.8930724885873737E-3</v>
      </c>
      <c r="J315" s="76">
        <f t="shared" si="21"/>
        <v>-4.9556701364801429E-3</v>
      </c>
      <c r="K315" s="72">
        <f t="shared" si="22"/>
        <v>1845.2466800459399</v>
      </c>
      <c r="L315" s="72">
        <f t="shared" si="23"/>
        <v>1627.3642476046375</v>
      </c>
      <c r="M315" s="75">
        <f t="shared" si="24"/>
        <v>217.8824324413024</v>
      </c>
    </row>
    <row r="316" spans="1:13" x14ac:dyDescent="0.2">
      <c r="A316">
        <v>0.66918914991700396</v>
      </c>
      <c r="B316" s="69">
        <v>-0.63244170734036198</v>
      </c>
      <c r="C316">
        <v>-0.97717343748575602</v>
      </c>
      <c r="D316">
        <v>0</v>
      </c>
      <c r="E316">
        <v>0</v>
      </c>
      <c r="F316">
        <v>6.2597647892768702E-5</v>
      </c>
      <c r="G316">
        <f>SQRT(Calcs!J317)</f>
        <v>9.3332749958258299E-2</v>
      </c>
      <c r="H316" s="71">
        <f t="shared" si="20"/>
        <v>-9.3332749958258299E-2</v>
      </c>
      <c r="I316" s="70">
        <f>LN(Calcs!L318/Calcs!L317)</f>
        <v>1.711188013046713E-2</v>
      </c>
      <c r="J316" s="76">
        <f t="shared" si="21"/>
        <v>1.7049282482574361E-2</v>
      </c>
      <c r="K316" s="72">
        <f t="shared" si="22"/>
        <v>1877.0940269220307</v>
      </c>
      <c r="L316" s="72">
        <f t="shared" si="23"/>
        <v>1627.4661199672541</v>
      </c>
      <c r="M316" s="75">
        <f t="shared" si="24"/>
        <v>249.62790695477656</v>
      </c>
    </row>
    <row r="317" spans="1:13" x14ac:dyDescent="0.2">
      <c r="B317" s="66"/>
    </row>
    <row r="318" spans="1:13" x14ac:dyDescent="0.2">
      <c r="B318" s="66"/>
    </row>
    <row r="319" spans="1:13" x14ac:dyDescent="0.2">
      <c r="B319" s="66"/>
    </row>
    <row r="320" spans="1:13" x14ac:dyDescent="0.2">
      <c r="B320" s="66"/>
    </row>
    <row r="321" spans="2:2" x14ac:dyDescent="0.2">
      <c r="B321" s="66"/>
    </row>
    <row r="322" spans="2:2" x14ac:dyDescent="0.2">
      <c r="B322" s="66"/>
    </row>
    <row r="323" spans="2:2" x14ac:dyDescent="0.2">
      <c r="B323" s="66"/>
    </row>
    <row r="324" spans="2:2" x14ac:dyDescent="0.2">
      <c r="B324" s="66"/>
    </row>
    <row r="325" spans="2:2" x14ac:dyDescent="0.2">
      <c r="B325" s="66"/>
    </row>
    <row r="326" spans="2:2" x14ac:dyDescent="0.2">
      <c r="B326" s="66"/>
    </row>
    <row r="327" spans="2:2" x14ac:dyDescent="0.2">
      <c r="B327" s="66"/>
    </row>
    <row r="328" spans="2:2" x14ac:dyDescent="0.2">
      <c r="B328" s="66"/>
    </row>
    <row r="329" spans="2:2" x14ac:dyDescent="0.2">
      <c r="B329" s="66"/>
    </row>
    <row r="330" spans="2:2" x14ac:dyDescent="0.2">
      <c r="B330" s="66"/>
    </row>
    <row r="331" spans="2:2" x14ac:dyDescent="0.2">
      <c r="B331" s="66"/>
    </row>
    <row r="332" spans="2:2" x14ac:dyDescent="0.2">
      <c r="B332" s="66"/>
    </row>
    <row r="333" spans="2:2" x14ac:dyDescent="0.2">
      <c r="B333" s="66"/>
    </row>
    <row r="334" spans="2:2" x14ac:dyDescent="0.2">
      <c r="B334" s="66"/>
    </row>
    <row r="335" spans="2:2" x14ac:dyDescent="0.2">
      <c r="B335" s="66"/>
    </row>
    <row r="336" spans="2:2" x14ac:dyDescent="0.2">
      <c r="B336" s="66"/>
    </row>
    <row r="337" spans="2:2" x14ac:dyDescent="0.2">
      <c r="B337" s="66"/>
    </row>
    <row r="338" spans="2:2" x14ac:dyDescent="0.2">
      <c r="B338" s="66"/>
    </row>
    <row r="339" spans="2:2" x14ac:dyDescent="0.2">
      <c r="B339" s="66"/>
    </row>
    <row r="340" spans="2:2" x14ac:dyDescent="0.2">
      <c r="B340" s="66"/>
    </row>
    <row r="341" spans="2:2" x14ac:dyDescent="0.2">
      <c r="B341" s="66"/>
    </row>
    <row r="342" spans="2:2" x14ac:dyDescent="0.2">
      <c r="B342" s="66"/>
    </row>
    <row r="343" spans="2:2" x14ac:dyDescent="0.2">
      <c r="B343" s="66"/>
    </row>
    <row r="344" spans="2:2" x14ac:dyDescent="0.2">
      <c r="B344" s="66"/>
    </row>
    <row r="345" spans="2:2" x14ac:dyDescent="0.2">
      <c r="B345" s="66"/>
    </row>
    <row r="346" spans="2:2" x14ac:dyDescent="0.2">
      <c r="B346" s="66"/>
    </row>
    <row r="347" spans="2:2" x14ac:dyDescent="0.2">
      <c r="B347" s="66"/>
    </row>
    <row r="348" spans="2:2" x14ac:dyDescent="0.2">
      <c r="B348" s="66"/>
    </row>
    <row r="349" spans="2:2" x14ac:dyDescent="0.2">
      <c r="B349" s="66"/>
    </row>
    <row r="350" spans="2:2" x14ac:dyDescent="0.2">
      <c r="B350" s="66"/>
    </row>
    <row r="351" spans="2:2" x14ac:dyDescent="0.2">
      <c r="B351" s="66"/>
    </row>
    <row r="352" spans="2:2" x14ac:dyDescent="0.2">
      <c r="B352" s="66"/>
    </row>
    <row r="353" spans="2:2" x14ac:dyDescent="0.2">
      <c r="B353" s="66"/>
    </row>
    <row r="354" spans="2:2" x14ac:dyDescent="0.2">
      <c r="B354" s="66"/>
    </row>
    <row r="355" spans="2:2" x14ac:dyDescent="0.2">
      <c r="B355" s="66"/>
    </row>
    <row r="356" spans="2:2" x14ac:dyDescent="0.2">
      <c r="B356" s="66"/>
    </row>
    <row r="357" spans="2:2" x14ac:dyDescent="0.2">
      <c r="B357" s="66"/>
    </row>
    <row r="358" spans="2:2" x14ac:dyDescent="0.2">
      <c r="B358" s="66"/>
    </row>
    <row r="359" spans="2:2" x14ac:dyDescent="0.2">
      <c r="B359" s="66"/>
    </row>
    <row r="360" spans="2:2" x14ac:dyDescent="0.2">
      <c r="B360" s="66"/>
    </row>
    <row r="361" spans="2:2" x14ac:dyDescent="0.2">
      <c r="B361" s="66"/>
    </row>
    <row r="362" spans="2:2" x14ac:dyDescent="0.2">
      <c r="B362" s="66"/>
    </row>
    <row r="363" spans="2:2" x14ac:dyDescent="0.2">
      <c r="B363" s="66"/>
    </row>
    <row r="364" spans="2:2" x14ac:dyDescent="0.2">
      <c r="B364" s="66"/>
    </row>
    <row r="365" spans="2:2" x14ac:dyDescent="0.2">
      <c r="B365" s="66"/>
    </row>
    <row r="366" spans="2:2" x14ac:dyDescent="0.2">
      <c r="B366" s="66"/>
    </row>
    <row r="367" spans="2:2" x14ac:dyDescent="0.2">
      <c r="B367" s="66"/>
    </row>
    <row r="368" spans="2:2" x14ac:dyDescent="0.2">
      <c r="B368" s="66"/>
    </row>
    <row r="369" spans="2:2" x14ac:dyDescent="0.2">
      <c r="B369" s="66"/>
    </row>
    <row r="370" spans="2:2" x14ac:dyDescent="0.2">
      <c r="B370" s="66"/>
    </row>
    <row r="371" spans="2:2" x14ac:dyDescent="0.2">
      <c r="B371" s="66"/>
    </row>
    <row r="372" spans="2:2" x14ac:dyDescent="0.2">
      <c r="B372" s="66"/>
    </row>
    <row r="373" spans="2:2" x14ac:dyDescent="0.2">
      <c r="B373" s="66"/>
    </row>
    <row r="374" spans="2:2" x14ac:dyDescent="0.2">
      <c r="B374" s="66"/>
    </row>
    <row r="375" spans="2:2" x14ac:dyDescent="0.2">
      <c r="B375" s="66"/>
    </row>
    <row r="376" spans="2:2" x14ac:dyDescent="0.2">
      <c r="B376" s="66"/>
    </row>
    <row r="377" spans="2:2" x14ac:dyDescent="0.2">
      <c r="B377" s="66"/>
    </row>
    <row r="378" spans="2:2" x14ac:dyDescent="0.2">
      <c r="B378" s="66"/>
    </row>
    <row r="379" spans="2:2" x14ac:dyDescent="0.2">
      <c r="B379" s="66"/>
    </row>
    <row r="380" spans="2:2" x14ac:dyDescent="0.2">
      <c r="B380" s="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</vt:lpstr>
      <vt:lpstr>Calcs</vt:lpstr>
      <vt:lpstr>Sheet1</vt:lpstr>
      <vt:lpstr>Alpha</vt:lpstr>
      <vt:lpstr>Delta</vt:lpstr>
      <vt:lpstr>dt</vt:lpstr>
      <vt:lpstr>Eta</vt:lpstr>
      <vt:lpstr>Kappa</vt:lpstr>
      <vt:lpstr>Lambda</vt:lpstr>
      <vt:lpstr>Rho</vt:lpstr>
      <vt:lpstr>S</vt:lpstr>
      <vt:lpstr>Sigma.SPX</vt:lpstr>
      <vt:lpstr>Theta</vt:lpstr>
    </vt:vector>
  </TitlesOfParts>
  <Company>AIG SunAmerica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User Name</dc:creator>
  <cp:lastModifiedBy>Liu, Lisa</cp:lastModifiedBy>
  <cp:lastPrinted>2013-04-11T22:40:37Z</cp:lastPrinted>
  <dcterms:created xsi:type="dcterms:W3CDTF">2004-12-15T15:06:42Z</dcterms:created>
  <dcterms:modified xsi:type="dcterms:W3CDTF">2013-05-15T21:58:39Z</dcterms:modified>
  <cp:contentStatus/>
</cp:coreProperties>
</file>