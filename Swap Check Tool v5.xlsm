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ummary" sheetId="1" r:id="rId1"/>
    <sheet name="DAP" sheetId="2" r:id="rId2"/>
    <sheet name="ML" sheetId="3" r:id="rId3"/>
    <sheet name="USL" sheetId="4" r:id="rId4"/>
    <sheet name="VALIC-GMWB" sheetId="5" r:id="rId5"/>
    <sheet name="VALIC-VIX-DAP" sheetId="6" r:id="rId6"/>
    <sheet name="VIX" sheetId="9" r:id="rId7"/>
    <sheet name="Input" sheetId="8" r:id="rId8"/>
  </sheets>
  <functionGroups builtInGroupCount="17"/>
  <definedNames>
    <definedName name="ArchiveFolder">Input!$C$3</definedName>
    <definedName name="DAPStart">DAP!$A$3</definedName>
    <definedName name="FormFolder">Input!$C$1</definedName>
    <definedName name="GMWBStart">'VALIC-GMWB'!$A$3</definedName>
    <definedName name="InputStart">Input!$B$5</definedName>
    <definedName name="MLStart">ML!$A$3</definedName>
    <definedName name="RiskRptPath">Input!$C$2</definedName>
    <definedName name="Status">Summary!$E$3</definedName>
    <definedName name="SummaryStart">Summary!$B$5</definedName>
    <definedName name="USLStart">USL!$A$3</definedName>
    <definedName name="VALIC_GMWBStart">'VALIC-GMWB'!$A$3</definedName>
    <definedName name="VALIC_VIXStart">'VALIC-VIX-DAP'!$A$3</definedName>
    <definedName name="VALICStart">'VALIC-GMWB'!$A$3</definedName>
    <definedName name="VALICVIXStart">'VALIC-VIX-DAP'!$A$3</definedName>
    <definedName name="VIX_DAPStart">'VALIC-VIX-DAP'!$A$3</definedName>
    <definedName name="VIXStart">VIX!$A$3</definedName>
  </definedNames>
  <calcPr calcId="145621"/>
</workbook>
</file>

<file path=xl/calcChain.xml><?xml version="1.0" encoding="utf-8"?>
<calcChain xmlns="http://schemas.openxmlformats.org/spreadsheetml/2006/main">
  <c r="E11" i="1" l="1"/>
  <c r="E7" i="1"/>
  <c r="E8" i="1"/>
  <c r="E9" i="1"/>
  <c r="E10" i="1"/>
  <c r="E6" i="1"/>
  <c r="D9" i="1" l="1"/>
  <c r="D8" i="1"/>
  <c r="D10" i="1"/>
  <c r="D11" i="1"/>
  <c r="D6" i="1"/>
  <c r="D7" i="1"/>
  <c r="C2" i="8"/>
</calcChain>
</file>

<file path=xl/sharedStrings.xml><?xml version="1.0" encoding="utf-8"?>
<sst xmlns="http://schemas.openxmlformats.org/spreadsheetml/2006/main" count="662" uniqueCount="133">
  <si>
    <t>Latest FORM Date</t>
  </si>
  <si>
    <t>FORM Folder</t>
  </si>
  <si>
    <t>Position Reconciled?</t>
  </si>
  <si>
    <t>Folder Name</t>
  </si>
  <si>
    <t>GMWB-DAP</t>
  </si>
  <si>
    <t>GMWB-ML</t>
  </si>
  <si>
    <t>USL</t>
  </si>
  <si>
    <t>VALIC_GMWB</t>
  </si>
  <si>
    <t>VALIC_VIX_DAP</t>
  </si>
  <si>
    <t>GMWB-VIX</t>
  </si>
  <si>
    <t>DAP</t>
  </si>
  <si>
    <t>ML</t>
  </si>
  <si>
    <t>VALIC-GMWB</t>
  </si>
  <si>
    <t>VALIC-VIX-DAP</t>
  </si>
  <si>
    <t>VIX</t>
  </si>
  <si>
    <t>Sheet Name Mapping</t>
  </si>
  <si>
    <t>Notional Cell Start</t>
  </si>
  <si>
    <t>B37</t>
  </si>
  <si>
    <t>B33</t>
  </si>
  <si>
    <t>B36</t>
  </si>
  <si>
    <t>Convexity Row Start</t>
  </si>
  <si>
    <t>NPV Row Start</t>
  </si>
  <si>
    <t>Coupon Row Start</t>
  </si>
  <si>
    <t>B38</t>
  </si>
  <si>
    <t>File Name Prefix</t>
  </si>
  <si>
    <t>DAP-Hedge-</t>
  </si>
  <si>
    <t>ML-Hedge-</t>
  </si>
  <si>
    <t>USL-Hedge-</t>
  </si>
  <si>
    <t>VALIC-GMWB-Hedge-</t>
  </si>
  <si>
    <t>VALIC-VIX-DAP-Hedge-</t>
  </si>
  <si>
    <t>VIX-Hedge-</t>
  </si>
  <si>
    <t>Swaption Start Row</t>
  </si>
  <si>
    <t>JAVAH ID Column</t>
  </si>
  <si>
    <t>Rho Column</t>
  </si>
  <si>
    <t>Convexity Column</t>
  </si>
  <si>
    <t>MV Column</t>
  </si>
  <si>
    <t>Notional Column</t>
  </si>
  <si>
    <t>Coupon Column</t>
  </si>
  <si>
    <t>Diff</t>
  </si>
  <si>
    <t>Notional</t>
  </si>
  <si>
    <t>Rho</t>
  </si>
  <si>
    <t>Convexity</t>
  </si>
  <si>
    <t>MV</t>
  </si>
  <si>
    <t>Coupon Rate</t>
  </si>
  <si>
    <t>JAVAH ID</t>
  </si>
  <si>
    <t>Description</t>
  </si>
  <si>
    <t>\\whpnxx6070n1\mrm_dept\v02\FORMS\GMLB\</t>
  </si>
  <si>
    <t>Risk Report Path</t>
  </si>
  <si>
    <t>C1</t>
  </si>
  <si>
    <t>G2</t>
  </si>
  <si>
    <t>H1</t>
  </si>
  <si>
    <t>I2</t>
  </si>
  <si>
    <t>J1</t>
  </si>
  <si>
    <t>J2</t>
  </si>
  <si>
    <t>K1</t>
  </si>
  <si>
    <t>H2</t>
  </si>
  <si>
    <t>I1</t>
  </si>
  <si>
    <t>D2</t>
  </si>
  <si>
    <t>E1</t>
  </si>
  <si>
    <t>Vega</t>
  </si>
  <si>
    <t>Vega Row Start</t>
  </si>
  <si>
    <t>FORM Vega Column</t>
  </si>
  <si>
    <t>M2</t>
  </si>
  <si>
    <t>N1</t>
  </si>
  <si>
    <t>Check Archive To</t>
  </si>
  <si>
    <t>\\whpnxx6070n1\mrm_dept\v02\FORMS\GMLB\Check and Testing\Swap Check\Archive\</t>
  </si>
  <si>
    <t>Coupon Reconciled?</t>
  </si>
  <si>
    <t>B1</t>
  </si>
  <si>
    <t>B39</t>
  </si>
  <si>
    <t>B40</t>
  </si>
  <si>
    <t>B2</t>
  </si>
  <si>
    <t>JAVAH ID Check</t>
  </si>
  <si>
    <t>Position Check Start</t>
  </si>
  <si>
    <t>A2</t>
  </si>
  <si>
    <t>A1</t>
  </si>
  <si>
    <t>DescriptionStart</t>
  </si>
  <si>
    <t>Swaption Convexity Start</t>
  </si>
  <si>
    <t>Swaption MTM Start</t>
  </si>
  <si>
    <t>Swaption IVLN Start</t>
  </si>
  <si>
    <t>Swaption Vega LN Start</t>
  </si>
  <si>
    <t>Swaption Vega GYC Start</t>
  </si>
  <si>
    <t>Swaption IV GYC Start</t>
  </si>
  <si>
    <t>B47</t>
  </si>
  <si>
    <t>B48</t>
  </si>
  <si>
    <t>B49</t>
  </si>
  <si>
    <t>B50</t>
  </si>
  <si>
    <t>B51</t>
  </si>
  <si>
    <t>B52</t>
  </si>
  <si>
    <t>B53</t>
  </si>
  <si>
    <t>Rho Row Start</t>
  </si>
  <si>
    <t>Vega Normal</t>
  </si>
  <si>
    <t>Implied Vol Normal</t>
  </si>
  <si>
    <t>Vega Log Normal</t>
  </si>
  <si>
    <t>Implied Vol Log Normal</t>
  </si>
  <si>
    <t>FORM Normal IV</t>
  </si>
  <si>
    <t>FORM LN IV</t>
  </si>
  <si>
    <t>FORM Normal Vega</t>
  </si>
  <si>
    <t>Q1</t>
  </si>
  <si>
    <t>V1</t>
  </si>
  <si>
    <t>U1</t>
  </si>
  <si>
    <t>Q2</t>
  </si>
  <si>
    <t>V2</t>
  </si>
  <si>
    <t>U2</t>
  </si>
  <si>
    <t>Swaption Rho Start</t>
  </si>
  <si>
    <t>FORM</t>
  </si>
  <si>
    <t>JAVAH</t>
  </si>
  <si>
    <t>2_10x10</t>
  </si>
  <si>
    <t/>
  </si>
  <si>
    <t>3_5x5</t>
  </si>
  <si>
    <t>4_10x5</t>
  </si>
  <si>
    <t>5_3x2</t>
  </si>
  <si>
    <t>8_20x10</t>
  </si>
  <si>
    <t>9_2</t>
  </si>
  <si>
    <t>6_1x15</t>
  </si>
  <si>
    <t>7_1x25</t>
  </si>
  <si>
    <t>Not Found</t>
  </si>
  <si>
    <t>GMWB</t>
  </si>
  <si>
    <t>VIX_DAP</t>
  </si>
  <si>
    <t>10_1x15</t>
  </si>
  <si>
    <t>11_1x15</t>
  </si>
  <si>
    <t>12_1x25</t>
  </si>
  <si>
    <t>3x2</t>
  </si>
  <si>
    <t>5x5</t>
  </si>
  <si>
    <t>10x5</t>
  </si>
  <si>
    <t>15x15</t>
  </si>
  <si>
    <t>15x5</t>
  </si>
  <si>
    <t>1x15</t>
  </si>
  <si>
    <t>15X5</t>
  </si>
  <si>
    <t>20X10</t>
  </si>
  <si>
    <t>1X25</t>
  </si>
  <si>
    <t>1x10</t>
  </si>
  <si>
    <t>20x10</t>
  </si>
  <si>
    <t>1x25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</si>
</sst>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4" fillId="0" borderId="0" xfId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left"/>
    </xf>
    <xf numFmtId="0" fontId="3" fillId="0" borderId="0" xfId="0" applyFont="1" applyAlignment="1">
      <alignment horizontal="center"/>
    </xf>
    <xf numFmtId="0" fontId="2" fillId="3" borderId="0" xfId="0" applyFont="1" applyFill="1" applyBorder="1"/>
    <xf numFmtId="0" fontId="2" fillId="3" borderId="3" xfId="0" applyFont="1" applyFill="1" applyBorder="1"/>
    <xf numFmtId="0" fontId="2" fillId="3" borderId="1" xfId="0" applyFont="1" applyFill="1" applyBorder="1" applyAlignment="1">
      <alignment horizontal="center"/>
    </xf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6" fillId="4" borderId="0" xfId="0" applyFont="1" applyFill="1" applyAlignment="1">
      <alignment horizontal="center"/>
    </xf>
    <xf numFmtId="0" fontId="0" fillId="5" borderId="0" xfId="0" applyFill="1"/>
    <xf numFmtId="0" fontId="1" fillId="5" borderId="0" xfId="0" applyFont="1" applyFill="1" applyAlignment="1">
      <alignment horizontal="center"/>
    </xf>
    <xf numFmtId="0" fontId="1" fillId="5" borderId="0" xfId="0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left"/>
    </xf>
    <xf numFmtId="0" fontId="3" fillId="5" borderId="0" xfId="0" applyFont="1" applyFill="1" applyAlignment="1">
      <alignment horizontal="left"/>
    </xf>
    <xf numFmtId="0" fontId="0" fillId="5" borderId="4" xfId="0" applyFill="1" applyBorder="1" applyAlignment="1">
      <alignment horizontal="center"/>
    </xf>
    <xf numFmtId="0" fontId="0" fillId="5" borderId="4" xfId="0" applyFill="1" applyBorder="1"/>
    <xf numFmtId="0" fontId="7" fillId="5" borderId="0" xfId="0" applyFont="1" applyFill="1" applyAlignment="1">
      <alignment horizontal="right"/>
    </xf>
    <xf numFmtId="0" fontId="0" fillId="0" borderId="0" xfId="0" applyFont="1" applyAlignment="1">
      <alignment horizontal="center"/>
    </xf>
    <xf numFmtId="0" fontId="1" fillId="6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left"/>
    </xf>
    <xf numFmtId="0" fontId="1" fillId="7" borderId="0" xfId="0" applyFont="1" applyFill="1"/>
    <xf numFmtId="9" fontId="0" fillId="0" borderId="0" xfId="2" applyFont="1"/>
    <xf numFmtId="0" fontId="0" fillId="8" borderId="0" xfId="0" applyFill="1" applyAlignment="1">
      <alignment horizontal="left"/>
    </xf>
    <xf numFmtId="0" fontId="2" fillId="2" borderId="3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5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104775</xdr:rowOff>
        </xdr:from>
        <xdr:to>
          <xdr:col>2</xdr:col>
          <xdr:colOff>628650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</xdr:row>
          <xdr:rowOff>104775</xdr:rowOff>
        </xdr:from>
        <xdr:to>
          <xdr:col>3</xdr:col>
          <xdr:colOff>1314450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12</xdr:row>
          <xdr:rowOff>38100</xdr:rowOff>
        </xdr:from>
        <xdr:to>
          <xdr:col>2</xdr:col>
          <xdr:colOff>600075</xdr:colOff>
          <xdr:row>13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Archive Checks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Archive/" TargetMode="External"/><Relationship Id="rId2" Type="http://schemas.openxmlformats.org/officeDocument/2006/relationships/hyperlink" Target="." TargetMode="External"/><Relationship Id="rId1" Type="http://schemas.openxmlformats.org/officeDocument/2006/relationships/hyperlink" Target="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E12"/>
  <sheetViews>
    <sheetView tabSelected="1" workbookViewId="0">
      <selection activeCell="D11" sqref="D11"/>
    </sheetView>
  </sheetViews>
  <sheetFormatPr defaultRowHeight="15" x14ac:dyDescent="0.25"/>
  <cols>
    <col min="1" max="1" width="9.140625" style="14"/>
    <col min="2" max="2" width="17.140625" style="14" customWidth="1"/>
    <col min="3" max="3" width="19" style="14" customWidth="1"/>
    <col min="4" max="4" width="19.85546875" style="14" customWidth="1"/>
    <col min="5" max="5" width="19.7109375" style="14" bestFit="1" customWidth="1"/>
    <col min="6" max="16384" width="9.140625" style="14"/>
  </cols>
  <sheetData>
    <row r="3" spans="2:5" x14ac:dyDescent="0.25">
      <c r="E3" s="22"/>
    </row>
    <row r="5" spans="2:5" x14ac:dyDescent="0.25">
      <c r="C5" s="15" t="s">
        <v>0</v>
      </c>
      <c r="D5" s="15" t="s">
        <v>2</v>
      </c>
      <c r="E5" s="15" t="s">
        <v>66</v>
      </c>
    </row>
    <row r="6" spans="2:5" x14ac:dyDescent="0.25">
      <c r="B6" s="16" t="s">
        <v>10</v>
      </c>
      <c r="C6" s="20">
        <v>20150619</v>
      </c>
      <c r="D6" s="21" t="b">
        <f>IF(ROUND(SUMPRODUCT(DAP!F4:F38,DAP!F4:F38),0)=0,TRUE,FALSE)</f>
        <v>1</v>
      </c>
      <c r="E6" s="21" t="b">
        <f>IF(ROUND(SUMPRODUCT(--(DAP!$D$4:$D$14&lt;&gt;0),DAP!R4:R14,DAP!R4:R14),2)=0,TRUE,FALSE)</f>
        <v>1</v>
      </c>
    </row>
    <row r="7" spans="2:5" x14ac:dyDescent="0.25">
      <c r="B7" s="16" t="s">
        <v>11</v>
      </c>
      <c r="C7" s="20">
        <v>20150619</v>
      </c>
      <c r="D7" s="21" t="b">
        <f>IF(ROUND(SUMPRODUCT(ML!F4:F33,ML!F4:F33),0)=0,TRUE,FALSE)</f>
        <v>1</v>
      </c>
      <c r="E7" s="21" t="b">
        <f>IF(ROUND(SUMPRODUCT(--(ML!$D$4:$D$14&lt;&gt;0),ML!R4:R14,ML!R4:R14),2)=0,TRUE,FALSE)</f>
        <v>1</v>
      </c>
    </row>
    <row r="8" spans="2:5" x14ac:dyDescent="0.25">
      <c r="B8" s="16" t="s">
        <v>6</v>
      </c>
      <c r="C8" s="20">
        <v>20150618</v>
      </c>
      <c r="D8" s="21" t="b">
        <f>IF(ROUND(SUMPRODUCT(USL!F4:F29,USL!F4:F29),0)=0,TRUE,FALSE)</f>
        <v>1</v>
      </c>
      <c r="E8" s="21" t="b">
        <f>IF(ROUND(SUMPRODUCT(--(USL!$D$4:$D$14&lt;&gt;0),USL!R4:R14,USL!R4:R14),2)=0,TRUE,FALSE)</f>
        <v>1</v>
      </c>
    </row>
    <row r="9" spans="2:5" x14ac:dyDescent="0.25">
      <c r="B9" s="16" t="s">
        <v>12</v>
      </c>
      <c r="C9" s="20">
        <v>20150618</v>
      </c>
      <c r="D9" s="21" t="b">
        <f>IF(ROUND(SUMPRODUCT('VALIC-GMWB'!F4:F35,'VALIC-GMWB'!F4:F35),0)=0,TRUE,FALSE)</f>
        <v>1</v>
      </c>
      <c r="E9" s="21" t="b">
        <f>IF(ROUND(SUMPRODUCT(--('VALIC-GMWB'!$D$4:$D$14&lt;&gt;0),'VALIC-GMWB'!R4:R14,'VALIC-GMWB'!R4:R14),2)=0,TRUE,FALSE)</f>
        <v>1</v>
      </c>
    </row>
    <row r="10" spans="2:5" x14ac:dyDescent="0.25">
      <c r="B10" s="16" t="s">
        <v>13</v>
      </c>
      <c r="C10" s="20">
        <v>20150618</v>
      </c>
      <c r="D10" s="21" t="b">
        <f>IF(ROUND(SUMPRODUCT('VALIC-VIX-DAP'!F4:F36,'VALIC-VIX-DAP'!F4:F36),0)=0,TRUE,FALSE)</f>
        <v>1</v>
      </c>
      <c r="E10" s="21" t="b">
        <f>IF(ROUND(SUMPRODUCT(--('VALIC-VIX-DAP'!$D$4:$D$14&lt;&gt;0),'VALIC-VIX-DAP'!R4:R14,'VALIC-VIX-DAP'!R4:R14),2)=0,TRUE,FALSE)</f>
        <v>1</v>
      </c>
    </row>
    <row r="11" spans="2:5" x14ac:dyDescent="0.25">
      <c r="B11" s="16" t="s">
        <v>14</v>
      </c>
      <c r="C11" s="20">
        <v>20150617</v>
      </c>
      <c r="D11" s="21" t="b">
        <f>IF(ROUND(SUMPRODUCT(VIX!F4:F34,VIX!F4:F34),0)=0,TRUE,FALSE)</f>
        <v>1</v>
      </c>
      <c r="E11" s="21" t="b">
        <f>IF(ROUND(SUMPRODUCT(--(VIX!$D$4:$D$14&lt;&gt;0),VIX!R4:R14,VIX!R4:R14),2)=0,TRUE,FALSE)</f>
        <v>1</v>
      </c>
    </row>
    <row r="12" spans="2:5" x14ac:dyDescent="0.25">
      <c r="B12" s="18"/>
      <c r="C12" s="19"/>
      <c r="D12" s="17"/>
      <c r="E12" s="17"/>
    </row>
  </sheetData>
  <conditionalFormatting sqref="D6:D11">
    <cfRule type="cellIs" dxfId="55" priority="2" operator="equal">
      <formula>FALSE</formula>
    </cfRule>
  </conditionalFormatting>
  <conditionalFormatting sqref="E6:E11">
    <cfRule type="cellIs" dxfId="54" priority="1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Inputs">
                <anchor moveWithCells="1" sizeWithCells="1">
                  <from>
                    <xdr:col>1</xdr:col>
                    <xdr:colOff>9525</xdr:colOff>
                    <xdr:row>1</xdr:row>
                    <xdr:rowOff>104775</xdr:rowOff>
                  </from>
                  <to>
                    <xdr:col>2</xdr:col>
                    <xdr:colOff>628650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eckPosition">
                <anchor moveWithCells="1" sizeWithCells="1">
                  <from>
                    <xdr:col>2</xdr:col>
                    <xdr:colOff>828675</xdr:colOff>
                    <xdr:row>1</xdr:row>
                    <xdr:rowOff>104775</xdr:rowOff>
                  </from>
                  <to>
                    <xdr:col>3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rchive">
                <anchor moveWithCells="1" sizeWithCells="1">
                  <from>
                    <xdr:col>0</xdr:col>
                    <xdr:colOff>600075</xdr:colOff>
                    <xdr:row>12</xdr:row>
                    <xdr:rowOff>38100</xdr:rowOff>
                  </from>
                  <to>
                    <xdr:col>2</xdr:col>
                    <xdr:colOff>600075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D15"/>
  <sheetViews>
    <sheetView workbookViewId="0">
      <selection activeCell="A10" sqref="A10:XFD14"/>
    </sheetView>
  </sheetViews>
  <sheetFormatPr defaultRowHeight="15" x14ac:dyDescent="0.25"/>
  <cols>
    <col min="1" max="1" width="13" style="11" customWidth="1"/>
    <col min="2" max="2" width="15" style="11" bestFit="1" customWidth="1"/>
    <col min="3" max="3" width="11.140625" style="11" bestFit="1" customWidth="1"/>
    <col min="4" max="5" width="15.42578125" bestFit="1" customWidth="1"/>
    <col min="6" max="6" width="10.7109375" bestFit="1" customWidth="1"/>
    <col min="7" max="7" width="13.5703125" bestFit="1" customWidth="1"/>
    <col min="8" max="8" width="12.42578125" bestFit="1" customWidth="1"/>
    <col min="9" max="9" width="13.140625" customWidth="1"/>
    <col min="10" max="10" width="15.7109375" bestFit="1" customWidth="1"/>
    <col min="11" max="11" width="16.28515625" customWidth="1"/>
    <col min="12" max="12" width="13.42578125" customWidth="1"/>
    <col min="13" max="14" width="12.7109375" bestFit="1" customWidth="1"/>
    <col min="15" max="15" width="9.85546875" bestFit="1" customWidth="1"/>
    <col min="16" max="16" width="13.7109375" bestFit="1" customWidth="1"/>
    <col min="17" max="17" width="14.28515625" bestFit="1" customWidth="1"/>
    <col min="18" max="18" width="6.5703125" bestFit="1" customWidth="1"/>
    <col min="19" max="19" width="13.7109375" bestFit="1" customWidth="1"/>
    <col min="20" max="20" width="14.28515625" bestFit="1" customWidth="1"/>
    <col min="21" max="21" width="13.5703125" customWidth="1"/>
    <col min="22" max="22" width="13.7109375" bestFit="1" customWidth="1"/>
    <col min="23" max="23" width="14.28515625" bestFit="1" customWidth="1"/>
    <col min="24" max="24" width="7.85546875" customWidth="1"/>
    <col min="25" max="25" width="13.7109375" bestFit="1" customWidth="1"/>
    <col min="26" max="26" width="14.28515625" bestFit="1" customWidth="1"/>
    <col min="27" max="27" width="12" bestFit="1" customWidth="1"/>
    <col min="28" max="28" width="13.7109375" bestFit="1" customWidth="1"/>
    <col min="29" max="29" width="14.28515625" bestFit="1" customWidth="1"/>
    <col min="30" max="30" width="8.85546875" customWidth="1"/>
  </cols>
  <sheetData>
    <row r="2" spans="1:30" x14ac:dyDescent="0.25">
      <c r="D2" s="33" t="s">
        <v>39</v>
      </c>
      <c r="E2" s="34"/>
      <c r="F2" s="31"/>
      <c r="G2" s="34" t="s">
        <v>40</v>
      </c>
      <c r="H2" s="34"/>
      <c r="I2" s="34"/>
      <c r="J2" s="33" t="s">
        <v>41</v>
      </c>
      <c r="K2" s="34"/>
      <c r="L2" s="34"/>
      <c r="M2" s="34" t="s">
        <v>42</v>
      </c>
      <c r="N2" s="34"/>
      <c r="O2" s="34"/>
      <c r="P2" s="34" t="s">
        <v>43</v>
      </c>
      <c r="Q2" s="34"/>
      <c r="R2" s="31"/>
      <c r="S2" s="31" t="s">
        <v>92</v>
      </c>
      <c r="T2" s="32"/>
      <c r="U2" s="33"/>
      <c r="V2" s="31" t="s">
        <v>90</v>
      </c>
      <c r="W2" s="32"/>
      <c r="X2" s="33"/>
      <c r="Y2" s="31" t="s">
        <v>93</v>
      </c>
      <c r="Z2" s="32"/>
      <c r="AA2" s="33"/>
      <c r="AB2" s="34" t="s">
        <v>91</v>
      </c>
      <c r="AC2" s="34"/>
      <c r="AD2" s="34"/>
    </row>
    <row r="3" spans="1:30" x14ac:dyDescent="0.25">
      <c r="A3" s="12" t="s">
        <v>44</v>
      </c>
      <c r="B3" s="12" t="s">
        <v>71</v>
      </c>
      <c r="C3" s="12" t="s">
        <v>45</v>
      </c>
      <c r="D3" s="7" t="s">
        <v>104</v>
      </c>
      <c r="E3" s="6" t="s">
        <v>105</v>
      </c>
      <c r="F3" s="8" t="s">
        <v>38</v>
      </c>
      <c r="G3" s="7" t="s">
        <v>104</v>
      </c>
      <c r="H3" s="6" t="s">
        <v>105</v>
      </c>
      <c r="I3" s="8" t="s">
        <v>38</v>
      </c>
      <c r="J3" s="7" t="s">
        <v>104</v>
      </c>
      <c r="K3" s="6" t="s">
        <v>105</v>
      </c>
      <c r="L3" s="8" t="s">
        <v>38</v>
      </c>
      <c r="M3" s="7" t="s">
        <v>104</v>
      </c>
      <c r="N3" s="6" t="s">
        <v>105</v>
      </c>
      <c r="O3" s="8" t="s">
        <v>38</v>
      </c>
      <c r="P3" s="7" t="s">
        <v>104</v>
      </c>
      <c r="Q3" s="6" t="s">
        <v>105</v>
      </c>
      <c r="R3" s="8" t="s">
        <v>38</v>
      </c>
      <c r="S3" s="7" t="s">
        <v>104</v>
      </c>
      <c r="T3" s="6" t="s">
        <v>105</v>
      </c>
      <c r="U3" s="8" t="s">
        <v>38</v>
      </c>
      <c r="V3" s="7" t="s">
        <v>104</v>
      </c>
      <c r="W3" s="6" t="s">
        <v>105</v>
      </c>
      <c r="X3" s="8" t="s">
        <v>38</v>
      </c>
      <c r="Y3" s="7" t="s">
        <v>104</v>
      </c>
      <c r="Z3" s="6" t="s">
        <v>105</v>
      </c>
      <c r="AA3" s="8" t="s">
        <v>38</v>
      </c>
      <c r="AB3" s="7" t="s">
        <v>104</v>
      </c>
      <c r="AC3" s="6" t="s">
        <v>105</v>
      </c>
      <c r="AD3" s="8" t="s">
        <v>38</v>
      </c>
    </row>
    <row r="4" spans="1:30" x14ac:dyDescent="0.25">
      <c r="A4" s="11">
        <v>1663331</v>
      </c>
      <c r="B4" s="11">
        <v>1663331</v>
      </c>
      <c r="C4" s="11" t="s">
        <v>106</v>
      </c>
      <c r="D4" s="9">
        <v>2120000000</v>
      </c>
      <c r="E4" s="9">
        <v>2120000000</v>
      </c>
      <c r="F4">
        <v>0</v>
      </c>
      <c r="G4" s="9">
        <v>-1713353.4459945632</v>
      </c>
      <c r="H4" s="9">
        <v>-1738051.0382065782</v>
      </c>
      <c r="I4">
        <v>-24697.59</v>
      </c>
      <c r="J4" s="9">
        <v>43975.475991851628</v>
      </c>
      <c r="K4" s="9">
        <v>45214.549525248665</v>
      </c>
      <c r="L4">
        <v>1239.07</v>
      </c>
      <c r="M4" s="9">
        <v>152286862.84795302</v>
      </c>
      <c r="N4" s="9">
        <v>140481605.96324</v>
      </c>
      <c r="O4">
        <v>-11805256.880000001</v>
      </c>
      <c r="P4" s="10">
        <v>4.1775000000000002</v>
      </c>
      <c r="Q4" s="10">
        <v>4.1775000000000002</v>
      </c>
      <c r="R4">
        <v>0</v>
      </c>
      <c r="S4" s="9"/>
      <c r="T4" s="9" t="s">
        <v>107</v>
      </c>
      <c r="U4">
        <v>0</v>
      </c>
      <c r="W4" t="s">
        <v>107</v>
      </c>
      <c r="X4">
        <v>0</v>
      </c>
      <c r="Z4" t="s">
        <v>107</v>
      </c>
      <c r="AA4">
        <v>0</v>
      </c>
      <c r="AC4" t="s">
        <v>107</v>
      </c>
      <c r="AD4">
        <v>0</v>
      </c>
    </row>
    <row r="5" spans="1:30" x14ac:dyDescent="0.25">
      <c r="A5" s="11">
        <v>1669558</v>
      </c>
      <c r="B5" s="11">
        <v>1669558</v>
      </c>
      <c r="C5" s="11" t="s">
        <v>108</v>
      </c>
      <c r="D5" s="9">
        <v>5354000000</v>
      </c>
      <c r="E5" s="9">
        <v>5354000000</v>
      </c>
      <c r="F5">
        <v>0</v>
      </c>
      <c r="G5" s="9">
        <v>-2491455.9908298114</v>
      </c>
      <c r="H5" s="9">
        <v>-2528679.0624008179</v>
      </c>
      <c r="I5">
        <v>-37223.07</v>
      </c>
      <c r="J5" s="9">
        <v>31406.13661315577</v>
      </c>
      <c r="K5" s="9">
        <v>32862.91510295411</v>
      </c>
      <c r="L5">
        <v>1456.78</v>
      </c>
      <c r="M5" s="9">
        <v>193255970.45422241</v>
      </c>
      <c r="N5" s="9">
        <v>184632519.19898999</v>
      </c>
      <c r="O5">
        <v>-8623451.2599999998</v>
      </c>
      <c r="P5" s="10">
        <v>3.758</v>
      </c>
      <c r="Q5" s="10">
        <v>3.758</v>
      </c>
      <c r="R5">
        <v>0</v>
      </c>
      <c r="S5" s="9"/>
      <c r="T5" s="9" t="s">
        <v>107</v>
      </c>
      <c r="U5">
        <v>0</v>
      </c>
      <c r="W5" t="s">
        <v>107</v>
      </c>
      <c r="X5">
        <v>0</v>
      </c>
      <c r="Z5" t="s">
        <v>107</v>
      </c>
      <c r="AA5">
        <v>0</v>
      </c>
      <c r="AC5" t="s">
        <v>107</v>
      </c>
      <c r="AD5">
        <v>0</v>
      </c>
    </row>
    <row r="6" spans="1:30" x14ac:dyDescent="0.25">
      <c r="A6" s="11">
        <v>1675171</v>
      </c>
      <c r="B6" s="11">
        <v>1675171</v>
      </c>
      <c r="C6" s="11" t="s">
        <v>109</v>
      </c>
      <c r="D6" s="9">
        <v>1440000000</v>
      </c>
      <c r="E6" s="9">
        <v>1440000000</v>
      </c>
      <c r="F6">
        <v>0</v>
      </c>
      <c r="G6" s="9">
        <v>-592808.58295795741</v>
      </c>
      <c r="H6" s="9">
        <v>-602434.82137751428</v>
      </c>
      <c r="I6">
        <v>-9626.24</v>
      </c>
      <c r="J6" s="9">
        <v>13196.847334606118</v>
      </c>
      <c r="K6" s="9">
        <v>13637.503405809766</v>
      </c>
      <c r="L6">
        <v>440.66</v>
      </c>
      <c r="M6" s="9">
        <v>40490558.842349865</v>
      </c>
      <c r="N6" s="9">
        <v>35697636.227020003</v>
      </c>
      <c r="O6">
        <v>-4792922.62</v>
      </c>
      <c r="P6" s="10">
        <v>3.9010000000000002</v>
      </c>
      <c r="Q6" s="10">
        <v>3.9009999999999998</v>
      </c>
      <c r="R6">
        <v>0</v>
      </c>
      <c r="S6" s="9"/>
      <c r="T6" s="9" t="s">
        <v>107</v>
      </c>
      <c r="U6">
        <v>0</v>
      </c>
      <c r="W6" t="s">
        <v>107</v>
      </c>
      <c r="X6">
        <v>0</v>
      </c>
      <c r="Z6" t="s">
        <v>107</v>
      </c>
      <c r="AA6">
        <v>0</v>
      </c>
      <c r="AC6" t="s">
        <v>107</v>
      </c>
      <c r="AD6">
        <v>0</v>
      </c>
    </row>
    <row r="7" spans="1:30" x14ac:dyDescent="0.25">
      <c r="A7" s="11">
        <v>1678240</v>
      </c>
      <c r="B7" s="11">
        <v>1678240</v>
      </c>
      <c r="C7" s="11" t="s">
        <v>110</v>
      </c>
      <c r="D7" s="9">
        <v>2530000000</v>
      </c>
      <c r="E7" s="9">
        <v>2530000000</v>
      </c>
      <c r="F7">
        <v>0</v>
      </c>
      <c r="G7" s="9">
        <v>-495746.48730384087</v>
      </c>
      <c r="H7" s="9">
        <v>-499204.07446670381</v>
      </c>
      <c r="I7">
        <v>-3457.59</v>
      </c>
      <c r="J7" s="9">
        <v>3154.0524219833774</v>
      </c>
      <c r="K7" s="9">
        <v>3388.3137431148884</v>
      </c>
      <c r="L7">
        <v>234.26</v>
      </c>
      <c r="M7" s="9">
        <v>26296036.7650663</v>
      </c>
      <c r="N7" s="9">
        <v>28644533.394400001</v>
      </c>
      <c r="O7">
        <v>2348496.63</v>
      </c>
      <c r="P7" s="10">
        <v>2.8039999999999998</v>
      </c>
      <c r="Q7" s="10">
        <v>2.8039999999999998</v>
      </c>
      <c r="R7">
        <v>0</v>
      </c>
      <c r="S7" s="9"/>
      <c r="T7" s="9" t="s">
        <v>107</v>
      </c>
      <c r="U7">
        <v>0</v>
      </c>
      <c r="W7" t="s">
        <v>107</v>
      </c>
      <c r="X7">
        <v>0</v>
      </c>
      <c r="Z7" t="s">
        <v>107</v>
      </c>
      <c r="AA7">
        <v>0</v>
      </c>
      <c r="AC7" t="s">
        <v>107</v>
      </c>
      <c r="AD7">
        <v>0</v>
      </c>
    </row>
    <row r="8" spans="1:30" x14ac:dyDescent="0.25">
      <c r="A8" s="11">
        <v>1684467</v>
      </c>
      <c r="B8" s="11">
        <v>1684467</v>
      </c>
      <c r="C8" s="11" t="s">
        <v>111</v>
      </c>
      <c r="D8" s="9">
        <v>1081000000</v>
      </c>
      <c r="E8" s="9">
        <v>1081000000</v>
      </c>
      <c r="F8">
        <v>0</v>
      </c>
      <c r="G8" s="9">
        <v>-591187.06457040133</v>
      </c>
      <c r="H8" s="9">
        <v>-605612.75950968056</v>
      </c>
      <c r="I8">
        <v>-14425.69</v>
      </c>
      <c r="J8" s="9">
        <v>27714.439043779457</v>
      </c>
      <c r="K8" s="9">
        <v>28206.519949912683</v>
      </c>
      <c r="L8">
        <v>492.08</v>
      </c>
      <c r="M8" s="9">
        <v>14881673.831860613</v>
      </c>
      <c r="N8" s="9">
        <v>17269973.516628001</v>
      </c>
      <c r="O8">
        <v>2388299.6800000002</v>
      </c>
      <c r="P8" s="10">
        <v>3.4224999999999999</v>
      </c>
      <c r="Q8" s="10">
        <v>3.4224999999999999</v>
      </c>
      <c r="R8">
        <v>0</v>
      </c>
      <c r="S8" s="9"/>
      <c r="T8" s="9" t="s">
        <v>107</v>
      </c>
      <c r="U8">
        <v>0</v>
      </c>
      <c r="W8" t="s">
        <v>107</v>
      </c>
      <c r="X8">
        <v>0</v>
      </c>
      <c r="Z8" t="s">
        <v>107</v>
      </c>
      <c r="AA8">
        <v>0</v>
      </c>
      <c r="AC8" t="s">
        <v>107</v>
      </c>
      <c r="AD8">
        <v>0</v>
      </c>
    </row>
    <row r="9" spans="1:30" x14ac:dyDescent="0.25">
      <c r="A9" s="11">
        <v>1723014</v>
      </c>
      <c r="B9" s="11">
        <v>1723014</v>
      </c>
      <c r="C9" s="11" t="s">
        <v>112</v>
      </c>
      <c r="D9" s="9">
        <v>4100000000</v>
      </c>
      <c r="E9" s="9">
        <v>4100000000</v>
      </c>
      <c r="F9">
        <v>0</v>
      </c>
      <c r="G9" s="9">
        <v>-819879.13607440097</v>
      </c>
      <c r="H9" s="9">
        <v>-815705.21653986699</v>
      </c>
      <c r="I9">
        <v>4173.92</v>
      </c>
      <c r="J9" s="9">
        <v>2451.3835505414972</v>
      </c>
      <c r="K9" s="9">
        <v>2837.2517552376071</v>
      </c>
      <c r="L9">
        <v>385.87</v>
      </c>
      <c r="M9" s="9">
        <v>9067209.7126181964</v>
      </c>
      <c r="N9" s="9">
        <v>11788046.78657914</v>
      </c>
      <c r="O9">
        <v>2720837.07</v>
      </c>
      <c r="P9" s="10">
        <v>1.3413299999999999</v>
      </c>
      <c r="Q9" s="10">
        <v>1.3413299999999999</v>
      </c>
      <c r="R9">
        <v>0</v>
      </c>
      <c r="S9" s="9"/>
      <c r="T9" s="9" t="s">
        <v>107</v>
      </c>
      <c r="U9">
        <v>0</v>
      </c>
      <c r="W9" t="s">
        <v>107</v>
      </c>
      <c r="X9">
        <v>0</v>
      </c>
      <c r="Z9" t="s">
        <v>107</v>
      </c>
      <c r="AA9">
        <v>0</v>
      </c>
      <c r="AC9" t="s">
        <v>107</v>
      </c>
      <c r="AD9">
        <v>0</v>
      </c>
    </row>
    <row r="10" spans="1:30" x14ac:dyDescent="0.25">
      <c r="A10" s="11">
        <v>1698308</v>
      </c>
      <c r="B10" s="11">
        <v>1698308</v>
      </c>
      <c r="C10" s="11" t="s">
        <v>113</v>
      </c>
      <c r="D10" s="9">
        <v>2900000000</v>
      </c>
      <c r="E10" s="9">
        <v>2900000000</v>
      </c>
      <c r="F10">
        <v>0</v>
      </c>
      <c r="G10" s="9">
        <v>-113778.34932559071</v>
      </c>
      <c r="H10" s="9">
        <v>-113778.34932559071</v>
      </c>
      <c r="I10">
        <v>0</v>
      </c>
      <c r="J10" s="9">
        <v>35012.306086018049</v>
      </c>
      <c r="K10" s="9">
        <v>35012.306086018049</v>
      </c>
      <c r="L10">
        <v>0</v>
      </c>
      <c r="M10" s="9">
        <v>2922245.3210948296</v>
      </c>
      <c r="N10" s="9">
        <v>2922245.3210948301</v>
      </c>
      <c r="O10">
        <v>0</v>
      </c>
      <c r="P10" s="10">
        <v>1.5</v>
      </c>
      <c r="Q10" s="10">
        <v>1.5</v>
      </c>
      <c r="R10">
        <v>0</v>
      </c>
      <c r="S10" s="9">
        <v>388990.23678386956</v>
      </c>
      <c r="T10" s="9">
        <v>388990.23678386956</v>
      </c>
      <c r="U10" s="9">
        <v>0</v>
      </c>
      <c r="V10" s="9">
        <v>1927639.6454268838</v>
      </c>
      <c r="W10" s="9">
        <v>1927639.6454268838</v>
      </c>
      <c r="X10" s="9">
        <v>0</v>
      </c>
      <c r="Y10" s="29">
        <v>0.42969687042208871</v>
      </c>
      <c r="Z10" s="29">
        <v>0.42969687042208871</v>
      </c>
      <c r="AA10" s="9">
        <v>0</v>
      </c>
      <c r="AB10" s="9">
        <v>89.033849753689879</v>
      </c>
      <c r="AC10" s="9">
        <v>89.033849753689879</v>
      </c>
      <c r="AD10" s="9">
        <v>0</v>
      </c>
    </row>
    <row r="11" spans="1:30" x14ac:dyDescent="0.25">
      <c r="A11" s="11">
        <v>0</v>
      </c>
      <c r="B11" s="30" t="s">
        <v>115</v>
      </c>
      <c r="C11" s="11" t="s">
        <v>114</v>
      </c>
      <c r="D11" s="9">
        <v>0</v>
      </c>
      <c r="E11" s="9"/>
      <c r="F11">
        <v>0</v>
      </c>
      <c r="G11" s="9">
        <v>0</v>
      </c>
      <c r="H11" s="9"/>
      <c r="I11">
        <v>0</v>
      </c>
      <c r="J11" s="9">
        <v>0</v>
      </c>
      <c r="K11" s="9"/>
      <c r="L11">
        <v>0</v>
      </c>
      <c r="M11" s="9">
        <v>0</v>
      </c>
      <c r="N11" s="9"/>
      <c r="O11">
        <v>0</v>
      </c>
      <c r="P11" s="10">
        <v>3.2</v>
      </c>
      <c r="Q11" s="10"/>
      <c r="R11">
        <v>-3.2</v>
      </c>
      <c r="S11" s="9">
        <v>0</v>
      </c>
      <c r="T11" s="9"/>
      <c r="U11" s="9">
        <v>0</v>
      </c>
      <c r="V11" s="9">
        <v>0</v>
      </c>
      <c r="W11" s="9"/>
      <c r="X11" s="9">
        <v>0</v>
      </c>
      <c r="Y11" s="29">
        <v>0</v>
      </c>
      <c r="Z11" s="29"/>
      <c r="AA11" s="9">
        <v>0</v>
      </c>
      <c r="AB11" s="9">
        <v>0</v>
      </c>
      <c r="AC11" s="9"/>
      <c r="AD11" s="9">
        <v>0</v>
      </c>
    </row>
    <row r="12" spans="1:30" x14ac:dyDescent="0.25">
      <c r="A12" s="11">
        <v>1706421</v>
      </c>
      <c r="B12" s="11">
        <v>1706421</v>
      </c>
      <c r="C12" s="11" t="s">
        <v>118</v>
      </c>
      <c r="D12" s="9">
        <v>1200000000</v>
      </c>
      <c r="E12" s="9">
        <v>1200000000</v>
      </c>
      <c r="F12">
        <v>0</v>
      </c>
      <c r="G12" s="9">
        <v>-99671.315580025272</v>
      </c>
      <c r="H12" s="9">
        <v>-99671.315580025272</v>
      </c>
      <c r="I12">
        <v>0</v>
      </c>
      <c r="J12" s="9">
        <v>24960.926268626063</v>
      </c>
      <c r="K12" s="9">
        <v>24960.926268626066</v>
      </c>
      <c r="L12">
        <v>0</v>
      </c>
      <c r="M12" s="9">
        <v>3156236.60074403</v>
      </c>
      <c r="N12" s="9">
        <v>3156236.60074403</v>
      </c>
      <c r="O12">
        <v>0</v>
      </c>
      <c r="P12" s="10">
        <v>1.6500000000000001</v>
      </c>
      <c r="Q12" s="10">
        <v>1.65</v>
      </c>
      <c r="R12">
        <v>0</v>
      </c>
      <c r="S12" s="9">
        <v>340804.67033113615</v>
      </c>
      <c r="T12" s="9">
        <v>340804.67033113615</v>
      </c>
      <c r="U12" s="9">
        <v>0</v>
      </c>
      <c r="V12" s="9">
        <v>1602050.4595127422</v>
      </c>
      <c r="W12" s="9">
        <v>1602050.4595127422</v>
      </c>
      <c r="X12" s="9">
        <v>0</v>
      </c>
      <c r="Y12" s="29">
        <v>0.40731088140887362</v>
      </c>
      <c r="Z12" s="29">
        <v>0.40731088140887362</v>
      </c>
      <c r="AA12" s="9">
        <v>0</v>
      </c>
      <c r="AB12" s="9">
        <v>88.409195382697632</v>
      </c>
      <c r="AC12" s="9">
        <v>88.409195382697632</v>
      </c>
      <c r="AD12" s="9">
        <v>0</v>
      </c>
    </row>
    <row r="13" spans="1:30" x14ac:dyDescent="0.25">
      <c r="A13" s="11">
        <v>1700793</v>
      </c>
      <c r="B13" s="11">
        <v>1700793</v>
      </c>
      <c r="C13" s="11" t="s">
        <v>119</v>
      </c>
      <c r="D13" s="9">
        <v>3800000000</v>
      </c>
      <c r="E13" s="9">
        <v>3800000000</v>
      </c>
      <c r="F13">
        <v>0</v>
      </c>
      <c r="G13" s="9">
        <v>-74299.548376683131</v>
      </c>
      <c r="H13" s="9">
        <v>-74299.548376683117</v>
      </c>
      <c r="I13">
        <v>0</v>
      </c>
      <c r="J13" s="9">
        <v>24096.552397042855</v>
      </c>
      <c r="K13" s="9">
        <v>24096.552397042855</v>
      </c>
      <c r="L13">
        <v>0</v>
      </c>
      <c r="M13" s="9">
        <v>1851365.16258143</v>
      </c>
      <c r="N13" s="9">
        <v>1851365.16258143</v>
      </c>
      <c r="O13">
        <v>0</v>
      </c>
      <c r="P13" s="10">
        <v>1.25</v>
      </c>
      <c r="Q13" s="10">
        <v>1.25</v>
      </c>
      <c r="R13">
        <v>0</v>
      </c>
      <c r="S13" s="9">
        <v>273251.29314282327</v>
      </c>
      <c r="T13" s="9">
        <v>273251.29314282327</v>
      </c>
      <c r="U13" s="9">
        <v>0</v>
      </c>
      <c r="V13" s="9">
        <v>1478451.6805272771</v>
      </c>
      <c r="W13" s="9">
        <v>1478451.6805272771</v>
      </c>
      <c r="X13" s="9">
        <v>0</v>
      </c>
      <c r="Y13" s="29">
        <v>0.47061251362318623</v>
      </c>
      <c r="Z13" s="29">
        <v>0.47061251362318623</v>
      </c>
      <c r="AA13" s="9">
        <v>0</v>
      </c>
      <c r="AB13" s="9">
        <v>90.012060420019466</v>
      </c>
      <c r="AC13" s="9">
        <v>90.012060420019466</v>
      </c>
      <c r="AD13" s="9">
        <v>0</v>
      </c>
    </row>
    <row r="14" spans="1:30" x14ac:dyDescent="0.25">
      <c r="A14" s="11">
        <v>1707467</v>
      </c>
      <c r="B14" s="11">
        <v>1707467</v>
      </c>
      <c r="C14" s="11" t="s">
        <v>120</v>
      </c>
      <c r="D14" s="9">
        <v>1450000000</v>
      </c>
      <c r="E14" s="9">
        <v>1450000000</v>
      </c>
      <c r="F14">
        <v>0</v>
      </c>
      <c r="G14" s="9">
        <v>402797.88958393357</v>
      </c>
      <c r="H14" s="9">
        <v>402797.88958393357</v>
      </c>
      <c r="I14">
        <v>0</v>
      </c>
      <c r="J14" s="9">
        <v>84647.507722213864</v>
      </c>
      <c r="K14" s="9">
        <v>84647.507722213864</v>
      </c>
      <c r="L14">
        <v>0</v>
      </c>
      <c r="M14" s="9">
        <v>15568386.5695324</v>
      </c>
      <c r="N14" s="9">
        <v>15568386.5695324</v>
      </c>
      <c r="O14">
        <v>0</v>
      </c>
      <c r="P14" s="10">
        <v>3.5999999999999996</v>
      </c>
      <c r="Q14" s="10">
        <v>3.6</v>
      </c>
      <c r="R14">
        <v>0</v>
      </c>
      <c r="S14" s="9">
        <v>1727026.8701830958</v>
      </c>
      <c r="T14" s="9">
        <v>1727026.8701830958</v>
      </c>
      <c r="U14" s="9">
        <v>0</v>
      </c>
      <c r="V14" s="9">
        <v>5338570.0473179519</v>
      </c>
      <c r="W14" s="9">
        <v>5338570.0473179519</v>
      </c>
      <c r="X14" s="9">
        <v>0</v>
      </c>
      <c r="Y14" s="29">
        <v>0.26137966736476681</v>
      </c>
      <c r="Z14" s="29">
        <v>0.26137966736476681</v>
      </c>
      <c r="AA14" s="9">
        <v>0</v>
      </c>
      <c r="AB14" s="9">
        <v>85.178045067841168</v>
      </c>
      <c r="AC14" s="9">
        <v>85.178045067841168</v>
      </c>
      <c r="AD14" s="9">
        <v>0</v>
      </c>
    </row>
    <row r="15" spans="1:30" x14ac:dyDescent="0.25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</sheetData>
  <mergeCells count="9">
    <mergeCell ref="V2:X2"/>
    <mergeCell ref="Y2:AA2"/>
    <mergeCell ref="AB2:AD2"/>
    <mergeCell ref="S2:U2"/>
    <mergeCell ref="D2:F2"/>
    <mergeCell ref="G2:I2"/>
    <mergeCell ref="J2:L2"/>
    <mergeCell ref="M2:O2"/>
    <mergeCell ref="P2:R2"/>
  </mergeCells>
  <conditionalFormatting sqref="F4:F82">
    <cfRule type="cellIs" dxfId="53" priority="9" operator="notEqual">
      <formula>0</formula>
    </cfRule>
  </conditionalFormatting>
  <conditionalFormatting sqref="I4:I82">
    <cfRule type="cellIs" dxfId="52" priority="8" operator="notEqual">
      <formula>0</formula>
    </cfRule>
  </conditionalFormatting>
  <conditionalFormatting sqref="L4:L82">
    <cfRule type="cellIs" dxfId="51" priority="7" operator="notEqual">
      <formula>0</formula>
    </cfRule>
  </conditionalFormatting>
  <conditionalFormatting sqref="O4:O82">
    <cfRule type="cellIs" dxfId="50" priority="6" operator="notEqual">
      <formula>0</formula>
    </cfRule>
  </conditionalFormatting>
  <conditionalFormatting sqref="R4:R82">
    <cfRule type="cellIs" dxfId="49" priority="5" operator="notEqual">
      <formula>0</formula>
    </cfRule>
  </conditionalFormatting>
  <conditionalFormatting sqref="U4:U82">
    <cfRule type="cellIs" dxfId="48" priority="4" operator="notEqual">
      <formula>0</formula>
    </cfRule>
  </conditionalFormatting>
  <conditionalFormatting sqref="X4:X82">
    <cfRule type="cellIs" dxfId="47" priority="3" operator="notEqual">
      <formula>0</formula>
    </cfRule>
  </conditionalFormatting>
  <conditionalFormatting sqref="AA4:AA82">
    <cfRule type="cellIs" dxfId="46" priority="2" operator="notEqual">
      <formula>0</formula>
    </cfRule>
  </conditionalFormatting>
  <conditionalFormatting sqref="AD4:AD82">
    <cfRule type="cellIs" dxfId="45" priority="1" operator="not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D15"/>
  <sheetViews>
    <sheetView workbookViewId="0">
      <selection activeCell="M12" sqref="M12"/>
    </sheetView>
  </sheetViews>
  <sheetFormatPr defaultRowHeight="15" x14ac:dyDescent="0.25"/>
  <cols>
    <col min="1" max="1" width="12.85546875" style="11" customWidth="1"/>
    <col min="2" max="2" width="15" style="11" bestFit="1" customWidth="1"/>
    <col min="3" max="3" width="11.140625" style="11" bestFit="1" customWidth="1"/>
    <col min="4" max="5" width="15.42578125" bestFit="1" customWidth="1"/>
    <col min="6" max="6" width="11.7109375" bestFit="1" customWidth="1"/>
    <col min="7" max="7" width="10.85546875" bestFit="1" customWidth="1"/>
    <col min="8" max="8" width="10.7109375" bestFit="1" customWidth="1"/>
    <col min="9" max="9" width="9.85546875" bestFit="1" customWidth="1"/>
    <col min="10" max="10" width="15.7109375" bestFit="1" customWidth="1"/>
    <col min="11" max="11" width="16.28515625" bestFit="1" customWidth="1"/>
    <col min="12" max="12" width="7.28515625" bestFit="1" customWidth="1"/>
    <col min="13" max="13" width="10.140625" bestFit="1" customWidth="1"/>
    <col min="14" max="14" width="10.28515625" bestFit="1" customWidth="1"/>
    <col min="15" max="15" width="9.140625" bestFit="1" customWidth="1"/>
    <col min="16" max="16" width="13.7109375" bestFit="1" customWidth="1"/>
    <col min="17" max="17" width="14.28515625" bestFit="1" customWidth="1"/>
    <col min="18" max="18" width="7.28515625" bestFit="1" customWidth="1"/>
  </cols>
  <sheetData>
    <row r="2" spans="1:30" x14ac:dyDescent="0.25">
      <c r="D2" s="33" t="s">
        <v>39</v>
      </c>
      <c r="E2" s="34"/>
      <c r="F2" s="31"/>
      <c r="G2" s="34" t="s">
        <v>40</v>
      </c>
      <c r="H2" s="34"/>
      <c r="I2" s="34"/>
      <c r="J2" s="33" t="s">
        <v>41</v>
      </c>
      <c r="K2" s="34"/>
      <c r="L2" s="34"/>
      <c r="M2" s="34" t="s">
        <v>42</v>
      </c>
      <c r="N2" s="34"/>
      <c r="O2" s="34"/>
      <c r="P2" s="34" t="s">
        <v>43</v>
      </c>
      <c r="Q2" s="34"/>
      <c r="R2" s="31"/>
      <c r="S2" s="31" t="s">
        <v>92</v>
      </c>
      <c r="T2" s="32"/>
      <c r="U2" s="33"/>
      <c r="V2" s="31" t="s">
        <v>90</v>
      </c>
      <c r="W2" s="32"/>
      <c r="X2" s="33"/>
      <c r="Y2" s="31" t="s">
        <v>93</v>
      </c>
      <c r="Z2" s="32"/>
      <c r="AA2" s="33"/>
      <c r="AB2" s="34" t="s">
        <v>91</v>
      </c>
      <c r="AC2" s="34"/>
      <c r="AD2" s="34"/>
    </row>
    <row r="3" spans="1:30" x14ac:dyDescent="0.25">
      <c r="A3" s="12" t="s">
        <v>44</v>
      </c>
      <c r="B3" s="12" t="s">
        <v>71</v>
      </c>
      <c r="C3" s="12" t="s">
        <v>45</v>
      </c>
      <c r="D3" s="7" t="s">
        <v>104</v>
      </c>
      <c r="E3" s="6" t="s">
        <v>105</v>
      </c>
      <c r="F3" s="8" t="s">
        <v>38</v>
      </c>
      <c r="G3" s="7" t="s">
        <v>104</v>
      </c>
      <c r="H3" s="6" t="s">
        <v>105</v>
      </c>
      <c r="I3" s="8" t="s">
        <v>38</v>
      </c>
      <c r="J3" s="7" t="s">
        <v>104</v>
      </c>
      <c r="K3" s="6" t="s">
        <v>105</v>
      </c>
      <c r="L3" s="8" t="s">
        <v>38</v>
      </c>
      <c r="M3" s="7" t="s">
        <v>104</v>
      </c>
      <c r="N3" s="6" t="s">
        <v>105</v>
      </c>
      <c r="O3" s="8" t="s">
        <v>38</v>
      </c>
      <c r="P3" s="7" t="s">
        <v>104</v>
      </c>
      <c r="Q3" s="6" t="s">
        <v>105</v>
      </c>
      <c r="R3" s="8" t="s">
        <v>38</v>
      </c>
      <c r="S3" s="7" t="s">
        <v>104</v>
      </c>
      <c r="T3" s="6" t="s">
        <v>105</v>
      </c>
      <c r="U3" s="8" t="s">
        <v>38</v>
      </c>
      <c r="V3" s="7" t="s">
        <v>104</v>
      </c>
      <c r="W3" s="6" t="s">
        <v>105</v>
      </c>
      <c r="X3" s="8" t="s">
        <v>38</v>
      </c>
      <c r="Y3" s="7" t="s">
        <v>104</v>
      </c>
      <c r="Z3" s="6" t="s">
        <v>105</v>
      </c>
      <c r="AA3" s="8" t="s">
        <v>38</v>
      </c>
      <c r="AB3" s="7" t="s">
        <v>104</v>
      </c>
      <c r="AC3" s="6" t="s">
        <v>105</v>
      </c>
      <c r="AD3" s="8" t="s">
        <v>38</v>
      </c>
    </row>
    <row r="4" spans="1:30" x14ac:dyDescent="0.25">
      <c r="A4" s="11">
        <v>1687962</v>
      </c>
      <c r="B4" s="11">
        <v>1687962</v>
      </c>
      <c r="C4" s="11">
        <v>3</v>
      </c>
      <c r="D4" s="9">
        <v>0</v>
      </c>
      <c r="E4" s="9">
        <v>0</v>
      </c>
      <c r="F4">
        <v>0</v>
      </c>
      <c r="G4" s="9">
        <v>0</v>
      </c>
      <c r="H4" s="9">
        <v>0</v>
      </c>
      <c r="I4">
        <v>0</v>
      </c>
      <c r="J4" s="9">
        <v>0</v>
      </c>
      <c r="K4" s="9">
        <v>0</v>
      </c>
      <c r="L4">
        <v>0</v>
      </c>
      <c r="M4" s="9">
        <v>0</v>
      </c>
      <c r="N4" s="9">
        <v>0</v>
      </c>
      <c r="O4">
        <v>0</v>
      </c>
      <c r="P4" s="10">
        <v>1.43</v>
      </c>
      <c r="Q4" s="10">
        <v>1.43</v>
      </c>
      <c r="R4">
        <v>0</v>
      </c>
      <c r="S4" s="9"/>
      <c r="T4" s="9" t="s">
        <v>107</v>
      </c>
      <c r="U4">
        <v>0</v>
      </c>
      <c r="W4" t="s">
        <v>107</v>
      </c>
      <c r="X4">
        <v>0</v>
      </c>
      <c r="Z4" t="s">
        <v>107</v>
      </c>
      <c r="AA4">
        <v>0</v>
      </c>
      <c r="AC4" t="s">
        <v>107</v>
      </c>
      <c r="AD4">
        <v>0</v>
      </c>
    </row>
    <row r="5" spans="1:30" x14ac:dyDescent="0.25">
      <c r="A5" s="11">
        <v>1686467</v>
      </c>
      <c r="B5" s="11">
        <v>1686467</v>
      </c>
      <c r="C5" s="11" t="s">
        <v>121</v>
      </c>
      <c r="D5" s="9">
        <v>765000000</v>
      </c>
      <c r="E5" s="9">
        <v>765000000</v>
      </c>
      <c r="F5">
        <v>0</v>
      </c>
      <c r="G5" s="9">
        <v>-148923.26315215693</v>
      </c>
      <c r="H5" s="9">
        <v>-149998.47135722649</v>
      </c>
      <c r="I5">
        <v>-1075.21</v>
      </c>
      <c r="J5" s="9">
        <v>999.67639428537154</v>
      </c>
      <c r="K5" s="9">
        <v>1070.103623867338</v>
      </c>
      <c r="L5">
        <v>70.430000000000007</v>
      </c>
      <c r="M5" s="9">
        <v>6302169.2729101628</v>
      </c>
      <c r="N5" s="9">
        <v>6747307.7746409997</v>
      </c>
      <c r="O5">
        <v>445138.5</v>
      </c>
      <c r="P5" s="10">
        <v>2.746</v>
      </c>
      <c r="Q5" s="10">
        <v>2.746</v>
      </c>
      <c r="R5">
        <v>0</v>
      </c>
      <c r="S5" s="9"/>
      <c r="T5" s="9" t="s">
        <v>107</v>
      </c>
      <c r="U5">
        <v>0</v>
      </c>
      <c r="W5" t="s">
        <v>107</v>
      </c>
      <c r="X5">
        <v>0</v>
      </c>
      <c r="Z5" t="s">
        <v>107</v>
      </c>
      <c r="AA5">
        <v>0</v>
      </c>
      <c r="AC5" t="s">
        <v>107</v>
      </c>
      <c r="AD5">
        <v>0</v>
      </c>
    </row>
    <row r="6" spans="1:30" x14ac:dyDescent="0.25">
      <c r="A6" s="11">
        <v>1687117</v>
      </c>
      <c r="B6" s="11">
        <v>1687117</v>
      </c>
      <c r="C6" s="11" t="s">
        <v>122</v>
      </c>
      <c r="D6" s="9">
        <v>1055000000</v>
      </c>
      <c r="E6" s="9">
        <v>1055000000</v>
      </c>
      <c r="F6">
        <v>0</v>
      </c>
      <c r="G6" s="9">
        <v>-471452.03516961978</v>
      </c>
      <c r="H6" s="9">
        <v>-479197.06203758618</v>
      </c>
      <c r="I6">
        <v>-7745.03</v>
      </c>
      <c r="J6" s="9">
        <v>6372.2299334847748</v>
      </c>
      <c r="K6" s="9">
        <v>6657.4341187473774</v>
      </c>
      <c r="L6">
        <v>285.2</v>
      </c>
      <c r="M6" s="9">
        <v>15324156.866209673</v>
      </c>
      <c r="N6" s="9">
        <v>13774248.514612</v>
      </c>
      <c r="O6">
        <v>-1549908.35</v>
      </c>
      <c r="P6" s="10">
        <v>3.3149999999999999</v>
      </c>
      <c r="Q6" s="10">
        <v>3.3149999999999999</v>
      </c>
      <c r="R6">
        <v>0</v>
      </c>
      <c r="S6" s="9"/>
      <c r="T6" s="9" t="s">
        <v>107</v>
      </c>
      <c r="U6">
        <v>0</v>
      </c>
      <c r="W6" t="s">
        <v>107</v>
      </c>
      <c r="X6">
        <v>0</v>
      </c>
      <c r="Z6" t="s">
        <v>107</v>
      </c>
      <c r="AA6">
        <v>0</v>
      </c>
      <c r="AC6" t="s">
        <v>107</v>
      </c>
      <c r="AD6">
        <v>0</v>
      </c>
    </row>
    <row r="7" spans="1:30" x14ac:dyDescent="0.25">
      <c r="A7" s="11">
        <v>1687995</v>
      </c>
      <c r="B7" s="11">
        <v>1687995</v>
      </c>
      <c r="C7" s="11" t="s">
        <v>123</v>
      </c>
      <c r="D7" s="9">
        <v>419000000</v>
      </c>
      <c r="E7" s="9">
        <v>419000000</v>
      </c>
      <c r="F7">
        <v>0</v>
      </c>
      <c r="G7" s="9">
        <v>-165562.22358874249</v>
      </c>
      <c r="H7" s="9">
        <v>-168220.71395742917</v>
      </c>
      <c r="I7">
        <v>-2658.49</v>
      </c>
      <c r="J7" s="9">
        <v>3824.1986508785812</v>
      </c>
      <c r="K7" s="9">
        <v>3948.7601268307071</v>
      </c>
      <c r="L7">
        <v>124.56</v>
      </c>
      <c r="M7" s="9">
        <v>6838499.4954276411</v>
      </c>
      <c r="N7" s="9">
        <v>5401471.9433970004</v>
      </c>
      <c r="O7">
        <v>-1437027.55</v>
      </c>
      <c r="P7" s="10">
        <v>3.5874999999999999</v>
      </c>
      <c r="Q7" s="10">
        <v>3.5874999999999999</v>
      </c>
      <c r="R7">
        <v>0</v>
      </c>
      <c r="S7" s="9"/>
      <c r="T7" s="9" t="s">
        <v>107</v>
      </c>
      <c r="U7">
        <v>0</v>
      </c>
      <c r="W7" t="s">
        <v>107</v>
      </c>
      <c r="X7">
        <v>0</v>
      </c>
      <c r="Z7" t="s">
        <v>107</v>
      </c>
      <c r="AA7">
        <v>0</v>
      </c>
      <c r="AC7" t="s">
        <v>107</v>
      </c>
      <c r="AD7">
        <v>0</v>
      </c>
    </row>
    <row r="8" spans="1:30" x14ac:dyDescent="0.25">
      <c r="A8" s="11">
        <v>1687115</v>
      </c>
      <c r="B8" s="11">
        <v>1687115</v>
      </c>
      <c r="C8" s="11" t="s">
        <v>124</v>
      </c>
      <c r="D8" s="9">
        <v>140000000</v>
      </c>
      <c r="E8" s="9">
        <v>140000000</v>
      </c>
      <c r="F8">
        <v>0</v>
      </c>
      <c r="G8" s="9">
        <v>-123934.38845385028</v>
      </c>
      <c r="H8" s="9">
        <v>-126420.59824822788</v>
      </c>
      <c r="I8">
        <v>-2486.21</v>
      </c>
      <c r="J8" s="9">
        <v>5151.2695131605951</v>
      </c>
      <c r="K8" s="9">
        <v>5250.4813529244229</v>
      </c>
      <c r="L8">
        <v>99.21</v>
      </c>
      <c r="M8" s="9">
        <v>3290008.306064812</v>
      </c>
      <c r="N8" s="9">
        <v>3317995.9387474</v>
      </c>
      <c r="O8">
        <v>27987.63</v>
      </c>
      <c r="P8" s="10">
        <v>3.4353000000000002</v>
      </c>
      <c r="Q8" s="10">
        <v>3.4352999999999998</v>
      </c>
      <c r="R8">
        <v>0</v>
      </c>
      <c r="S8" s="9"/>
      <c r="T8" s="9" t="s">
        <v>107</v>
      </c>
      <c r="U8">
        <v>0</v>
      </c>
      <c r="W8" t="s">
        <v>107</v>
      </c>
      <c r="X8">
        <v>0</v>
      </c>
      <c r="Z8" t="s">
        <v>107</v>
      </c>
      <c r="AA8">
        <v>0</v>
      </c>
      <c r="AC8" t="s">
        <v>107</v>
      </c>
      <c r="AD8">
        <v>0</v>
      </c>
    </row>
    <row r="9" spans="1:30" x14ac:dyDescent="0.25">
      <c r="A9" s="11">
        <v>1687985</v>
      </c>
      <c r="B9" s="11">
        <v>1687985</v>
      </c>
      <c r="C9" s="11" t="s">
        <v>125</v>
      </c>
      <c r="D9" s="9">
        <v>115000000</v>
      </c>
      <c r="E9" s="9">
        <v>115000000</v>
      </c>
      <c r="F9">
        <v>0</v>
      </c>
      <c r="G9" s="9">
        <v>-39515.078021796093</v>
      </c>
      <c r="H9" s="9">
        <v>-40024.347857162953</v>
      </c>
      <c r="I9">
        <v>-509.27</v>
      </c>
      <c r="J9" s="9">
        <v>1291.2241301943375</v>
      </c>
      <c r="K9" s="9">
        <v>1320.7113566103619</v>
      </c>
      <c r="L9">
        <v>29.49</v>
      </c>
      <c r="M9" s="9">
        <v>1483714.8206834267</v>
      </c>
      <c r="N9" s="9">
        <v>1248376.9834106001</v>
      </c>
      <c r="O9">
        <v>-235337.84</v>
      </c>
      <c r="P9" s="10">
        <v>3.556</v>
      </c>
      <c r="Q9" s="10">
        <v>3.556</v>
      </c>
      <c r="R9">
        <v>0</v>
      </c>
      <c r="S9" s="9"/>
      <c r="T9" s="9" t="s">
        <v>107</v>
      </c>
      <c r="U9">
        <v>0</v>
      </c>
      <c r="W9" t="s">
        <v>107</v>
      </c>
      <c r="X9">
        <v>0</v>
      </c>
      <c r="Z9" t="s">
        <v>107</v>
      </c>
      <c r="AA9">
        <v>0</v>
      </c>
      <c r="AC9" t="s">
        <v>107</v>
      </c>
      <c r="AD9">
        <v>0</v>
      </c>
    </row>
    <row r="10" spans="1:30" x14ac:dyDescent="0.25">
      <c r="A10" s="11">
        <v>1708964</v>
      </c>
      <c r="B10" s="11">
        <v>1708964</v>
      </c>
      <c r="C10" s="11">
        <v>3</v>
      </c>
      <c r="D10" s="9">
        <v>1515000000</v>
      </c>
      <c r="E10" s="9">
        <v>1515000000</v>
      </c>
      <c r="F10">
        <v>0</v>
      </c>
      <c r="G10" s="9">
        <v>-450136.14048335195</v>
      </c>
      <c r="H10" s="9">
        <v>-449650.16436862911</v>
      </c>
      <c r="I10">
        <v>485.98</v>
      </c>
      <c r="J10" s="9">
        <v>1564.5776578707764</v>
      </c>
      <c r="K10" s="9">
        <v>1785.3918380743526</v>
      </c>
      <c r="L10">
        <v>220.81</v>
      </c>
      <c r="M10" s="9">
        <v>4522581.1111186901</v>
      </c>
      <c r="N10" s="9">
        <v>6021320.1668299995</v>
      </c>
      <c r="O10">
        <v>1498739.06</v>
      </c>
      <c r="P10" s="10">
        <v>1.4824999999999999</v>
      </c>
      <c r="Q10" s="10">
        <v>1.4824999999999999</v>
      </c>
      <c r="R10">
        <v>0</v>
      </c>
      <c r="S10" s="9"/>
      <c r="T10" s="9" t="s">
        <v>107</v>
      </c>
      <c r="U10">
        <v>0</v>
      </c>
      <c r="W10" t="s">
        <v>107</v>
      </c>
      <c r="X10">
        <v>0</v>
      </c>
      <c r="Z10" t="s">
        <v>107</v>
      </c>
      <c r="AA10">
        <v>0</v>
      </c>
      <c r="AC10" t="s">
        <v>107</v>
      </c>
      <c r="AD10">
        <v>0</v>
      </c>
    </row>
    <row r="11" spans="1:30" x14ac:dyDescent="0.25">
      <c r="A11" s="11">
        <v>1722542</v>
      </c>
      <c r="B11" s="11">
        <v>1722542</v>
      </c>
      <c r="C11" s="11" t="s">
        <v>126</v>
      </c>
      <c r="D11" s="9">
        <v>800000000</v>
      </c>
      <c r="E11" s="9">
        <v>800000000</v>
      </c>
      <c r="F11">
        <v>0</v>
      </c>
      <c r="G11" s="9">
        <v>-14690921.337009216</v>
      </c>
      <c r="H11" s="9">
        <v>-14690921.337009218</v>
      </c>
      <c r="I11">
        <v>0</v>
      </c>
      <c r="J11" s="9">
        <v>27220201.472821716</v>
      </c>
      <c r="K11" s="9">
        <v>27220201.472821716</v>
      </c>
      <c r="L11">
        <v>0</v>
      </c>
      <c r="M11" s="9">
        <v>6187834.3660552399</v>
      </c>
      <c r="N11" s="9">
        <v>6187834.3660552399</v>
      </c>
      <c r="O11">
        <v>0</v>
      </c>
      <c r="P11" s="10">
        <v>1.9</v>
      </c>
      <c r="Q11" s="10">
        <v>1.9</v>
      </c>
      <c r="R11">
        <v>0</v>
      </c>
      <c r="S11" s="9">
        <v>500962.28984175489</v>
      </c>
      <c r="T11" s="9">
        <v>500962.28984175489</v>
      </c>
      <c r="U11">
        <v>0</v>
      </c>
      <c r="V11">
        <v>500962.28984175489</v>
      </c>
      <c r="W11">
        <v>2183381.3708679779</v>
      </c>
      <c r="X11">
        <v>1682419.08</v>
      </c>
      <c r="Y11">
        <v>0.37468716383914258</v>
      </c>
      <c r="Z11">
        <v>0.37468716383914258</v>
      </c>
      <c r="AA11">
        <v>0</v>
      </c>
      <c r="AB11">
        <v>87.330329826958618</v>
      </c>
      <c r="AC11">
        <v>87.330329826958618</v>
      </c>
      <c r="AD11">
        <v>0</v>
      </c>
    </row>
    <row r="15" spans="1:30" x14ac:dyDescent="0.25">
      <c r="F15" s="11"/>
      <c r="I15" s="11"/>
      <c r="L15" s="11"/>
      <c r="O15" s="11"/>
      <c r="R15" s="11"/>
      <c r="U15" s="11"/>
      <c r="X15" s="11"/>
      <c r="AA15" s="11"/>
      <c r="AD15" s="11"/>
    </row>
  </sheetData>
  <mergeCells count="9">
    <mergeCell ref="V2:X2"/>
    <mergeCell ref="Y2:AA2"/>
    <mergeCell ref="AB2:AD2"/>
    <mergeCell ref="S2:U2"/>
    <mergeCell ref="D2:F2"/>
    <mergeCell ref="G2:I2"/>
    <mergeCell ref="J2:L2"/>
    <mergeCell ref="M2:O2"/>
    <mergeCell ref="P2:R2"/>
  </mergeCells>
  <conditionalFormatting sqref="F4:F82">
    <cfRule type="cellIs" dxfId="44" priority="9" operator="notEqual">
      <formula>0</formula>
    </cfRule>
  </conditionalFormatting>
  <conditionalFormatting sqref="I4:I82">
    <cfRule type="cellIs" dxfId="43" priority="8" operator="notEqual">
      <formula>0</formula>
    </cfRule>
  </conditionalFormatting>
  <conditionalFormatting sqref="L4:L82">
    <cfRule type="cellIs" dxfId="42" priority="7" operator="notEqual">
      <formula>0</formula>
    </cfRule>
  </conditionalFormatting>
  <conditionalFormatting sqref="O4:O82">
    <cfRule type="cellIs" dxfId="41" priority="6" operator="notEqual">
      <formula>0</formula>
    </cfRule>
  </conditionalFormatting>
  <conditionalFormatting sqref="R4:R82">
    <cfRule type="cellIs" dxfId="40" priority="5" operator="notEqual">
      <formula>0</formula>
    </cfRule>
  </conditionalFormatting>
  <conditionalFormatting sqref="U4:U82">
    <cfRule type="cellIs" dxfId="39" priority="4" operator="notEqual">
      <formula>0</formula>
    </cfRule>
  </conditionalFormatting>
  <conditionalFormatting sqref="X4:X82">
    <cfRule type="cellIs" dxfId="38" priority="3" operator="notEqual">
      <formula>0</formula>
    </cfRule>
  </conditionalFormatting>
  <conditionalFormatting sqref="AA4:AA82">
    <cfRule type="cellIs" dxfId="37" priority="2" operator="notEqual">
      <formula>0</formula>
    </cfRule>
  </conditionalFormatting>
  <conditionalFormatting sqref="AD4:AD82">
    <cfRule type="cellIs" dxfId="36" priority="1" operator="not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D15"/>
  <sheetViews>
    <sheetView workbookViewId="0">
      <selection activeCell="C34" sqref="C34"/>
    </sheetView>
  </sheetViews>
  <sheetFormatPr defaultRowHeight="15" x14ac:dyDescent="0.25"/>
  <cols>
    <col min="1" max="1" width="13.28515625" style="11" customWidth="1"/>
    <col min="2" max="2" width="15" style="11" bestFit="1" customWidth="1"/>
    <col min="3" max="3" width="13.28515625" style="11" customWidth="1"/>
    <col min="4" max="4" width="14.5703125" bestFit="1" customWidth="1"/>
    <col min="5" max="5" width="15.140625" bestFit="1" customWidth="1"/>
    <col min="6" max="6" width="9.7109375" bestFit="1" customWidth="1"/>
    <col min="7" max="7" width="10.85546875" bestFit="1" customWidth="1"/>
    <col min="8" max="8" width="10.7109375" bestFit="1" customWidth="1"/>
    <col min="9" max="9" width="9.85546875" bestFit="1" customWidth="1"/>
    <col min="10" max="10" width="15.7109375" bestFit="1" customWidth="1"/>
    <col min="11" max="11" width="16.28515625" bestFit="1" customWidth="1"/>
    <col min="12" max="12" width="8.28515625" customWidth="1"/>
    <col min="13" max="13" width="10.140625" bestFit="1" customWidth="1"/>
    <col min="14" max="14" width="10.28515625" bestFit="1" customWidth="1"/>
    <col min="15" max="15" width="12.140625" customWidth="1"/>
    <col min="16" max="16" width="13.7109375" bestFit="1" customWidth="1"/>
    <col min="17" max="17" width="14.28515625" bestFit="1" customWidth="1"/>
    <col min="18" max="18" width="13.140625" customWidth="1"/>
    <col min="20" max="20" width="10.140625" bestFit="1" customWidth="1"/>
  </cols>
  <sheetData>
    <row r="2" spans="1:30" x14ac:dyDescent="0.25">
      <c r="D2" s="33" t="s">
        <v>39</v>
      </c>
      <c r="E2" s="34"/>
      <c r="F2" s="31"/>
      <c r="G2" s="34" t="s">
        <v>40</v>
      </c>
      <c r="H2" s="34"/>
      <c r="I2" s="34"/>
      <c r="J2" s="33" t="s">
        <v>41</v>
      </c>
      <c r="K2" s="34"/>
      <c r="L2" s="34"/>
      <c r="M2" s="34" t="s">
        <v>42</v>
      </c>
      <c r="N2" s="34"/>
      <c r="O2" s="34"/>
      <c r="P2" s="34" t="s">
        <v>43</v>
      </c>
      <c r="Q2" s="34"/>
      <c r="R2" s="31"/>
      <c r="S2" s="31" t="s">
        <v>92</v>
      </c>
      <c r="T2" s="32"/>
      <c r="U2" s="33"/>
      <c r="V2" s="31" t="s">
        <v>90</v>
      </c>
      <c r="W2" s="32"/>
      <c r="X2" s="33"/>
      <c r="Y2" s="31" t="s">
        <v>93</v>
      </c>
      <c r="Z2" s="32"/>
      <c r="AA2" s="33"/>
      <c r="AB2" s="34" t="s">
        <v>91</v>
      </c>
      <c r="AC2" s="34"/>
      <c r="AD2" s="34"/>
    </row>
    <row r="3" spans="1:30" x14ac:dyDescent="0.25">
      <c r="A3" s="12" t="s">
        <v>44</v>
      </c>
      <c r="B3" s="12" t="s">
        <v>71</v>
      </c>
      <c r="C3" s="12" t="s">
        <v>45</v>
      </c>
      <c r="D3" s="7" t="s">
        <v>104</v>
      </c>
      <c r="E3" s="6" t="s">
        <v>105</v>
      </c>
      <c r="F3" s="8" t="s">
        <v>38</v>
      </c>
      <c r="G3" s="7" t="s">
        <v>104</v>
      </c>
      <c r="H3" s="6" t="s">
        <v>105</v>
      </c>
      <c r="I3" s="8" t="s">
        <v>38</v>
      </c>
      <c r="J3" s="7" t="s">
        <v>104</v>
      </c>
      <c r="K3" s="6" t="s">
        <v>105</v>
      </c>
      <c r="L3" s="8" t="s">
        <v>38</v>
      </c>
      <c r="M3" s="7" t="s">
        <v>104</v>
      </c>
      <c r="N3" s="6" t="s">
        <v>105</v>
      </c>
      <c r="O3" s="8" t="s">
        <v>38</v>
      </c>
      <c r="P3" s="7" t="s">
        <v>104</v>
      </c>
      <c r="Q3" s="6" t="s">
        <v>105</v>
      </c>
      <c r="R3" s="8" t="s">
        <v>38</v>
      </c>
      <c r="S3" s="7" t="s">
        <v>104</v>
      </c>
      <c r="T3" s="6" t="s">
        <v>105</v>
      </c>
      <c r="U3" s="8" t="s">
        <v>38</v>
      </c>
      <c r="V3" s="7" t="s">
        <v>104</v>
      </c>
      <c r="W3" s="6" t="s">
        <v>105</v>
      </c>
      <c r="X3" s="8" t="s">
        <v>38</v>
      </c>
      <c r="Y3" s="7" t="s">
        <v>104</v>
      </c>
      <c r="Z3" s="6" t="s">
        <v>105</v>
      </c>
      <c r="AA3" s="8" t="s">
        <v>38</v>
      </c>
      <c r="AB3" s="7" t="s">
        <v>104</v>
      </c>
      <c r="AC3" s="6" t="s">
        <v>105</v>
      </c>
      <c r="AD3" s="8" t="s">
        <v>38</v>
      </c>
    </row>
    <row r="4" spans="1:30" x14ac:dyDescent="0.25">
      <c r="C4" s="11">
        <v>3</v>
      </c>
      <c r="D4" s="9">
        <v>0</v>
      </c>
      <c r="E4" s="9"/>
      <c r="F4">
        <v>0</v>
      </c>
      <c r="G4" s="9">
        <v>0</v>
      </c>
      <c r="H4" s="9"/>
      <c r="I4">
        <v>0</v>
      </c>
      <c r="J4" s="9">
        <v>0</v>
      </c>
      <c r="K4" s="9"/>
      <c r="L4">
        <v>0</v>
      </c>
      <c r="M4" s="9">
        <v>0</v>
      </c>
      <c r="N4" s="9"/>
      <c r="O4">
        <v>0</v>
      </c>
      <c r="P4" s="10">
        <v>1.43</v>
      </c>
      <c r="Q4" s="10"/>
      <c r="R4">
        <v>-1.43</v>
      </c>
      <c r="S4" s="9"/>
      <c r="T4" s="9"/>
      <c r="U4">
        <v>0</v>
      </c>
      <c r="X4">
        <v>0</v>
      </c>
      <c r="AA4">
        <v>0</v>
      </c>
      <c r="AD4">
        <v>0</v>
      </c>
    </row>
    <row r="5" spans="1:30" x14ac:dyDescent="0.25">
      <c r="A5" s="11">
        <v>1686875</v>
      </c>
      <c r="B5" s="11">
        <v>1686875</v>
      </c>
      <c r="C5" s="11" t="s">
        <v>121</v>
      </c>
      <c r="D5" s="9">
        <v>250000000</v>
      </c>
      <c r="E5" s="9">
        <v>250000000</v>
      </c>
      <c r="F5">
        <v>0</v>
      </c>
      <c r="G5" s="9">
        <v>-48457.024975031294</v>
      </c>
      <c r="H5" s="9">
        <v>-49019.108286678966</v>
      </c>
      <c r="I5">
        <v>-562.08000000000004</v>
      </c>
      <c r="J5" s="9">
        <v>325.93583361589799</v>
      </c>
      <c r="K5" s="9">
        <v>349.70706656599361</v>
      </c>
      <c r="L5">
        <v>23.77</v>
      </c>
      <c r="M5" s="9">
        <v>1670018.5835961944</v>
      </c>
      <c r="N5" s="9">
        <v>2205002.540732</v>
      </c>
      <c r="O5">
        <v>534983.96</v>
      </c>
      <c r="P5" s="10">
        <v>2.746</v>
      </c>
      <c r="Q5" s="10">
        <v>2.746</v>
      </c>
      <c r="R5">
        <v>0</v>
      </c>
      <c r="S5" s="9"/>
      <c r="T5" s="9" t="s">
        <v>107</v>
      </c>
      <c r="U5">
        <v>0</v>
      </c>
      <c r="W5" t="s">
        <v>107</v>
      </c>
      <c r="X5">
        <v>0</v>
      </c>
      <c r="Z5" t="s">
        <v>107</v>
      </c>
      <c r="AA5">
        <v>0</v>
      </c>
      <c r="AC5" t="s">
        <v>107</v>
      </c>
      <c r="AD5">
        <v>0</v>
      </c>
    </row>
    <row r="6" spans="1:30" x14ac:dyDescent="0.25">
      <c r="A6" s="11">
        <v>1686876</v>
      </c>
      <c r="B6" s="11">
        <v>1686876</v>
      </c>
      <c r="C6" s="11" t="s">
        <v>122</v>
      </c>
      <c r="D6" s="9">
        <v>579000000</v>
      </c>
      <c r="E6" s="9">
        <v>579000000</v>
      </c>
      <c r="F6">
        <v>0</v>
      </c>
      <c r="G6" s="9">
        <v>-255833.27045266109</v>
      </c>
      <c r="H6" s="9">
        <v>-262990.61508989346</v>
      </c>
      <c r="I6">
        <v>-7157.34</v>
      </c>
      <c r="J6" s="9">
        <v>3468.8365575016096</v>
      </c>
      <c r="K6" s="9">
        <v>3653.7008100750108</v>
      </c>
      <c r="L6">
        <v>184.86</v>
      </c>
      <c r="M6" s="9">
        <v>5940494.7328612935</v>
      </c>
      <c r="N6" s="9">
        <v>7559516.4833749998</v>
      </c>
      <c r="O6">
        <v>1619021.75</v>
      </c>
      <c r="P6" s="10">
        <v>3.3149999999999999</v>
      </c>
      <c r="Q6" s="10">
        <v>3.3149999999999999</v>
      </c>
      <c r="R6">
        <v>0</v>
      </c>
      <c r="S6" s="9"/>
      <c r="T6" s="9" t="s">
        <v>107</v>
      </c>
      <c r="U6">
        <v>0</v>
      </c>
      <c r="W6" t="s">
        <v>107</v>
      </c>
      <c r="X6">
        <v>0</v>
      </c>
      <c r="Z6" t="s">
        <v>107</v>
      </c>
      <c r="AA6">
        <v>0</v>
      </c>
      <c r="AC6" t="s">
        <v>107</v>
      </c>
      <c r="AD6">
        <v>0</v>
      </c>
    </row>
    <row r="7" spans="1:30" x14ac:dyDescent="0.25">
      <c r="A7" s="11">
        <v>1686874</v>
      </c>
      <c r="B7" s="11">
        <v>1686874</v>
      </c>
      <c r="C7" s="11" t="s">
        <v>123</v>
      </c>
      <c r="D7" s="9">
        <v>425000000</v>
      </c>
      <c r="E7" s="9">
        <v>425000000</v>
      </c>
      <c r="F7">
        <v>0</v>
      </c>
      <c r="G7" s="9">
        <v>-164584.53562162691</v>
      </c>
      <c r="H7" s="9">
        <v>-170629.60246276768</v>
      </c>
      <c r="I7">
        <v>-6045.07</v>
      </c>
      <c r="J7" s="9">
        <v>3821.232093969923</v>
      </c>
      <c r="K7" s="9">
        <v>4005.3056178091124</v>
      </c>
      <c r="L7">
        <v>184.07</v>
      </c>
      <c r="M7" s="9">
        <v>5394506.3014469966</v>
      </c>
      <c r="N7" s="9">
        <v>5478819.9903199999</v>
      </c>
      <c r="O7">
        <v>84313.69</v>
      </c>
      <c r="P7" s="10">
        <v>3.5874999999999999</v>
      </c>
      <c r="Q7" s="10">
        <v>3.5874999999999999</v>
      </c>
      <c r="R7">
        <v>0</v>
      </c>
      <c r="S7" s="9"/>
      <c r="T7" s="9" t="s">
        <v>107</v>
      </c>
      <c r="U7">
        <v>0</v>
      </c>
      <c r="W7" t="s">
        <v>107</v>
      </c>
      <c r="X7">
        <v>0</v>
      </c>
      <c r="Z7" t="s">
        <v>107</v>
      </c>
      <c r="AA7">
        <v>0</v>
      </c>
      <c r="AC7" t="s">
        <v>107</v>
      </c>
      <c r="AD7">
        <v>0</v>
      </c>
    </row>
    <row r="8" spans="1:30" x14ac:dyDescent="0.25">
      <c r="A8" s="11">
        <v>1708591</v>
      </c>
      <c r="B8" s="11">
        <v>1708591</v>
      </c>
      <c r="C8" s="11">
        <v>3</v>
      </c>
      <c r="D8" s="9">
        <v>402000000</v>
      </c>
      <c r="E8" s="9">
        <v>402000000</v>
      </c>
      <c r="F8">
        <v>0</v>
      </c>
      <c r="G8" s="9">
        <v>-119251.69940817008</v>
      </c>
      <c r="H8" s="9">
        <v>-119313.11292159552</v>
      </c>
      <c r="I8">
        <v>-61.41</v>
      </c>
      <c r="J8" s="9">
        <v>415.18868835135316</v>
      </c>
      <c r="K8" s="9">
        <v>473.74753737456581</v>
      </c>
      <c r="L8">
        <v>58.56</v>
      </c>
      <c r="M8" s="9">
        <v>627500.92325636349</v>
      </c>
      <c r="N8" s="9">
        <v>1597736.4403079997</v>
      </c>
      <c r="O8">
        <v>970235.52</v>
      </c>
      <c r="P8" s="10">
        <v>1.4824999999999999</v>
      </c>
      <c r="Q8" s="10">
        <v>1.4824999999999999</v>
      </c>
      <c r="R8">
        <v>0</v>
      </c>
      <c r="S8" s="9"/>
      <c r="T8" s="9" t="s">
        <v>107</v>
      </c>
      <c r="U8">
        <v>0</v>
      </c>
      <c r="W8" t="s">
        <v>107</v>
      </c>
      <c r="X8">
        <v>0</v>
      </c>
      <c r="Z8" t="s">
        <v>107</v>
      </c>
      <c r="AA8">
        <v>0</v>
      </c>
      <c r="AC8" t="s">
        <v>107</v>
      </c>
      <c r="AD8">
        <v>0</v>
      </c>
    </row>
    <row r="9" spans="1:30" x14ac:dyDescent="0.25">
      <c r="A9" s="11">
        <v>1689109</v>
      </c>
      <c r="B9" s="11">
        <v>1689109</v>
      </c>
      <c r="C9" s="11" t="s">
        <v>127</v>
      </c>
      <c r="D9" s="9">
        <v>280000000</v>
      </c>
      <c r="E9" s="9">
        <v>280000000</v>
      </c>
      <c r="F9">
        <v>0</v>
      </c>
      <c r="G9" s="9">
        <v>-93495.745639206885</v>
      </c>
      <c r="H9" s="9">
        <v>-97464.733973533439</v>
      </c>
      <c r="I9">
        <v>-3968.99</v>
      </c>
      <c r="J9" s="9">
        <v>3075.802598715467</v>
      </c>
      <c r="K9" s="9">
        <v>3215.1433359959137</v>
      </c>
      <c r="L9">
        <v>139.34</v>
      </c>
      <c r="M9" s="9">
        <v>2750077.5308639859</v>
      </c>
      <c r="N9" s="9">
        <v>3039869.758835</v>
      </c>
      <c r="O9">
        <v>289792.23</v>
      </c>
      <c r="P9" s="10">
        <v>3.556</v>
      </c>
      <c r="Q9" s="10">
        <v>3.556</v>
      </c>
      <c r="R9">
        <v>0</v>
      </c>
      <c r="S9" s="9"/>
      <c r="T9" s="9" t="s">
        <v>107</v>
      </c>
      <c r="U9">
        <v>0</v>
      </c>
      <c r="W9" t="s">
        <v>107</v>
      </c>
      <c r="X9">
        <v>0</v>
      </c>
      <c r="Z9" t="s">
        <v>107</v>
      </c>
      <c r="AA9">
        <v>0</v>
      </c>
      <c r="AC9" t="s">
        <v>107</v>
      </c>
      <c r="AD9">
        <v>0</v>
      </c>
    </row>
    <row r="10" spans="1:30" x14ac:dyDescent="0.25">
      <c r="A10" s="11">
        <v>1688785</v>
      </c>
      <c r="B10" s="11">
        <v>1688785</v>
      </c>
      <c r="C10" s="11" t="s">
        <v>128</v>
      </c>
      <c r="D10" s="9">
        <v>125000000</v>
      </c>
      <c r="E10" s="9">
        <v>125000000</v>
      </c>
      <c r="F10">
        <v>0</v>
      </c>
      <c r="G10" s="9">
        <v>-65205.024125579577</v>
      </c>
      <c r="H10" s="9">
        <v>-69668.256149500026</v>
      </c>
      <c r="I10">
        <v>-4463.2299999999996</v>
      </c>
      <c r="J10" s="9">
        <v>3099.0276563282459</v>
      </c>
      <c r="K10" s="9">
        <v>3256.6454735390162</v>
      </c>
      <c r="L10">
        <v>157.62</v>
      </c>
      <c r="M10" s="9">
        <v>1004744.1795153905</v>
      </c>
      <c r="N10" s="9">
        <v>1890251.0977364001</v>
      </c>
      <c r="O10">
        <v>885506.92</v>
      </c>
      <c r="P10" s="10">
        <v>3.4049999999999998</v>
      </c>
      <c r="Q10" s="10">
        <v>3.4049999999999998</v>
      </c>
      <c r="R10">
        <v>0</v>
      </c>
      <c r="S10" s="9"/>
      <c r="T10" s="9" t="s">
        <v>107</v>
      </c>
      <c r="U10">
        <v>0</v>
      </c>
      <c r="W10" t="s">
        <v>107</v>
      </c>
      <c r="X10">
        <v>0</v>
      </c>
      <c r="Y10" s="29"/>
      <c r="Z10" s="29" t="s">
        <v>107</v>
      </c>
      <c r="AA10">
        <v>0</v>
      </c>
      <c r="AC10" t="s">
        <v>107</v>
      </c>
      <c r="AD10">
        <v>0</v>
      </c>
    </row>
    <row r="11" spans="1:30" x14ac:dyDescent="0.25">
      <c r="A11" s="11">
        <v>1702220</v>
      </c>
      <c r="B11" s="11">
        <v>1702220</v>
      </c>
      <c r="C11" s="11" t="s">
        <v>129</v>
      </c>
      <c r="D11" s="9">
        <v>200000000</v>
      </c>
      <c r="E11" s="9">
        <v>200000000</v>
      </c>
      <c r="F11">
        <v>0</v>
      </c>
      <c r="G11" s="9">
        <v>12124712.903979072</v>
      </c>
      <c r="H11" s="9">
        <v>10446463.532209855</v>
      </c>
      <c r="I11">
        <v>-1678249.37</v>
      </c>
      <c r="J11" s="9">
        <v>18243492.613657989</v>
      </c>
      <c r="K11" s="9">
        <v>17839459.534360368</v>
      </c>
      <c r="L11">
        <v>-404033.08</v>
      </c>
      <c r="M11" s="9">
        <v>5462782.8359474903</v>
      </c>
      <c r="N11" s="9">
        <v>4379856.0950233499</v>
      </c>
      <c r="O11">
        <v>-1082926.74</v>
      </c>
      <c r="P11" s="10">
        <v>3.2</v>
      </c>
      <c r="Q11" s="10">
        <v>3.2</v>
      </c>
      <c r="R11">
        <v>0</v>
      </c>
      <c r="S11" s="9">
        <v>316828.3761689206</v>
      </c>
      <c r="T11" s="9">
        <v>292649.98071994277</v>
      </c>
      <c r="U11">
        <v>-24178.400000000001</v>
      </c>
      <c r="V11">
        <v>1019043.4858652676</v>
      </c>
      <c r="W11">
        <v>957569.88113191037</v>
      </c>
      <c r="X11">
        <v>-61473.599999999999</v>
      </c>
      <c r="Y11" s="29">
        <v>0.26883401773940413</v>
      </c>
      <c r="Z11" s="29">
        <v>0.27336259243709726</v>
      </c>
      <c r="AA11">
        <v>0</v>
      </c>
      <c r="AB11">
        <v>83.775505568210107</v>
      </c>
      <c r="AC11">
        <v>83.814602436070047</v>
      </c>
      <c r="AD11">
        <v>0.04</v>
      </c>
    </row>
    <row r="12" spans="1:30" x14ac:dyDescent="0.25">
      <c r="A12" s="11">
        <v>1697027</v>
      </c>
      <c r="B12" s="11">
        <v>1697027</v>
      </c>
      <c r="C12" s="11" t="s">
        <v>130</v>
      </c>
      <c r="D12" s="9">
        <v>750000000</v>
      </c>
      <c r="E12" s="9">
        <v>750000000</v>
      </c>
      <c r="F12">
        <v>0</v>
      </c>
      <c r="G12" s="9">
        <v>-5947736.7594138477</v>
      </c>
      <c r="H12" s="9">
        <v>-7583173.0647856779</v>
      </c>
      <c r="I12">
        <v>-1635436.31</v>
      </c>
      <c r="J12" s="9">
        <v>15696884.863577498</v>
      </c>
      <c r="K12" s="9">
        <v>19087424.304967232</v>
      </c>
      <c r="L12">
        <v>3390539.44</v>
      </c>
      <c r="M12" s="9">
        <v>1758731.94901368</v>
      </c>
      <c r="N12" s="9">
        <v>2327935.7767571602</v>
      </c>
      <c r="O12">
        <v>569203.82999999996</v>
      </c>
      <c r="P12" s="10">
        <v>1.7500000000000002</v>
      </c>
      <c r="Q12" s="10">
        <v>1.75</v>
      </c>
      <c r="R12">
        <v>0</v>
      </c>
      <c r="S12" s="9">
        <v>170310.2555268101</v>
      </c>
      <c r="T12" s="9">
        <v>197674.83567962272</v>
      </c>
      <c r="U12">
        <v>27364.58</v>
      </c>
      <c r="V12">
        <v>800547.91417822952</v>
      </c>
      <c r="W12">
        <v>945770.11899280339</v>
      </c>
      <c r="X12">
        <v>145222.20000000001</v>
      </c>
      <c r="Y12" s="29">
        <v>0.40054268496229045</v>
      </c>
      <c r="Z12" s="29">
        <v>0.40830153245375927</v>
      </c>
      <c r="AA12">
        <v>0.01</v>
      </c>
      <c r="AB12">
        <v>86.569521108157048</v>
      </c>
      <c r="AC12">
        <v>86.554968126824178</v>
      </c>
      <c r="AD12">
        <v>-0.01</v>
      </c>
    </row>
    <row r="15" spans="1:30" x14ac:dyDescent="0.25">
      <c r="F15" s="11"/>
      <c r="I15" s="11"/>
      <c r="L15" s="11"/>
      <c r="O15" s="11"/>
      <c r="R15" s="11"/>
      <c r="U15" s="11"/>
      <c r="X15" s="11"/>
      <c r="AA15" s="11"/>
      <c r="AD15" s="11"/>
    </row>
  </sheetData>
  <mergeCells count="9">
    <mergeCell ref="V2:X2"/>
    <mergeCell ref="Y2:AA2"/>
    <mergeCell ref="AB2:AD2"/>
    <mergeCell ref="S2:U2"/>
    <mergeCell ref="D2:F2"/>
    <mergeCell ref="G2:I2"/>
    <mergeCell ref="J2:L2"/>
    <mergeCell ref="M2:O2"/>
    <mergeCell ref="P2:R2"/>
  </mergeCells>
  <conditionalFormatting sqref="F4:F82">
    <cfRule type="cellIs" dxfId="35" priority="9" operator="notEqual">
      <formula>0</formula>
    </cfRule>
  </conditionalFormatting>
  <conditionalFormatting sqref="I4:I82">
    <cfRule type="cellIs" dxfId="34" priority="8" operator="notEqual">
      <formula>0</formula>
    </cfRule>
  </conditionalFormatting>
  <conditionalFormatting sqref="L4:L82">
    <cfRule type="cellIs" dxfId="33" priority="7" operator="notEqual">
      <formula>0</formula>
    </cfRule>
  </conditionalFormatting>
  <conditionalFormatting sqref="O4:O82">
    <cfRule type="cellIs" dxfId="32" priority="6" operator="notEqual">
      <formula>0</formula>
    </cfRule>
  </conditionalFormatting>
  <conditionalFormatting sqref="R4:R82">
    <cfRule type="cellIs" dxfId="31" priority="5" operator="notEqual">
      <formula>0</formula>
    </cfRule>
  </conditionalFormatting>
  <conditionalFormatting sqref="U4:U82">
    <cfRule type="cellIs" dxfId="30" priority="4" operator="notEqual">
      <formula>0</formula>
    </cfRule>
  </conditionalFormatting>
  <conditionalFormatting sqref="X4:X82">
    <cfRule type="cellIs" dxfId="29" priority="3" operator="notEqual">
      <formula>0</formula>
    </cfRule>
  </conditionalFormatting>
  <conditionalFormatting sqref="AA4:AA82">
    <cfRule type="cellIs" dxfId="28" priority="2" operator="notEqual">
      <formula>0</formula>
    </cfRule>
  </conditionalFormatting>
  <conditionalFormatting sqref="AD4:AD82">
    <cfRule type="cellIs" dxfId="27" priority="1" operator="not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D15"/>
  <sheetViews>
    <sheetView workbookViewId="0">
      <selection activeCell="A3" sqref="A3"/>
    </sheetView>
  </sheetViews>
  <sheetFormatPr defaultRowHeight="15" x14ac:dyDescent="0.25"/>
  <cols>
    <col min="1" max="1" width="12.7109375" style="11" customWidth="1"/>
    <col min="2" max="2" width="15" style="11" bestFit="1" customWidth="1"/>
    <col min="3" max="3" width="12.7109375" style="11" customWidth="1"/>
    <col min="4" max="4" width="14.5703125" bestFit="1" customWidth="1"/>
    <col min="5" max="5" width="15.140625" bestFit="1" customWidth="1"/>
    <col min="6" max="6" width="10" bestFit="1" customWidth="1"/>
    <col min="7" max="7" width="10.85546875" bestFit="1" customWidth="1"/>
    <col min="8" max="8" width="10.7109375" bestFit="1" customWidth="1"/>
    <col min="9" max="9" width="11.7109375" customWidth="1"/>
    <col min="10" max="10" width="15.7109375" bestFit="1" customWidth="1"/>
    <col min="11" max="11" width="16.28515625" bestFit="1" customWidth="1"/>
    <col min="12" max="12" width="10.140625" bestFit="1" customWidth="1"/>
    <col min="13" max="13" width="12.28515625" customWidth="1"/>
    <col min="14" max="14" width="14.140625" customWidth="1"/>
    <col min="15" max="15" width="12.7109375" bestFit="1" customWidth="1"/>
    <col min="16" max="16" width="13.7109375" bestFit="1" customWidth="1"/>
    <col min="17" max="17" width="14.28515625" bestFit="1" customWidth="1"/>
    <col min="18" max="18" width="12.7109375" bestFit="1" customWidth="1"/>
  </cols>
  <sheetData>
    <row r="2" spans="1:30" x14ac:dyDescent="0.25">
      <c r="D2" s="33" t="s">
        <v>39</v>
      </c>
      <c r="E2" s="34"/>
      <c r="F2" s="31"/>
      <c r="G2" s="34" t="s">
        <v>40</v>
      </c>
      <c r="H2" s="34"/>
      <c r="I2" s="34"/>
      <c r="J2" s="33" t="s">
        <v>41</v>
      </c>
      <c r="K2" s="34"/>
      <c r="L2" s="34"/>
      <c r="M2" s="34" t="s">
        <v>42</v>
      </c>
      <c r="N2" s="34"/>
      <c r="O2" s="34"/>
      <c r="P2" s="34" t="s">
        <v>43</v>
      </c>
      <c r="Q2" s="34"/>
      <c r="R2" s="31"/>
      <c r="S2" s="31" t="s">
        <v>92</v>
      </c>
      <c r="T2" s="32"/>
      <c r="U2" s="33"/>
      <c r="V2" s="31" t="s">
        <v>90</v>
      </c>
      <c r="W2" s="32"/>
      <c r="X2" s="33"/>
      <c r="Y2" s="31" t="s">
        <v>93</v>
      </c>
      <c r="Z2" s="32"/>
      <c r="AA2" s="33"/>
      <c r="AB2" s="34" t="s">
        <v>91</v>
      </c>
      <c r="AC2" s="34"/>
      <c r="AD2" s="34"/>
    </row>
    <row r="3" spans="1:30" x14ac:dyDescent="0.25">
      <c r="A3" s="12" t="s">
        <v>44</v>
      </c>
      <c r="B3" s="12" t="s">
        <v>71</v>
      </c>
      <c r="C3" s="12" t="s">
        <v>45</v>
      </c>
      <c r="D3" s="7" t="s">
        <v>104</v>
      </c>
      <c r="E3" s="6" t="s">
        <v>105</v>
      </c>
      <c r="F3" s="8" t="s">
        <v>38</v>
      </c>
      <c r="G3" s="7" t="s">
        <v>104</v>
      </c>
      <c r="H3" s="6" t="s">
        <v>105</v>
      </c>
      <c r="I3" s="8" t="s">
        <v>38</v>
      </c>
      <c r="J3" s="7" t="s">
        <v>104</v>
      </c>
      <c r="K3" s="6" t="s">
        <v>105</v>
      </c>
      <c r="L3" s="8" t="s">
        <v>38</v>
      </c>
      <c r="M3" s="7" t="s">
        <v>104</v>
      </c>
      <c r="N3" s="6" t="s">
        <v>105</v>
      </c>
      <c r="O3" s="8" t="s">
        <v>38</v>
      </c>
      <c r="P3" s="7" t="s">
        <v>104</v>
      </c>
      <c r="Q3" s="6" t="s">
        <v>105</v>
      </c>
      <c r="R3" s="8" t="s">
        <v>38</v>
      </c>
      <c r="S3" s="7" t="s">
        <v>104</v>
      </c>
      <c r="T3" s="6" t="s">
        <v>105</v>
      </c>
      <c r="U3" s="8" t="s">
        <v>38</v>
      </c>
      <c r="V3" s="7" t="s">
        <v>104</v>
      </c>
      <c r="W3" s="6" t="s">
        <v>105</v>
      </c>
      <c r="X3" s="8" t="s">
        <v>38</v>
      </c>
      <c r="Y3" s="7" t="s">
        <v>104</v>
      </c>
      <c r="Z3" s="6" t="s">
        <v>105</v>
      </c>
      <c r="AA3" s="8" t="s">
        <v>38</v>
      </c>
      <c r="AB3" s="7" t="s">
        <v>104</v>
      </c>
      <c r="AC3" s="6" t="s">
        <v>105</v>
      </c>
      <c r="AD3" s="8" t="s">
        <v>38</v>
      </c>
    </row>
    <row r="4" spans="1:30" x14ac:dyDescent="0.25">
      <c r="A4" s="11">
        <v>1708687</v>
      </c>
      <c r="B4" s="11">
        <v>1708687</v>
      </c>
      <c r="C4" s="11">
        <v>3</v>
      </c>
      <c r="D4" s="9">
        <v>410000000</v>
      </c>
      <c r="E4" s="9">
        <v>410000000</v>
      </c>
      <c r="F4">
        <v>0</v>
      </c>
      <c r="G4" s="9">
        <v>-131864.36404077651</v>
      </c>
      <c r="H4" s="9">
        <v>-121687.50322842572</v>
      </c>
      <c r="I4">
        <v>10176.86</v>
      </c>
      <c r="J4" s="9">
        <v>425.97422966551335</v>
      </c>
      <c r="K4" s="9">
        <v>483.17534887781216</v>
      </c>
      <c r="L4">
        <v>57.2</v>
      </c>
      <c r="M4" s="9">
        <v>6192782.3991171764</v>
      </c>
      <c r="N4" s="9">
        <v>1629532.1903639997</v>
      </c>
      <c r="O4">
        <v>-4563250.21</v>
      </c>
      <c r="P4" s="10">
        <v>1.4824999999999999</v>
      </c>
      <c r="Q4" s="10">
        <v>1.4824999999999999</v>
      </c>
      <c r="R4">
        <v>0</v>
      </c>
      <c r="S4" s="9"/>
      <c r="T4" s="9" t="s">
        <v>107</v>
      </c>
      <c r="U4">
        <v>0</v>
      </c>
      <c r="W4" t="s">
        <v>107</v>
      </c>
      <c r="X4">
        <v>0</v>
      </c>
      <c r="Z4" t="s">
        <v>107</v>
      </c>
      <c r="AA4">
        <v>0</v>
      </c>
      <c r="AC4" t="s">
        <v>107</v>
      </c>
      <c r="AD4">
        <v>0</v>
      </c>
    </row>
    <row r="5" spans="1:30" x14ac:dyDescent="0.25">
      <c r="A5" s="11">
        <v>1687516</v>
      </c>
      <c r="B5" s="11">
        <v>1687516</v>
      </c>
      <c r="C5" s="11" t="s">
        <v>121</v>
      </c>
      <c r="D5" s="9">
        <v>470000000</v>
      </c>
      <c r="E5" s="9">
        <v>470000000</v>
      </c>
      <c r="F5">
        <v>0</v>
      </c>
      <c r="G5" s="9">
        <v>-91099.206953058834</v>
      </c>
      <c r="H5" s="9">
        <v>-92155.923579037029</v>
      </c>
      <c r="I5">
        <v>-1056.72</v>
      </c>
      <c r="J5" s="9">
        <v>612.7593671978882</v>
      </c>
      <c r="K5" s="9">
        <v>657.44928520938834</v>
      </c>
      <c r="L5">
        <v>44.69</v>
      </c>
      <c r="M5" s="9">
        <v>3139634.9371608458</v>
      </c>
      <c r="N5" s="9">
        <v>4145404.776577</v>
      </c>
      <c r="O5">
        <v>1005769.84</v>
      </c>
      <c r="P5" s="10">
        <v>2.746</v>
      </c>
      <c r="Q5" s="10">
        <v>2.746</v>
      </c>
      <c r="R5">
        <v>0</v>
      </c>
      <c r="S5" s="9"/>
      <c r="T5" s="9" t="s">
        <v>107</v>
      </c>
      <c r="U5">
        <v>0</v>
      </c>
      <c r="W5" t="s">
        <v>107</v>
      </c>
      <c r="X5">
        <v>0</v>
      </c>
      <c r="Z5" t="s">
        <v>107</v>
      </c>
      <c r="AA5">
        <v>0</v>
      </c>
      <c r="AC5" t="s">
        <v>107</v>
      </c>
      <c r="AD5">
        <v>0</v>
      </c>
    </row>
    <row r="6" spans="1:30" x14ac:dyDescent="0.25">
      <c r="A6" s="11">
        <v>1687521</v>
      </c>
      <c r="B6" s="11">
        <v>1687521</v>
      </c>
      <c r="C6" s="11" t="s">
        <v>122</v>
      </c>
      <c r="D6" s="9">
        <v>585000000</v>
      </c>
      <c r="E6" s="9">
        <v>585000000</v>
      </c>
      <c r="F6">
        <v>0</v>
      </c>
      <c r="G6" s="9">
        <v>-258484.39242626383</v>
      </c>
      <c r="H6" s="9">
        <v>-265715.9064378746</v>
      </c>
      <c r="I6">
        <v>-7231.51</v>
      </c>
      <c r="J6" s="9">
        <v>3504.7830503254604</v>
      </c>
      <c r="K6" s="9">
        <v>3691.562994599924</v>
      </c>
      <c r="L6">
        <v>186.78</v>
      </c>
      <c r="M6" s="9">
        <v>6002054.2637717724</v>
      </c>
      <c r="N6" s="9">
        <v>7637853.4417519998</v>
      </c>
      <c r="O6">
        <v>1635799.18</v>
      </c>
      <c r="P6" s="10">
        <v>3.3149999999999999</v>
      </c>
      <c r="Q6" s="10">
        <v>3.3149999999999999</v>
      </c>
      <c r="R6">
        <v>0</v>
      </c>
      <c r="S6" s="9"/>
      <c r="T6" s="9" t="s">
        <v>107</v>
      </c>
      <c r="U6">
        <v>0</v>
      </c>
      <c r="W6" t="s">
        <v>107</v>
      </c>
      <c r="X6">
        <v>0</v>
      </c>
      <c r="Z6" t="s">
        <v>107</v>
      </c>
      <c r="AA6">
        <v>0</v>
      </c>
      <c r="AC6" t="s">
        <v>107</v>
      </c>
      <c r="AD6">
        <v>0</v>
      </c>
    </row>
    <row r="7" spans="1:30" x14ac:dyDescent="0.25">
      <c r="A7" s="11">
        <v>1689126</v>
      </c>
      <c r="B7" s="11">
        <v>1689126</v>
      </c>
      <c r="C7" s="11" t="s">
        <v>123</v>
      </c>
      <c r="D7" s="9">
        <v>375000000</v>
      </c>
      <c r="E7" s="9">
        <v>375000000</v>
      </c>
      <c r="F7">
        <v>0</v>
      </c>
      <c r="G7" s="9">
        <v>-145221.6490779061</v>
      </c>
      <c r="H7" s="9">
        <v>-150555.53158473945</v>
      </c>
      <c r="I7">
        <v>-5333.88</v>
      </c>
      <c r="J7" s="9">
        <v>3371.6753770322853</v>
      </c>
      <c r="K7" s="9">
        <v>3534.093192339697</v>
      </c>
      <c r="L7">
        <v>162.41999999999999</v>
      </c>
      <c r="M7" s="9">
        <v>4759858.5012767622</v>
      </c>
      <c r="N7" s="9">
        <v>4834252.932635</v>
      </c>
      <c r="O7">
        <v>74394.429999999993</v>
      </c>
      <c r="P7" s="10">
        <v>3.5874999999999999</v>
      </c>
      <c r="Q7" s="10">
        <v>3.5874999999999999</v>
      </c>
      <c r="R7">
        <v>0</v>
      </c>
      <c r="S7" s="9"/>
      <c r="T7" s="9" t="s">
        <v>107</v>
      </c>
      <c r="U7">
        <v>0</v>
      </c>
      <c r="W7" t="s">
        <v>107</v>
      </c>
      <c r="X7">
        <v>0</v>
      </c>
      <c r="Z7" t="s">
        <v>107</v>
      </c>
      <c r="AA7">
        <v>0</v>
      </c>
      <c r="AC7" t="s">
        <v>107</v>
      </c>
      <c r="AD7">
        <v>0</v>
      </c>
    </row>
    <row r="8" spans="1:30" x14ac:dyDescent="0.25">
      <c r="A8" s="11">
        <v>1688856</v>
      </c>
      <c r="B8" s="11">
        <v>1688856</v>
      </c>
      <c r="C8" s="11" t="s">
        <v>124</v>
      </c>
      <c r="D8" s="9">
        <v>98000000</v>
      </c>
      <c r="E8" s="9">
        <v>98000000</v>
      </c>
      <c r="F8">
        <v>0</v>
      </c>
      <c r="G8" s="9">
        <v>-84302.360819248192</v>
      </c>
      <c r="H8" s="9">
        <v>-89207.449102312326</v>
      </c>
      <c r="I8">
        <v>-4905.09</v>
      </c>
      <c r="J8" s="9">
        <v>3518.723007030449</v>
      </c>
      <c r="K8" s="9">
        <v>3691.6245145645212</v>
      </c>
      <c r="L8">
        <v>172.9</v>
      </c>
      <c r="M8" s="9">
        <v>1848361.1858942306</v>
      </c>
      <c r="N8" s="9">
        <v>2646328.2488289</v>
      </c>
      <c r="O8">
        <v>797967.06</v>
      </c>
      <c r="P8" s="10">
        <v>3.476</v>
      </c>
      <c r="Q8" s="10">
        <v>3.476</v>
      </c>
      <c r="R8">
        <v>0</v>
      </c>
      <c r="S8" s="9"/>
      <c r="T8" s="9" t="s">
        <v>107</v>
      </c>
      <c r="U8">
        <v>0</v>
      </c>
      <c r="W8" t="s">
        <v>107</v>
      </c>
      <c r="X8">
        <v>0</v>
      </c>
      <c r="Z8" t="s">
        <v>107</v>
      </c>
      <c r="AA8">
        <v>0</v>
      </c>
      <c r="AC8" t="s">
        <v>107</v>
      </c>
      <c r="AD8">
        <v>0</v>
      </c>
    </row>
    <row r="9" spans="1:30" x14ac:dyDescent="0.25">
      <c r="A9" s="11">
        <v>1689613</v>
      </c>
      <c r="B9" s="11">
        <v>1689613</v>
      </c>
      <c r="C9" s="11" t="s">
        <v>125</v>
      </c>
      <c r="D9" s="9">
        <v>125000000</v>
      </c>
      <c r="E9" s="9">
        <v>125000000</v>
      </c>
      <c r="F9">
        <v>0</v>
      </c>
      <c r="G9" s="9">
        <v>-41732.732596387323</v>
      </c>
      <c r="H9" s="9">
        <v>-43504.725931719848</v>
      </c>
      <c r="I9">
        <v>-1771.99</v>
      </c>
      <c r="J9" s="9">
        <v>1373.3458253672379</v>
      </c>
      <c r="K9" s="9">
        <v>1435.5558224468034</v>
      </c>
      <c r="L9">
        <v>62.21</v>
      </c>
      <c r="M9" s="9">
        <v>1227465.6891129443</v>
      </c>
      <c r="N9" s="9">
        <v>1356931.5037072999</v>
      </c>
      <c r="O9">
        <v>129465.81</v>
      </c>
      <c r="P9" s="10">
        <v>3.556</v>
      </c>
      <c r="Q9" s="10">
        <v>3.556</v>
      </c>
      <c r="R9">
        <v>0</v>
      </c>
      <c r="S9" s="9"/>
      <c r="T9" s="9" t="s">
        <v>107</v>
      </c>
      <c r="U9">
        <v>0</v>
      </c>
      <c r="W9" t="s">
        <v>107</v>
      </c>
      <c r="X9">
        <v>0</v>
      </c>
      <c r="Y9" s="29"/>
      <c r="Z9" s="29" t="s">
        <v>107</v>
      </c>
      <c r="AA9">
        <v>0</v>
      </c>
      <c r="AC9" t="s">
        <v>107</v>
      </c>
      <c r="AD9">
        <v>0</v>
      </c>
    </row>
    <row r="10" spans="1:30" x14ac:dyDescent="0.25">
      <c r="A10" s="11">
        <v>1689611</v>
      </c>
      <c r="B10" s="11">
        <v>1689611</v>
      </c>
      <c r="C10" s="11" t="s">
        <v>131</v>
      </c>
      <c r="D10" s="9">
        <v>65000000</v>
      </c>
      <c r="E10" s="9">
        <v>65000000</v>
      </c>
      <c r="F10">
        <v>0</v>
      </c>
      <c r="G10" s="9">
        <v>-33906.612545301381</v>
      </c>
      <c r="H10" s="9">
        <v>-36227.493197746488</v>
      </c>
      <c r="I10">
        <v>-2320.88</v>
      </c>
      <c r="J10" s="9">
        <v>1611.4943812906879</v>
      </c>
      <c r="K10" s="9">
        <v>1693.4556462243506</v>
      </c>
      <c r="L10">
        <v>81.96</v>
      </c>
      <c r="M10" s="9">
        <v>522466.97334800306</v>
      </c>
      <c r="N10" s="9">
        <v>982930.57082290004</v>
      </c>
      <c r="O10">
        <v>460463.6</v>
      </c>
      <c r="P10" s="10">
        <v>3.4049999999999998</v>
      </c>
      <c r="Q10" s="10">
        <v>3.4049999999999998</v>
      </c>
      <c r="R10">
        <v>0</v>
      </c>
      <c r="S10" s="9"/>
      <c r="T10" s="9" t="s">
        <v>107</v>
      </c>
      <c r="U10">
        <v>0</v>
      </c>
      <c r="W10" t="s">
        <v>107</v>
      </c>
      <c r="X10">
        <v>0</v>
      </c>
      <c r="Y10" s="29"/>
      <c r="Z10" s="29" t="s">
        <v>107</v>
      </c>
      <c r="AA10">
        <v>0</v>
      </c>
      <c r="AC10" t="s">
        <v>107</v>
      </c>
      <c r="AD10">
        <v>0</v>
      </c>
    </row>
    <row r="11" spans="1:30" x14ac:dyDescent="0.25">
      <c r="A11" s="11">
        <v>1721390</v>
      </c>
      <c r="B11" s="11">
        <v>1721390</v>
      </c>
      <c r="C11" s="11" t="s">
        <v>132</v>
      </c>
      <c r="D11" s="9">
        <v>150000000.00001308</v>
      </c>
      <c r="E11" s="9">
        <v>150000000</v>
      </c>
      <c r="F11">
        <v>0</v>
      </c>
      <c r="G11" s="9">
        <v>6740106.0647538006</v>
      </c>
      <c r="H11" s="9">
        <v>5451624.6810164945</v>
      </c>
      <c r="I11">
        <v>-1288481.3799999999</v>
      </c>
      <c r="J11" s="9">
        <v>14726298.205811122</v>
      </c>
      <c r="K11" s="9">
        <v>13601001.974976342</v>
      </c>
      <c r="L11">
        <v>-1125296.23</v>
      </c>
      <c r="M11" s="9">
        <v>2320689.16511301</v>
      </c>
      <c r="N11" s="9">
        <v>1731359.5336465</v>
      </c>
      <c r="O11">
        <v>-589329.63</v>
      </c>
      <c r="P11" s="10">
        <v>3.3000000000000003</v>
      </c>
      <c r="Q11" s="10">
        <v>3.3</v>
      </c>
      <c r="R11">
        <v>0</v>
      </c>
      <c r="S11" s="9">
        <v>179844.61122186886</v>
      </c>
      <c r="T11" s="9">
        <v>156049.87498104791</v>
      </c>
      <c r="U11">
        <v>-23794.74</v>
      </c>
      <c r="V11">
        <v>571136.6260609125</v>
      </c>
      <c r="W11">
        <v>504437.64887333132</v>
      </c>
      <c r="X11">
        <v>-66698.98</v>
      </c>
      <c r="Y11" s="29">
        <v>0.26930143366418186</v>
      </c>
      <c r="Z11" s="29">
        <v>0.27381201626194335</v>
      </c>
      <c r="AA11">
        <v>0</v>
      </c>
      <c r="AB11">
        <v>85.110546632919664</v>
      </c>
      <c r="AC11">
        <v>85.14827812529191</v>
      </c>
      <c r="AD11">
        <v>0.04</v>
      </c>
    </row>
    <row r="12" spans="1:30" x14ac:dyDescent="0.25">
      <c r="A12" s="11">
        <v>1697029</v>
      </c>
      <c r="B12" s="11">
        <v>1697029</v>
      </c>
      <c r="C12" s="11" t="s">
        <v>126</v>
      </c>
      <c r="D12" s="9">
        <v>0</v>
      </c>
      <c r="E12" s="9">
        <v>0</v>
      </c>
      <c r="F12">
        <v>0</v>
      </c>
      <c r="G12" s="9">
        <v>0</v>
      </c>
      <c r="H12" s="9">
        <v>37216.118407715097</v>
      </c>
      <c r="I12">
        <v>37216.120000000003</v>
      </c>
      <c r="J12" s="9">
        <v>0</v>
      </c>
      <c r="K12" s="9">
        <v>-420.33059708758185</v>
      </c>
      <c r="L12">
        <v>-420.33</v>
      </c>
      <c r="M12" s="9">
        <v>0</v>
      </c>
      <c r="N12" s="9">
        <v>0</v>
      </c>
      <c r="O12">
        <v>0</v>
      </c>
      <c r="P12" s="10">
        <v>2</v>
      </c>
      <c r="Q12" s="10">
        <v>2</v>
      </c>
      <c r="R12">
        <v>0</v>
      </c>
      <c r="S12" s="9">
        <v>0</v>
      </c>
      <c r="T12" s="9">
        <v>0</v>
      </c>
      <c r="U12">
        <v>0</v>
      </c>
      <c r="V12">
        <v>0</v>
      </c>
      <c r="W12">
        <v>0</v>
      </c>
      <c r="X12">
        <v>0</v>
      </c>
      <c r="Y12" s="29">
        <v>0</v>
      </c>
      <c r="Z12" s="29">
        <v>0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s="11">
        <v>1705305</v>
      </c>
      <c r="B13" s="11">
        <v>1705305</v>
      </c>
      <c r="C13" s="11" t="s">
        <v>126</v>
      </c>
      <c r="D13" s="9">
        <v>450000000</v>
      </c>
      <c r="E13" s="9">
        <v>450000000</v>
      </c>
      <c r="F13">
        <v>0</v>
      </c>
      <c r="G13" s="9">
        <v>-2956715.5187295727</v>
      </c>
      <c r="H13" s="9">
        <v>-3742832.6345123583</v>
      </c>
      <c r="I13">
        <v>-786117.12</v>
      </c>
      <c r="J13" s="9">
        <v>7668178.7872981131</v>
      </c>
      <c r="K13" s="9">
        <v>9360425.6446055137</v>
      </c>
      <c r="L13">
        <v>1692246.86</v>
      </c>
      <c r="M13" s="9">
        <v>907539.28240328992</v>
      </c>
      <c r="N13" s="9">
        <v>1183588.7252789701</v>
      </c>
      <c r="O13">
        <v>276049.44</v>
      </c>
      <c r="P13" s="10">
        <v>1.6500000000000001</v>
      </c>
      <c r="Q13" s="10">
        <v>1.65</v>
      </c>
      <c r="R13">
        <v>0</v>
      </c>
      <c r="S13" s="9">
        <v>108866.78835181777</v>
      </c>
      <c r="T13" s="9">
        <v>127801.75137417605</v>
      </c>
      <c r="U13">
        <v>18934.96</v>
      </c>
      <c r="V13">
        <v>503614.48728016048</v>
      </c>
      <c r="W13">
        <v>600768.9223176667</v>
      </c>
      <c r="X13">
        <v>97154.44</v>
      </c>
      <c r="Y13" s="29">
        <v>0.40016299079719425</v>
      </c>
      <c r="Z13" s="29">
        <v>0.40731088140887362</v>
      </c>
      <c r="AA13">
        <v>0.01</v>
      </c>
      <c r="AB13">
        <v>88.407574168956344</v>
      </c>
      <c r="AC13">
        <v>88.409195382697632</v>
      </c>
      <c r="AD13">
        <v>0</v>
      </c>
    </row>
    <row r="14" spans="1:30" x14ac:dyDescent="0.25">
      <c r="Y14" s="29"/>
      <c r="Z14" s="29"/>
    </row>
    <row r="15" spans="1:30" x14ac:dyDescent="0.25">
      <c r="F15" s="11"/>
      <c r="I15" s="11"/>
      <c r="L15" s="11"/>
      <c r="O15" s="11"/>
      <c r="R15" s="11"/>
      <c r="U15" s="11"/>
      <c r="X15" s="11"/>
      <c r="AA15" s="11"/>
      <c r="AD15" s="11"/>
    </row>
  </sheetData>
  <mergeCells count="9">
    <mergeCell ref="V2:X2"/>
    <mergeCell ref="Y2:AA2"/>
    <mergeCell ref="AB2:AD2"/>
    <mergeCell ref="S2:U2"/>
    <mergeCell ref="D2:F2"/>
    <mergeCell ref="G2:I2"/>
    <mergeCell ref="J2:L2"/>
    <mergeCell ref="M2:O2"/>
    <mergeCell ref="P2:R2"/>
  </mergeCells>
  <conditionalFormatting sqref="F4:F82">
    <cfRule type="cellIs" dxfId="26" priority="9" operator="notEqual">
      <formula>0</formula>
    </cfRule>
  </conditionalFormatting>
  <conditionalFormatting sqref="I4:I82">
    <cfRule type="cellIs" dxfId="25" priority="8" operator="notEqual">
      <formula>0</formula>
    </cfRule>
  </conditionalFormatting>
  <conditionalFormatting sqref="L4:L82">
    <cfRule type="cellIs" dxfId="24" priority="7" operator="notEqual">
      <formula>0</formula>
    </cfRule>
  </conditionalFormatting>
  <conditionalFormatting sqref="O4:O82">
    <cfRule type="cellIs" dxfId="23" priority="6" operator="notEqual">
      <formula>0</formula>
    </cfRule>
  </conditionalFormatting>
  <conditionalFormatting sqref="R4:R82">
    <cfRule type="cellIs" dxfId="22" priority="5" operator="notEqual">
      <formula>0</formula>
    </cfRule>
  </conditionalFormatting>
  <conditionalFormatting sqref="U4:U82">
    <cfRule type="cellIs" dxfId="21" priority="4" operator="notEqual">
      <formula>0</formula>
    </cfRule>
  </conditionalFormatting>
  <conditionalFormatting sqref="X4:X82">
    <cfRule type="cellIs" dxfId="20" priority="3" operator="notEqual">
      <formula>0</formula>
    </cfRule>
  </conditionalFormatting>
  <conditionalFormatting sqref="AA4:AA82">
    <cfRule type="cellIs" dxfId="19" priority="2" operator="notEqual">
      <formula>0</formula>
    </cfRule>
  </conditionalFormatting>
  <conditionalFormatting sqref="AD4:AD82">
    <cfRule type="cellIs" dxfId="1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D15"/>
  <sheetViews>
    <sheetView workbookViewId="0">
      <selection activeCell="A3" sqref="A3"/>
    </sheetView>
  </sheetViews>
  <sheetFormatPr defaultRowHeight="15" x14ac:dyDescent="0.25"/>
  <cols>
    <col min="1" max="1" width="9.140625" style="11"/>
    <col min="2" max="2" width="15" style="11" bestFit="1" customWidth="1"/>
    <col min="3" max="3" width="13.7109375" style="11" customWidth="1"/>
    <col min="4" max="4" width="14.5703125" bestFit="1" customWidth="1"/>
    <col min="5" max="5" width="15.140625" bestFit="1" customWidth="1"/>
    <col min="6" max="6" width="11.7109375" bestFit="1" customWidth="1"/>
    <col min="7" max="8" width="10.85546875" bestFit="1" customWidth="1"/>
    <col min="9" max="9" width="21.42578125" bestFit="1" customWidth="1"/>
    <col min="10" max="10" width="15.7109375" bestFit="1" customWidth="1"/>
    <col min="11" max="11" width="16.28515625" bestFit="1" customWidth="1"/>
    <col min="12" max="13" width="10.140625" bestFit="1" customWidth="1"/>
    <col min="14" max="14" width="10.28515625" bestFit="1" customWidth="1"/>
    <col min="15" max="15" width="12.7109375" bestFit="1" customWidth="1"/>
    <col min="16" max="16" width="13.7109375" bestFit="1" customWidth="1"/>
    <col min="17" max="17" width="14.28515625" bestFit="1" customWidth="1"/>
    <col min="18" max="18" width="7.28515625" bestFit="1" customWidth="1"/>
  </cols>
  <sheetData>
    <row r="2" spans="1:30" x14ac:dyDescent="0.25">
      <c r="D2" s="33" t="s">
        <v>39</v>
      </c>
      <c r="E2" s="34"/>
      <c r="F2" s="31"/>
      <c r="G2" s="34" t="s">
        <v>40</v>
      </c>
      <c r="H2" s="34"/>
      <c r="I2" s="34"/>
      <c r="J2" s="33" t="s">
        <v>41</v>
      </c>
      <c r="K2" s="34"/>
      <c r="L2" s="34"/>
      <c r="M2" s="34" t="s">
        <v>42</v>
      </c>
      <c r="N2" s="34"/>
      <c r="O2" s="34"/>
      <c r="P2" s="34" t="s">
        <v>43</v>
      </c>
      <c r="Q2" s="34"/>
      <c r="R2" s="31"/>
      <c r="S2" s="34" t="s">
        <v>59</v>
      </c>
      <c r="T2" s="34"/>
      <c r="U2" s="34"/>
      <c r="V2" s="31" t="s">
        <v>92</v>
      </c>
      <c r="W2" s="32"/>
      <c r="X2" s="33"/>
      <c r="Y2" s="31" t="s">
        <v>93</v>
      </c>
      <c r="Z2" s="32"/>
      <c r="AA2" s="33"/>
      <c r="AB2" s="34" t="s">
        <v>91</v>
      </c>
      <c r="AC2" s="34"/>
      <c r="AD2" s="34"/>
    </row>
    <row r="3" spans="1:30" x14ac:dyDescent="0.25">
      <c r="A3" s="12" t="s">
        <v>44</v>
      </c>
      <c r="B3" s="12" t="s">
        <v>71</v>
      </c>
      <c r="C3" s="12" t="s">
        <v>45</v>
      </c>
      <c r="D3" s="7" t="s">
        <v>104</v>
      </c>
      <c r="E3" s="6" t="s">
        <v>105</v>
      </c>
      <c r="F3" s="8" t="s">
        <v>38</v>
      </c>
      <c r="G3" s="7" t="s">
        <v>104</v>
      </c>
      <c r="H3" s="6" t="s">
        <v>105</v>
      </c>
      <c r="I3" s="8" t="s">
        <v>38</v>
      </c>
      <c r="J3" s="7" t="s">
        <v>104</v>
      </c>
      <c r="K3" s="6" t="s">
        <v>105</v>
      </c>
      <c r="L3" s="8" t="s">
        <v>38</v>
      </c>
      <c r="M3" s="7" t="s">
        <v>104</v>
      </c>
      <c r="N3" s="6" t="s">
        <v>105</v>
      </c>
      <c r="O3" s="8" t="s">
        <v>38</v>
      </c>
      <c r="P3" s="7" t="s">
        <v>104</v>
      </c>
      <c r="Q3" s="6" t="s">
        <v>105</v>
      </c>
      <c r="R3" s="8" t="s">
        <v>38</v>
      </c>
      <c r="S3" s="7" t="s">
        <v>104</v>
      </c>
      <c r="T3" s="6" t="s">
        <v>105</v>
      </c>
      <c r="U3" s="8" t="s">
        <v>38</v>
      </c>
      <c r="V3" s="7" t="s">
        <v>104</v>
      </c>
      <c r="W3" s="6" t="s">
        <v>105</v>
      </c>
      <c r="X3" s="8" t="s">
        <v>38</v>
      </c>
      <c r="Y3" s="7" t="s">
        <v>104</v>
      </c>
      <c r="Z3" s="6" t="s">
        <v>105</v>
      </c>
      <c r="AA3" s="8" t="s">
        <v>38</v>
      </c>
      <c r="AB3" s="7" t="s">
        <v>104</v>
      </c>
      <c r="AC3" s="6" t="s">
        <v>105</v>
      </c>
      <c r="AD3" s="8" t="s">
        <v>38</v>
      </c>
    </row>
    <row r="4" spans="1:30" x14ac:dyDescent="0.25">
      <c r="A4" s="11">
        <v>1708592</v>
      </c>
      <c r="B4" s="11">
        <v>1708592</v>
      </c>
      <c r="C4" s="11">
        <v>3</v>
      </c>
      <c r="D4" s="9">
        <v>486000000</v>
      </c>
      <c r="E4" s="9">
        <v>486000000</v>
      </c>
      <c r="F4">
        <v>0</v>
      </c>
      <c r="G4" s="9">
        <v>-156307.5144483351</v>
      </c>
      <c r="H4" s="9">
        <v>-144244.21114402986</v>
      </c>
      <c r="I4">
        <v>12063.3</v>
      </c>
      <c r="J4" s="9">
        <v>504.93530638399875</v>
      </c>
      <c r="K4" s="9">
        <v>572.73956000775411</v>
      </c>
      <c r="L4">
        <v>67.8</v>
      </c>
      <c r="M4" s="9">
        <v>7340712.7950510914</v>
      </c>
      <c r="N4" s="9">
        <v>1931591.815895</v>
      </c>
      <c r="O4">
        <v>-5409120.9800000004</v>
      </c>
      <c r="P4" s="10">
        <v>1.4824999999999999</v>
      </c>
      <c r="Q4" s="10">
        <v>1.4824999999999999</v>
      </c>
      <c r="R4">
        <v>0</v>
      </c>
      <c r="S4" s="9"/>
      <c r="T4" s="9" t="s">
        <v>107</v>
      </c>
      <c r="U4">
        <v>0</v>
      </c>
      <c r="V4">
        <v>0</v>
      </c>
      <c r="W4" t="s">
        <v>107</v>
      </c>
      <c r="X4">
        <v>0</v>
      </c>
      <c r="Z4" t="s">
        <v>107</v>
      </c>
      <c r="AA4">
        <v>0</v>
      </c>
      <c r="AC4" t="s">
        <v>107</v>
      </c>
      <c r="AD4">
        <v>0</v>
      </c>
    </row>
    <row r="5" spans="1:30" x14ac:dyDescent="0.25">
      <c r="A5" s="11">
        <v>1687555</v>
      </c>
      <c r="B5" s="11">
        <v>1687555</v>
      </c>
      <c r="C5" s="11" t="s">
        <v>121</v>
      </c>
      <c r="D5" s="9">
        <v>420000000</v>
      </c>
      <c r="E5" s="9">
        <v>420000000</v>
      </c>
      <c r="F5">
        <v>0</v>
      </c>
      <c r="G5" s="9">
        <v>-81407.801958052572</v>
      </c>
      <c r="H5" s="9">
        <v>-82352.101921677589</v>
      </c>
      <c r="I5">
        <v>-944.3</v>
      </c>
      <c r="J5" s="9">
        <v>547.57220047470855</v>
      </c>
      <c r="K5" s="9">
        <v>587.50787192558346</v>
      </c>
      <c r="L5">
        <v>39.94</v>
      </c>
      <c r="M5" s="9">
        <v>2805631.2204416068</v>
      </c>
      <c r="N5" s="9">
        <v>3704404.2684300002</v>
      </c>
      <c r="O5">
        <v>898773.05</v>
      </c>
      <c r="P5" s="10">
        <v>2.746</v>
      </c>
      <c r="Q5" s="10">
        <v>2.746</v>
      </c>
      <c r="R5">
        <v>0</v>
      </c>
      <c r="S5" s="9"/>
      <c r="T5" s="9" t="s">
        <v>107</v>
      </c>
      <c r="U5">
        <v>0</v>
      </c>
      <c r="V5">
        <v>0</v>
      </c>
      <c r="W5" t="s">
        <v>107</v>
      </c>
      <c r="X5">
        <v>0</v>
      </c>
      <c r="Z5" t="s">
        <v>107</v>
      </c>
      <c r="AA5">
        <v>0</v>
      </c>
      <c r="AC5" t="s">
        <v>107</v>
      </c>
      <c r="AD5">
        <v>0</v>
      </c>
    </row>
    <row r="6" spans="1:30" x14ac:dyDescent="0.25">
      <c r="A6" s="11">
        <v>1687557</v>
      </c>
      <c r="B6" s="11">
        <v>1687557</v>
      </c>
      <c r="C6" s="11" t="s">
        <v>122</v>
      </c>
      <c r="D6" s="9">
        <v>585000000</v>
      </c>
      <c r="E6" s="9">
        <v>585000000</v>
      </c>
      <c r="F6">
        <v>0</v>
      </c>
      <c r="G6" s="9">
        <v>-258484.39242626383</v>
      </c>
      <c r="H6" s="9">
        <v>-265715.9064378746</v>
      </c>
      <c r="I6">
        <v>-7231.51</v>
      </c>
      <c r="J6" s="9">
        <v>3504.7830503254604</v>
      </c>
      <c r="K6" s="9">
        <v>3691.562994599924</v>
      </c>
      <c r="L6">
        <v>186.78</v>
      </c>
      <c r="M6" s="9">
        <v>6002054.2637717724</v>
      </c>
      <c r="N6" s="9">
        <v>7637853.4417519998</v>
      </c>
      <c r="O6">
        <v>1635799.18</v>
      </c>
      <c r="P6" s="10">
        <v>3.3149999999999999</v>
      </c>
      <c r="Q6" s="10">
        <v>3.3149999999999999</v>
      </c>
      <c r="R6">
        <v>0</v>
      </c>
      <c r="S6" s="9"/>
      <c r="T6" s="9" t="s">
        <v>107</v>
      </c>
      <c r="U6">
        <v>0</v>
      </c>
      <c r="V6">
        <v>0</v>
      </c>
      <c r="W6" t="s">
        <v>107</v>
      </c>
      <c r="X6">
        <v>0</v>
      </c>
      <c r="Z6" t="s">
        <v>107</v>
      </c>
      <c r="AA6">
        <v>0</v>
      </c>
      <c r="AC6" t="s">
        <v>107</v>
      </c>
      <c r="AD6">
        <v>0</v>
      </c>
    </row>
    <row r="7" spans="1:30" x14ac:dyDescent="0.25">
      <c r="A7" s="11">
        <v>1687559</v>
      </c>
      <c r="B7" s="11">
        <v>1687559</v>
      </c>
      <c r="C7" s="11" t="s">
        <v>123</v>
      </c>
      <c r="D7" s="9">
        <v>408000000</v>
      </c>
      <c r="E7" s="9">
        <v>408000000</v>
      </c>
      <c r="F7">
        <v>0</v>
      </c>
      <c r="G7" s="9">
        <v>-158001.15419676184</v>
      </c>
      <c r="H7" s="9">
        <v>-163804.41836428639</v>
      </c>
      <c r="I7">
        <v>-5803.26</v>
      </c>
      <c r="J7" s="9">
        <v>3668.3828102111261</v>
      </c>
      <c r="K7" s="9">
        <v>3845.0933931484387</v>
      </c>
      <c r="L7">
        <v>176.71</v>
      </c>
      <c r="M7" s="9">
        <v>5178726.0493891174</v>
      </c>
      <c r="N7" s="9">
        <v>5259667.1907059997</v>
      </c>
      <c r="O7">
        <v>80941.14</v>
      </c>
      <c r="P7" s="10">
        <v>3.5874999999999999</v>
      </c>
      <c r="Q7" s="10">
        <v>3.5874999999999999</v>
      </c>
      <c r="R7">
        <v>0</v>
      </c>
      <c r="S7" s="9"/>
      <c r="T7" s="9" t="s">
        <v>107</v>
      </c>
      <c r="U7">
        <v>0</v>
      </c>
      <c r="V7">
        <v>0</v>
      </c>
      <c r="W7" t="s">
        <v>107</v>
      </c>
      <c r="X7">
        <v>0</v>
      </c>
      <c r="Z7" t="s">
        <v>107</v>
      </c>
      <c r="AA7">
        <v>0</v>
      </c>
      <c r="AC7" t="s">
        <v>107</v>
      </c>
      <c r="AD7">
        <v>0</v>
      </c>
    </row>
    <row r="8" spans="1:30" x14ac:dyDescent="0.25">
      <c r="A8" s="11">
        <v>1689111</v>
      </c>
      <c r="B8" s="11">
        <v>1689111</v>
      </c>
      <c r="C8" s="11" t="s">
        <v>124</v>
      </c>
      <c r="D8" s="9">
        <v>85000000</v>
      </c>
      <c r="E8" s="9">
        <v>85000000</v>
      </c>
      <c r="F8">
        <v>0</v>
      </c>
      <c r="G8" s="9">
        <v>-73119.394588123425</v>
      </c>
      <c r="H8" s="9">
        <v>-77373.807894855854</v>
      </c>
      <c r="I8">
        <v>-4254.41</v>
      </c>
      <c r="J8" s="9">
        <v>3051.953628546818</v>
      </c>
      <c r="K8" s="9">
        <v>3201.919221810736</v>
      </c>
      <c r="L8">
        <v>149.97</v>
      </c>
      <c r="M8" s="9">
        <v>1603170.4163368326</v>
      </c>
      <c r="N8" s="9">
        <v>2295284.7056168001</v>
      </c>
      <c r="O8">
        <v>692114.29</v>
      </c>
      <c r="P8" s="10">
        <v>3.476</v>
      </c>
      <c r="Q8" s="10">
        <v>3.476</v>
      </c>
      <c r="R8">
        <v>0</v>
      </c>
      <c r="S8" s="9"/>
      <c r="T8" s="9" t="s">
        <v>107</v>
      </c>
      <c r="U8">
        <v>0</v>
      </c>
      <c r="V8">
        <v>0</v>
      </c>
      <c r="W8" t="s">
        <v>107</v>
      </c>
      <c r="X8">
        <v>0</v>
      </c>
      <c r="Z8" t="s">
        <v>107</v>
      </c>
      <c r="AA8">
        <v>0</v>
      </c>
      <c r="AC8" t="s">
        <v>107</v>
      </c>
      <c r="AD8">
        <v>0</v>
      </c>
    </row>
    <row r="9" spans="1:30" x14ac:dyDescent="0.25">
      <c r="A9" s="11">
        <v>1689644</v>
      </c>
      <c r="B9" s="11">
        <v>1689644</v>
      </c>
      <c r="C9" s="11" t="s">
        <v>127</v>
      </c>
      <c r="D9" s="9">
        <v>155000000</v>
      </c>
      <c r="E9" s="9">
        <v>155000000</v>
      </c>
      <c r="F9">
        <v>0</v>
      </c>
      <c r="G9" s="9">
        <v>-51756.573478846673</v>
      </c>
      <c r="H9" s="9">
        <v>-53953.692021072085</v>
      </c>
      <c r="I9">
        <v>-2197.12</v>
      </c>
      <c r="J9" s="9">
        <v>1702.6764385746335</v>
      </c>
      <c r="K9" s="9">
        <v>1779.8114895364783</v>
      </c>
      <c r="L9">
        <v>77.14</v>
      </c>
      <c r="M9" s="9">
        <v>1522364.3474425636</v>
      </c>
      <c r="N9" s="9">
        <v>1682785.045069</v>
      </c>
      <c r="O9">
        <v>160420.70000000001</v>
      </c>
      <c r="P9" s="10">
        <v>3.556</v>
      </c>
      <c r="Q9" s="10">
        <v>3.556</v>
      </c>
      <c r="R9">
        <v>0</v>
      </c>
      <c r="S9" s="9"/>
      <c r="T9" s="9" t="s">
        <v>107</v>
      </c>
      <c r="U9">
        <v>0</v>
      </c>
      <c r="V9">
        <v>0</v>
      </c>
      <c r="W9" t="s">
        <v>107</v>
      </c>
      <c r="X9">
        <v>0</v>
      </c>
      <c r="Z9" t="s">
        <v>107</v>
      </c>
      <c r="AA9">
        <v>0</v>
      </c>
      <c r="AC9" t="s">
        <v>107</v>
      </c>
      <c r="AD9">
        <v>0</v>
      </c>
    </row>
    <row r="10" spans="1:30" x14ac:dyDescent="0.25">
      <c r="A10" s="11">
        <v>1687561</v>
      </c>
      <c r="B10" s="11">
        <v>1687561</v>
      </c>
      <c r="C10" s="11" t="s">
        <v>128</v>
      </c>
      <c r="D10" s="9">
        <v>80000000</v>
      </c>
      <c r="E10" s="9">
        <v>80000000</v>
      </c>
      <c r="F10">
        <v>0</v>
      </c>
      <c r="G10" s="9">
        <v>-41731.215440370928</v>
      </c>
      <c r="H10" s="9">
        <v>-44587.683935686888</v>
      </c>
      <c r="I10">
        <v>-2856.47</v>
      </c>
      <c r="J10" s="9">
        <v>1983.3777000500775</v>
      </c>
      <c r="K10" s="9">
        <v>2084.2531030402683</v>
      </c>
      <c r="L10">
        <v>100.88</v>
      </c>
      <c r="M10" s="9">
        <v>643036.27488984994</v>
      </c>
      <c r="N10" s="9">
        <v>1209760.7025512999</v>
      </c>
      <c r="O10">
        <v>566724.43000000005</v>
      </c>
      <c r="P10" s="10">
        <v>3.4049999999999998</v>
      </c>
      <c r="Q10" s="10">
        <v>3.4049999999999998</v>
      </c>
      <c r="R10">
        <v>0</v>
      </c>
      <c r="S10" s="9"/>
      <c r="T10" s="9" t="s">
        <v>107</v>
      </c>
      <c r="U10">
        <v>0</v>
      </c>
      <c r="V10">
        <v>0</v>
      </c>
      <c r="W10" t="s">
        <v>107</v>
      </c>
      <c r="X10">
        <v>0</v>
      </c>
      <c r="Z10" t="s">
        <v>107</v>
      </c>
      <c r="AA10">
        <v>0</v>
      </c>
      <c r="AC10" t="s">
        <v>107</v>
      </c>
      <c r="AD10">
        <v>0</v>
      </c>
    </row>
    <row r="11" spans="1:30" x14ac:dyDescent="0.25">
      <c r="A11" s="11">
        <v>1721389</v>
      </c>
      <c r="B11" s="11">
        <v>1721389</v>
      </c>
      <c r="C11" s="11" t="s">
        <v>132</v>
      </c>
      <c r="D11" s="9">
        <v>220000000.00013009</v>
      </c>
      <c r="E11" s="9">
        <v>220000000</v>
      </c>
      <c r="F11">
        <v>0</v>
      </c>
      <c r="G11" s="9">
        <v>9885488.8949697539</v>
      </c>
      <c r="H11" s="9">
        <v>7995716.1988232853</v>
      </c>
      <c r="I11">
        <v>-1889772.7</v>
      </c>
      <c r="J11" s="9">
        <v>21598570.701896839</v>
      </c>
      <c r="K11" s="9">
        <v>19948136.23001527</v>
      </c>
      <c r="L11">
        <v>-1650434.47</v>
      </c>
      <c r="M11" s="9">
        <v>3403677.4421657999</v>
      </c>
      <c r="N11" s="9">
        <v>2539327.3160148598</v>
      </c>
      <c r="O11">
        <v>-864350.13</v>
      </c>
      <c r="P11" s="10">
        <v>3.3000000000000003</v>
      </c>
      <c r="Q11" s="10">
        <v>3.3</v>
      </c>
      <c r="R11">
        <v>0</v>
      </c>
      <c r="S11" s="9">
        <v>263772.09645874106</v>
      </c>
      <c r="T11" s="9">
        <v>228873.14997220362</v>
      </c>
      <c r="U11">
        <v>-34898.949999999997</v>
      </c>
      <c r="V11">
        <v>837667.05155561178</v>
      </c>
      <c r="W11">
        <v>739841.88501453015</v>
      </c>
      <c r="X11">
        <v>-97825.17</v>
      </c>
      <c r="Y11" s="29">
        <v>0.26930143366418186</v>
      </c>
      <c r="Z11" s="29">
        <v>0.27381201626194335</v>
      </c>
      <c r="AA11">
        <v>0</v>
      </c>
      <c r="AB11">
        <v>85.110546632919664</v>
      </c>
      <c r="AC11">
        <v>85.14827812529191</v>
      </c>
      <c r="AD11">
        <v>0.04</v>
      </c>
    </row>
    <row r="12" spans="1:30" x14ac:dyDescent="0.25">
      <c r="A12" s="11">
        <v>1697030</v>
      </c>
      <c r="B12" s="11">
        <v>1697030</v>
      </c>
      <c r="C12" s="11" t="s">
        <v>126</v>
      </c>
      <c r="D12" s="9">
        <v>0</v>
      </c>
      <c r="E12" s="9">
        <v>0</v>
      </c>
      <c r="F12">
        <v>0</v>
      </c>
      <c r="G12" s="9">
        <v>0</v>
      </c>
      <c r="H12" s="9">
        <v>-37216.118407715097</v>
      </c>
      <c r="I12">
        <v>-37216.120000000003</v>
      </c>
      <c r="J12" s="9">
        <v>0</v>
      </c>
      <c r="K12" s="9">
        <v>420.33059708758185</v>
      </c>
      <c r="L12">
        <v>420.33</v>
      </c>
      <c r="M12" s="9">
        <v>0</v>
      </c>
      <c r="N12" s="9">
        <v>0</v>
      </c>
      <c r="O12">
        <v>0</v>
      </c>
      <c r="P12" s="10">
        <v>2</v>
      </c>
      <c r="Q12" s="10">
        <v>2</v>
      </c>
      <c r="R12">
        <v>0</v>
      </c>
      <c r="S12" s="9">
        <v>0</v>
      </c>
      <c r="T12" s="9">
        <v>0</v>
      </c>
      <c r="U12">
        <v>0</v>
      </c>
      <c r="V12">
        <v>0</v>
      </c>
      <c r="W12">
        <v>0</v>
      </c>
      <c r="X12">
        <v>0</v>
      </c>
      <c r="Y12" s="29">
        <v>0</v>
      </c>
      <c r="Z12" s="29">
        <v>0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s="11">
        <v>1705308</v>
      </c>
      <c r="B13" s="11">
        <v>1705308</v>
      </c>
      <c r="C13" s="11" t="s">
        <v>126</v>
      </c>
      <c r="D13" s="9">
        <v>785000000</v>
      </c>
      <c r="E13" s="9">
        <v>785000000</v>
      </c>
      <c r="F13">
        <v>0</v>
      </c>
      <c r="G13" s="9">
        <v>-5157829.1353172101</v>
      </c>
      <c r="H13" s="9">
        <v>-6529166.759205278</v>
      </c>
      <c r="I13">
        <v>-1371337.62</v>
      </c>
      <c r="J13" s="9">
        <v>13376711.932870435</v>
      </c>
      <c r="K13" s="9">
        <v>16328742.56142565</v>
      </c>
      <c r="L13">
        <v>2952030.63</v>
      </c>
      <c r="M13" s="9">
        <v>1583151.8593035201</v>
      </c>
      <c r="N13" s="9">
        <v>2064704.7763199899</v>
      </c>
      <c r="O13">
        <v>481552.92</v>
      </c>
      <c r="P13" s="10">
        <v>1.6500000000000001</v>
      </c>
      <c r="Q13" s="10">
        <v>1.65</v>
      </c>
      <c r="R13">
        <v>0</v>
      </c>
      <c r="S13" s="9">
        <v>189912.06412483769</v>
      </c>
      <c r="T13" s="9">
        <v>222943.05517495159</v>
      </c>
      <c r="U13">
        <v>33030.99</v>
      </c>
      <c r="V13">
        <v>878527.49447819125</v>
      </c>
      <c r="W13">
        <v>1048008.0089312417</v>
      </c>
      <c r="X13">
        <v>169480.51</v>
      </c>
      <c r="Y13" s="29">
        <v>0.40016299079719425</v>
      </c>
      <c r="Z13" s="29">
        <v>0.40731088140887362</v>
      </c>
      <c r="AA13">
        <v>0.01</v>
      </c>
      <c r="AB13">
        <v>88.407574168956344</v>
      </c>
      <c r="AC13">
        <v>88.409195382697632</v>
      </c>
      <c r="AD13">
        <v>0</v>
      </c>
    </row>
    <row r="14" spans="1:30" x14ac:dyDescent="0.25">
      <c r="Y14" s="29"/>
      <c r="Z14" s="29"/>
    </row>
    <row r="15" spans="1:30" x14ac:dyDescent="0.25">
      <c r="F15" s="11"/>
      <c r="I15" s="11"/>
      <c r="L15" s="11"/>
      <c r="O15" s="11"/>
      <c r="R15" s="11"/>
      <c r="U15" s="11"/>
      <c r="X15" s="11"/>
      <c r="AA15" s="11"/>
      <c r="AD15" s="11"/>
    </row>
  </sheetData>
  <mergeCells count="9">
    <mergeCell ref="V2:X2"/>
    <mergeCell ref="Y2:AA2"/>
    <mergeCell ref="AB2:AD2"/>
    <mergeCell ref="S2:U2"/>
    <mergeCell ref="D2:F2"/>
    <mergeCell ref="G2:I2"/>
    <mergeCell ref="J2:L2"/>
    <mergeCell ref="M2:O2"/>
    <mergeCell ref="P2:R2"/>
  </mergeCells>
  <conditionalFormatting sqref="F4:F82">
    <cfRule type="cellIs" dxfId="17" priority="9" operator="notEqual">
      <formula>0</formula>
    </cfRule>
  </conditionalFormatting>
  <conditionalFormatting sqref="I4:I82">
    <cfRule type="cellIs" dxfId="16" priority="8" operator="notEqual">
      <formula>0</formula>
    </cfRule>
  </conditionalFormatting>
  <conditionalFormatting sqref="L4:L82">
    <cfRule type="cellIs" dxfId="15" priority="7" operator="notEqual">
      <formula>0</formula>
    </cfRule>
  </conditionalFormatting>
  <conditionalFormatting sqref="O4:O82">
    <cfRule type="cellIs" dxfId="14" priority="6" operator="notEqual">
      <formula>0</formula>
    </cfRule>
  </conditionalFormatting>
  <conditionalFormatting sqref="R4:R82">
    <cfRule type="cellIs" dxfId="13" priority="5" operator="notEqual">
      <formula>0</formula>
    </cfRule>
  </conditionalFormatting>
  <conditionalFormatting sqref="U4:U82">
    <cfRule type="cellIs" dxfId="12" priority="4" operator="notEqual">
      <formula>0</formula>
    </cfRule>
  </conditionalFormatting>
  <conditionalFormatting sqref="X4:X82">
    <cfRule type="cellIs" dxfId="11" priority="3" operator="notEqual">
      <formula>0</formula>
    </cfRule>
  </conditionalFormatting>
  <conditionalFormatting sqref="AA4:AA82">
    <cfRule type="cellIs" dxfId="10" priority="2" operator="notEqual">
      <formula>0</formula>
    </cfRule>
  </conditionalFormatting>
  <conditionalFormatting sqref="AD4:AD82">
    <cfRule type="cellIs" dxfId="9" priority="1" operator="not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D15"/>
  <sheetViews>
    <sheetView workbookViewId="0">
      <selection activeCell="E32" sqref="E32"/>
    </sheetView>
  </sheetViews>
  <sheetFormatPr defaultRowHeight="15" x14ac:dyDescent="0.25"/>
  <cols>
    <col min="1" max="1" width="14" style="11" customWidth="1"/>
    <col min="2" max="2" width="15" style="11" bestFit="1" customWidth="1"/>
    <col min="3" max="3" width="14" style="11" customWidth="1"/>
    <col min="4" max="4" width="14.5703125" bestFit="1" customWidth="1"/>
    <col min="5" max="5" width="15.140625" bestFit="1" customWidth="1"/>
    <col min="6" max="6" width="16.140625" bestFit="1" customWidth="1"/>
    <col min="7" max="8" width="10.85546875" bestFit="1" customWidth="1"/>
    <col min="9" max="9" width="15" customWidth="1"/>
    <col min="10" max="10" width="15.85546875" bestFit="1" customWidth="1"/>
    <col min="11" max="11" width="16.42578125" bestFit="1" customWidth="1"/>
    <col min="12" max="12" width="12.7109375" bestFit="1" customWidth="1"/>
    <col min="13" max="13" width="11.7109375" bestFit="1" customWidth="1"/>
    <col min="14" max="14" width="12.7109375" bestFit="1" customWidth="1"/>
    <col min="15" max="15" width="11.7109375" bestFit="1" customWidth="1"/>
    <col min="16" max="16" width="13.85546875" bestFit="1" customWidth="1"/>
    <col min="17" max="17" width="14.42578125" bestFit="1" customWidth="1"/>
    <col min="18" max="18" width="6.5703125" bestFit="1" customWidth="1"/>
    <col min="19" max="20" width="10.28515625" bestFit="1" customWidth="1"/>
    <col min="21" max="21" width="10.85546875" bestFit="1" customWidth="1"/>
    <col min="22" max="24" width="11.7109375" bestFit="1" customWidth="1"/>
    <col min="25" max="30" width="9.28515625" bestFit="1" customWidth="1"/>
  </cols>
  <sheetData>
    <row r="2" spans="1:30" x14ac:dyDescent="0.25">
      <c r="D2" s="33" t="s">
        <v>39</v>
      </c>
      <c r="E2" s="34"/>
      <c r="F2" s="31"/>
      <c r="G2" s="34" t="s">
        <v>40</v>
      </c>
      <c r="H2" s="34"/>
      <c r="I2" s="34"/>
      <c r="J2" s="33" t="s">
        <v>41</v>
      </c>
      <c r="K2" s="34"/>
      <c r="L2" s="34"/>
      <c r="M2" s="34" t="s">
        <v>42</v>
      </c>
      <c r="N2" s="34"/>
      <c r="O2" s="34"/>
      <c r="P2" s="34" t="s">
        <v>43</v>
      </c>
      <c r="Q2" s="34"/>
      <c r="R2" s="31"/>
      <c r="S2" s="31" t="s">
        <v>92</v>
      </c>
      <c r="T2" s="32"/>
      <c r="U2" s="33"/>
      <c r="V2" s="31" t="s">
        <v>90</v>
      </c>
      <c r="W2" s="32"/>
      <c r="X2" s="33"/>
      <c r="Y2" s="31" t="s">
        <v>93</v>
      </c>
      <c r="Z2" s="32"/>
      <c r="AA2" s="33"/>
      <c r="AB2" s="34" t="s">
        <v>91</v>
      </c>
      <c r="AC2" s="34"/>
      <c r="AD2" s="34"/>
    </row>
    <row r="3" spans="1:30" x14ac:dyDescent="0.25">
      <c r="A3" s="12" t="s">
        <v>44</v>
      </c>
      <c r="B3" s="12" t="s">
        <v>71</v>
      </c>
      <c r="C3" s="12" t="s">
        <v>45</v>
      </c>
      <c r="D3" s="7" t="s">
        <v>104</v>
      </c>
      <c r="E3" s="6" t="s">
        <v>105</v>
      </c>
      <c r="F3" s="8" t="s">
        <v>38</v>
      </c>
      <c r="G3" s="7" t="s">
        <v>104</v>
      </c>
      <c r="H3" s="6" t="s">
        <v>105</v>
      </c>
      <c r="I3" s="8" t="s">
        <v>38</v>
      </c>
      <c r="J3" s="7" t="s">
        <v>104</v>
      </c>
      <c r="K3" s="6" t="s">
        <v>105</v>
      </c>
      <c r="L3" s="8" t="s">
        <v>38</v>
      </c>
      <c r="M3" s="7" t="s">
        <v>104</v>
      </c>
      <c r="N3" s="6" t="s">
        <v>105</v>
      </c>
      <c r="O3" s="8" t="s">
        <v>38</v>
      </c>
      <c r="P3" s="7" t="s">
        <v>104</v>
      </c>
      <c r="Q3" s="6" t="s">
        <v>105</v>
      </c>
      <c r="R3" s="8" t="s">
        <v>38</v>
      </c>
      <c r="S3" s="7" t="s">
        <v>104</v>
      </c>
      <c r="T3" s="6" t="s">
        <v>105</v>
      </c>
      <c r="U3" s="8" t="s">
        <v>38</v>
      </c>
      <c r="V3" s="7" t="s">
        <v>104</v>
      </c>
      <c r="W3" s="6" t="s">
        <v>105</v>
      </c>
      <c r="X3" s="8" t="s">
        <v>38</v>
      </c>
      <c r="Y3" s="7" t="s">
        <v>104</v>
      </c>
      <c r="Z3" s="6" t="s">
        <v>105</v>
      </c>
      <c r="AA3" s="8" t="s">
        <v>38</v>
      </c>
      <c r="AB3" s="7" t="s">
        <v>104</v>
      </c>
      <c r="AC3" s="6" t="s">
        <v>105</v>
      </c>
      <c r="AD3" s="8" t="s">
        <v>38</v>
      </c>
    </row>
    <row r="4" spans="1:30" x14ac:dyDescent="0.25">
      <c r="A4" s="11">
        <v>1686600</v>
      </c>
      <c r="B4" s="11">
        <v>1686600</v>
      </c>
      <c r="C4" s="11">
        <v>3</v>
      </c>
      <c r="D4" s="9">
        <v>0</v>
      </c>
      <c r="E4" s="9">
        <v>0</v>
      </c>
      <c r="F4">
        <v>0</v>
      </c>
      <c r="G4" s="9">
        <v>0</v>
      </c>
      <c r="H4" s="9">
        <v>0</v>
      </c>
      <c r="I4">
        <v>0</v>
      </c>
      <c r="J4" s="9">
        <v>0</v>
      </c>
      <c r="K4" s="9">
        <v>0</v>
      </c>
      <c r="L4">
        <v>0</v>
      </c>
      <c r="M4" s="9">
        <v>0</v>
      </c>
      <c r="N4" s="9">
        <v>0</v>
      </c>
      <c r="O4">
        <v>0</v>
      </c>
      <c r="P4" s="10">
        <v>1.43</v>
      </c>
      <c r="Q4" s="10">
        <v>1.43</v>
      </c>
      <c r="R4">
        <v>0</v>
      </c>
      <c r="S4" s="9"/>
      <c r="T4" s="9" t="s">
        <v>107</v>
      </c>
      <c r="U4">
        <v>0</v>
      </c>
      <c r="W4" t="s">
        <v>107</v>
      </c>
      <c r="X4">
        <v>0</v>
      </c>
      <c r="Z4" t="s">
        <v>107</v>
      </c>
      <c r="AA4">
        <v>0</v>
      </c>
      <c r="AC4" t="s">
        <v>107</v>
      </c>
      <c r="AD4">
        <v>0</v>
      </c>
    </row>
    <row r="5" spans="1:30" x14ac:dyDescent="0.25">
      <c r="A5" s="11">
        <v>1686603</v>
      </c>
      <c r="B5" s="11">
        <v>1686603</v>
      </c>
      <c r="C5" s="11" t="s">
        <v>121</v>
      </c>
      <c r="D5" s="9">
        <v>434000000</v>
      </c>
      <c r="E5" s="9">
        <v>434000000</v>
      </c>
      <c r="F5">
        <v>0</v>
      </c>
      <c r="G5" s="9">
        <v>-84137.727529917698</v>
      </c>
      <c r="H5" s="9">
        <v>-85097.171985745634</v>
      </c>
      <c r="I5">
        <v>-959.44</v>
      </c>
      <c r="J5" s="9">
        <v>566.28423527375958</v>
      </c>
      <c r="K5" s="9">
        <v>607.09146761898512</v>
      </c>
      <c r="L5">
        <v>40.81</v>
      </c>
      <c r="M5" s="9">
        <v>3000932.4984011566</v>
      </c>
      <c r="N5" s="9">
        <v>3827884.410712</v>
      </c>
      <c r="O5">
        <v>826951.91</v>
      </c>
      <c r="P5" s="10">
        <v>2.746</v>
      </c>
      <c r="Q5" s="10">
        <v>2.746</v>
      </c>
      <c r="R5">
        <v>0</v>
      </c>
      <c r="S5" s="9"/>
      <c r="T5" s="9" t="s">
        <v>107</v>
      </c>
      <c r="U5">
        <v>0</v>
      </c>
      <c r="W5" t="s">
        <v>107</v>
      </c>
      <c r="X5">
        <v>0</v>
      </c>
      <c r="Z5" t="s">
        <v>107</v>
      </c>
      <c r="AA5">
        <v>0</v>
      </c>
      <c r="AC5" t="s">
        <v>107</v>
      </c>
      <c r="AD5">
        <v>0</v>
      </c>
    </row>
    <row r="6" spans="1:30" x14ac:dyDescent="0.25">
      <c r="A6" s="11">
        <v>1686601</v>
      </c>
      <c r="B6" s="11">
        <v>1686601</v>
      </c>
      <c r="C6" s="11" t="s">
        <v>122</v>
      </c>
      <c r="D6" s="9">
        <v>894000000</v>
      </c>
      <c r="E6" s="9">
        <v>894000000</v>
      </c>
      <c r="F6">
        <v>0</v>
      </c>
      <c r="G6" s="9">
        <v>-396247.33644891111</v>
      </c>
      <c r="H6" s="9">
        <v>-406068.4108638771</v>
      </c>
      <c r="I6">
        <v>-9821.07</v>
      </c>
      <c r="J6" s="9">
        <v>5369.4616475788762</v>
      </c>
      <c r="K6" s="9">
        <v>5641.4654996399895</v>
      </c>
      <c r="L6">
        <v>272</v>
      </c>
      <c r="M6" s="9">
        <v>10535723.453840932</v>
      </c>
      <c r="N6" s="9">
        <v>11672206.798164999</v>
      </c>
      <c r="O6">
        <v>1136483.3400000001</v>
      </c>
      <c r="P6" s="10">
        <v>3.3149999999999999</v>
      </c>
      <c r="Q6" s="10">
        <v>3.3149999999999999</v>
      </c>
      <c r="R6">
        <v>0</v>
      </c>
      <c r="S6" s="9"/>
      <c r="T6" s="9" t="s">
        <v>107</v>
      </c>
      <c r="U6">
        <v>0</v>
      </c>
      <c r="W6" t="s">
        <v>107</v>
      </c>
      <c r="X6">
        <v>0</v>
      </c>
      <c r="Z6" t="s">
        <v>107</v>
      </c>
      <c r="AA6">
        <v>0</v>
      </c>
      <c r="AC6" t="s">
        <v>107</v>
      </c>
      <c r="AD6">
        <v>0</v>
      </c>
    </row>
    <row r="7" spans="1:30" x14ac:dyDescent="0.25">
      <c r="A7" s="11">
        <v>1686599</v>
      </c>
      <c r="B7" s="11">
        <v>1686599</v>
      </c>
      <c r="C7" s="11" t="s">
        <v>123</v>
      </c>
      <c r="D7" s="9">
        <v>383000000</v>
      </c>
      <c r="E7" s="9">
        <v>383000000</v>
      </c>
      <c r="F7">
        <v>0</v>
      </c>
      <c r="G7" s="9">
        <v>-149132.97882616904</v>
      </c>
      <c r="H7" s="9">
        <v>-153767.38292527187</v>
      </c>
      <c r="I7">
        <v>-4634.3999999999996</v>
      </c>
      <c r="J7" s="9">
        <v>3458.2158978167449</v>
      </c>
      <c r="K7" s="9">
        <v>3609.4871803530095</v>
      </c>
      <c r="L7">
        <v>151.27000000000001</v>
      </c>
      <c r="M7" s="9">
        <v>5266205.1488821656</v>
      </c>
      <c r="N7" s="9">
        <v>4937383.6618640004</v>
      </c>
      <c r="O7">
        <v>-328821.49</v>
      </c>
      <c r="P7" s="10">
        <v>3.5874999999999999</v>
      </c>
      <c r="Q7" s="10">
        <v>3.5874999999999999</v>
      </c>
      <c r="R7">
        <v>0</v>
      </c>
      <c r="S7" s="9"/>
      <c r="T7" s="9" t="s">
        <v>107</v>
      </c>
      <c r="U7">
        <v>0</v>
      </c>
      <c r="W7" t="s">
        <v>107</v>
      </c>
      <c r="X7">
        <v>0</v>
      </c>
      <c r="Z7" t="s">
        <v>107</v>
      </c>
      <c r="AA7">
        <v>0</v>
      </c>
      <c r="AC7" t="s">
        <v>107</v>
      </c>
      <c r="AD7">
        <v>0</v>
      </c>
    </row>
    <row r="8" spans="1:30" x14ac:dyDescent="0.25">
      <c r="A8" s="11">
        <v>1686602</v>
      </c>
      <c r="B8" s="11">
        <v>1686602</v>
      </c>
      <c r="C8" s="11" t="s">
        <v>124</v>
      </c>
      <c r="D8" s="9">
        <v>140000000</v>
      </c>
      <c r="E8" s="9">
        <v>140000000</v>
      </c>
      <c r="F8">
        <v>0</v>
      </c>
      <c r="G8" s="9">
        <v>-121622.34832495451</v>
      </c>
      <c r="H8" s="9">
        <v>-127439.21300327874</v>
      </c>
      <c r="I8">
        <v>-5816.86</v>
      </c>
      <c r="J8" s="9">
        <v>5066.1855088661359</v>
      </c>
      <c r="K8" s="9">
        <v>5273.7493065457211</v>
      </c>
      <c r="L8">
        <v>207.56</v>
      </c>
      <c r="M8" s="9">
        <v>2940368.2132199728</v>
      </c>
      <c r="N8" s="9">
        <v>3780468.9268983002</v>
      </c>
      <c r="O8">
        <v>840100.71</v>
      </c>
      <c r="P8" s="10">
        <v>3.476</v>
      </c>
      <c r="Q8" s="10">
        <v>3.476</v>
      </c>
      <c r="R8">
        <v>0</v>
      </c>
      <c r="S8" s="9"/>
      <c r="T8" s="9" t="s">
        <v>107</v>
      </c>
      <c r="U8">
        <v>0</v>
      </c>
      <c r="W8" t="s">
        <v>107</v>
      </c>
      <c r="X8">
        <v>0</v>
      </c>
      <c r="Z8" t="s">
        <v>107</v>
      </c>
      <c r="AA8">
        <v>0</v>
      </c>
      <c r="AC8" t="s">
        <v>107</v>
      </c>
      <c r="AD8">
        <v>0</v>
      </c>
    </row>
    <row r="9" spans="1:30" x14ac:dyDescent="0.25">
      <c r="A9" s="11">
        <v>1688237</v>
      </c>
      <c r="B9" s="11">
        <v>1688237</v>
      </c>
      <c r="C9" s="11" t="s">
        <v>125</v>
      </c>
      <c r="D9" s="9">
        <v>165000000</v>
      </c>
      <c r="E9" s="9">
        <v>165000000</v>
      </c>
      <c r="F9">
        <v>0</v>
      </c>
      <c r="G9" s="9">
        <v>-55510.39989139649</v>
      </c>
      <c r="H9" s="9">
        <v>-57426.238229887036</v>
      </c>
      <c r="I9">
        <v>-1915.84</v>
      </c>
      <c r="J9" s="9">
        <v>1823.5660101174444</v>
      </c>
      <c r="K9" s="9">
        <v>1894.9336855857982</v>
      </c>
      <c r="L9">
        <v>71.37</v>
      </c>
      <c r="M9" s="9">
        <v>1757335.0415449357</v>
      </c>
      <c r="N9" s="9">
        <v>1791149.5848930001</v>
      </c>
      <c r="O9">
        <v>33814.54</v>
      </c>
      <c r="P9" s="10">
        <v>3.556</v>
      </c>
      <c r="Q9" s="10">
        <v>3.556</v>
      </c>
      <c r="R9">
        <v>0</v>
      </c>
      <c r="S9" s="9"/>
      <c r="T9" s="9" t="s">
        <v>107</v>
      </c>
      <c r="U9">
        <v>0</v>
      </c>
      <c r="W9" t="s">
        <v>107</v>
      </c>
      <c r="X9">
        <v>0</v>
      </c>
      <c r="Z9" t="s">
        <v>107</v>
      </c>
      <c r="AA9">
        <v>0</v>
      </c>
      <c r="AC9" t="s">
        <v>107</v>
      </c>
      <c r="AD9">
        <v>0</v>
      </c>
    </row>
    <row r="10" spans="1:30" x14ac:dyDescent="0.25">
      <c r="A10" s="11">
        <v>1708381</v>
      </c>
      <c r="B10" s="11">
        <v>1708381</v>
      </c>
      <c r="C10" s="11">
        <v>3</v>
      </c>
      <c r="D10" s="9">
        <v>924000000</v>
      </c>
      <c r="E10" s="9">
        <v>924000000</v>
      </c>
      <c r="F10">
        <v>0</v>
      </c>
      <c r="G10" s="9">
        <v>-273989.12274829648</v>
      </c>
      <c r="H10" s="9">
        <v>-274242.08044671995</v>
      </c>
      <c r="I10">
        <v>-252.96</v>
      </c>
      <c r="J10" s="9">
        <v>955.44918662901114</v>
      </c>
      <c r="K10" s="9">
        <v>1088.9122499226339</v>
      </c>
      <c r="L10">
        <v>133.46</v>
      </c>
      <c r="M10" s="9">
        <v>1120993.9683179159</v>
      </c>
      <c r="N10" s="9">
        <v>3672409.1314539998</v>
      </c>
      <c r="O10">
        <v>2551415.16</v>
      </c>
      <c r="P10" s="10">
        <v>1.4824999999999999</v>
      </c>
      <c r="Q10" s="10">
        <v>1.4824999999999999</v>
      </c>
      <c r="R10">
        <v>0</v>
      </c>
      <c r="S10" s="9"/>
      <c r="T10" s="9" t="s">
        <v>107</v>
      </c>
      <c r="U10">
        <v>0</v>
      </c>
      <c r="W10" t="s">
        <v>107</v>
      </c>
      <c r="X10">
        <v>0</v>
      </c>
      <c r="Z10" t="s">
        <v>107</v>
      </c>
      <c r="AA10">
        <v>0</v>
      </c>
      <c r="AC10" t="s">
        <v>107</v>
      </c>
      <c r="AD10">
        <v>0</v>
      </c>
    </row>
    <row r="11" spans="1:30" x14ac:dyDescent="0.25">
      <c r="A11" s="11">
        <v>1700992</v>
      </c>
      <c r="B11" s="11">
        <v>1700992</v>
      </c>
      <c r="C11" s="11" t="s">
        <v>126</v>
      </c>
      <c r="D11" s="9">
        <v>2700000000.000001</v>
      </c>
      <c r="E11" s="9">
        <v>2700000000</v>
      </c>
      <c r="F11">
        <v>0</v>
      </c>
      <c r="G11" s="9">
        <v>-4777638.9959479114</v>
      </c>
      <c r="H11" s="9">
        <v>-5307686.1656737439</v>
      </c>
      <c r="I11">
        <v>-530047.17000000004</v>
      </c>
      <c r="J11" s="9">
        <v>15481912.491752744</v>
      </c>
      <c r="K11" s="9">
        <v>17121607.956147287</v>
      </c>
      <c r="L11">
        <v>1639695.46</v>
      </c>
      <c r="M11" s="9">
        <v>1183208.91939246</v>
      </c>
      <c r="N11" s="9">
        <v>1315443.66814997</v>
      </c>
      <c r="O11">
        <v>132234.75</v>
      </c>
      <c r="P11" s="10">
        <v>1.25</v>
      </c>
      <c r="Q11" s="10">
        <v>1.25</v>
      </c>
      <c r="R11">
        <v>0</v>
      </c>
      <c r="S11" s="9">
        <v>180642.07401527691</v>
      </c>
      <c r="T11" s="9">
        <v>194152.23460147969</v>
      </c>
      <c r="U11" s="9">
        <v>13510.16</v>
      </c>
      <c r="V11" s="9">
        <v>970496.28283875599</v>
      </c>
      <c r="W11" s="9">
        <v>1050478.825639538</v>
      </c>
      <c r="X11" s="9">
        <v>79982.539999999994</v>
      </c>
      <c r="Y11" s="29">
        <v>0.4668378776738476</v>
      </c>
      <c r="Z11" s="29">
        <v>0.47061251362318623</v>
      </c>
      <c r="AA11" s="9">
        <v>0</v>
      </c>
      <c r="AB11" s="9">
        <v>90.010952252801772</v>
      </c>
      <c r="AC11" s="9">
        <v>90.012060420019466</v>
      </c>
      <c r="AD11" s="9">
        <v>0</v>
      </c>
    </row>
    <row r="12" spans="1:30" x14ac:dyDescent="0.25">
      <c r="A12" s="11">
        <v>1720025</v>
      </c>
      <c r="B12" s="11">
        <v>1720025</v>
      </c>
      <c r="C12" s="11" t="s">
        <v>132</v>
      </c>
      <c r="D12" s="9">
        <v>200000000</v>
      </c>
      <c r="E12" s="9">
        <v>200000000</v>
      </c>
      <c r="F12">
        <v>0</v>
      </c>
      <c r="G12" s="9">
        <v>7843709.3383709304</v>
      </c>
      <c r="H12" s="9">
        <v>7055460.3156730151</v>
      </c>
      <c r="I12">
        <v>-788249.02</v>
      </c>
      <c r="J12" s="9">
        <v>18935402.303304907</v>
      </c>
      <c r="K12" s="9">
        <v>18309746.827490207</v>
      </c>
      <c r="L12">
        <v>-625655.48</v>
      </c>
      <c r="M12" s="9">
        <v>2530405.1135315201</v>
      </c>
      <c r="N12" s="9">
        <v>2170045.9567700299</v>
      </c>
      <c r="O12">
        <v>-360359.16</v>
      </c>
      <c r="P12" s="10">
        <v>3.3000000000000003</v>
      </c>
      <c r="Q12" s="10">
        <v>3.3</v>
      </c>
      <c r="R12">
        <v>0</v>
      </c>
      <c r="S12" s="9">
        <v>216559.25279246338</v>
      </c>
      <c r="T12" s="9">
        <v>199652.52116402728</v>
      </c>
      <c r="U12" s="9">
        <v>-16906.73</v>
      </c>
      <c r="V12" s="9">
        <v>695494.26747758896</v>
      </c>
      <c r="W12" s="9">
        <v>645637.76951094624</v>
      </c>
      <c r="X12" s="9">
        <v>-49856.5</v>
      </c>
      <c r="Y12" s="29">
        <v>0.27231150970138834</v>
      </c>
      <c r="Z12" s="29">
        <v>0.27415229327074458</v>
      </c>
      <c r="AA12" s="9">
        <v>0</v>
      </c>
      <c r="AB12" s="9">
        <v>85.187424688141107</v>
      </c>
      <c r="AC12" s="9">
        <v>85.241962467828458</v>
      </c>
      <c r="AD12" s="9">
        <v>0.05</v>
      </c>
    </row>
    <row r="13" spans="1:30" x14ac:dyDescent="0.25">
      <c r="A13" s="11">
        <v>1723605</v>
      </c>
      <c r="B13" s="11">
        <v>1723605</v>
      </c>
      <c r="C13" s="11" t="s">
        <v>126</v>
      </c>
      <c r="D13">
        <v>700000000</v>
      </c>
      <c r="E13">
        <v>700000000</v>
      </c>
      <c r="F13">
        <v>0</v>
      </c>
      <c r="G13">
        <v>-20060973.376041651</v>
      </c>
      <c r="H13">
        <v>-21355624.675594859</v>
      </c>
      <c r="I13">
        <v>-1294651.3</v>
      </c>
      <c r="J13">
        <v>32319443.403931621</v>
      </c>
      <c r="K13">
        <v>33856636.286093377</v>
      </c>
      <c r="L13">
        <v>1537192.88</v>
      </c>
      <c r="M13">
        <v>9471563.0393729396</v>
      </c>
      <c r="N13">
        <v>10191182.1131045</v>
      </c>
      <c r="O13">
        <v>719619.07</v>
      </c>
      <c r="P13">
        <v>2.1999999999999997</v>
      </c>
      <c r="Q13">
        <v>2.2000000000000002</v>
      </c>
      <c r="R13">
        <v>0</v>
      </c>
      <c r="S13">
        <v>630735.06021871872</v>
      </c>
      <c r="T13">
        <v>645290.65468715841</v>
      </c>
      <c r="U13">
        <v>14555.59</v>
      </c>
      <c r="V13">
        <v>2533203.5640834323</v>
      </c>
      <c r="W13">
        <v>2609330.8940578611</v>
      </c>
      <c r="X13">
        <v>76127.33</v>
      </c>
      <c r="Y13" s="29">
        <v>0.34360158526561674</v>
      </c>
      <c r="Z13" s="29">
        <v>0.34607467241031231</v>
      </c>
      <c r="AA13">
        <v>0</v>
      </c>
      <c r="AB13">
        <v>86.490616215083293</v>
      </c>
      <c r="AC13">
        <v>86.496870016814597</v>
      </c>
      <c r="AD13">
        <v>0.01</v>
      </c>
    </row>
    <row r="15" spans="1:30" x14ac:dyDescent="0.25">
      <c r="F15" s="11"/>
      <c r="I15" s="11"/>
      <c r="L15" s="11"/>
      <c r="O15" s="11"/>
      <c r="R15" s="11"/>
      <c r="U15" s="11"/>
      <c r="X15" s="11"/>
      <c r="AA15" s="11"/>
      <c r="AD15" s="11"/>
    </row>
  </sheetData>
  <mergeCells count="9">
    <mergeCell ref="V2:X2"/>
    <mergeCell ref="Y2:AA2"/>
    <mergeCell ref="AB2:AD2"/>
    <mergeCell ref="S2:U2"/>
    <mergeCell ref="D2:F2"/>
    <mergeCell ref="G2:I2"/>
    <mergeCell ref="J2:L2"/>
    <mergeCell ref="M2:O2"/>
    <mergeCell ref="P2:R2"/>
  </mergeCells>
  <conditionalFormatting sqref="F4:F43">
    <cfRule type="cellIs" dxfId="8" priority="9" operator="notEqual">
      <formula>0</formula>
    </cfRule>
  </conditionalFormatting>
  <conditionalFormatting sqref="I4:I43">
    <cfRule type="cellIs" dxfId="7" priority="8" operator="notEqual">
      <formula>0</formula>
    </cfRule>
  </conditionalFormatting>
  <conditionalFormatting sqref="L4:L43">
    <cfRule type="cellIs" dxfId="6" priority="7" operator="notEqual">
      <formula>0</formula>
    </cfRule>
  </conditionalFormatting>
  <conditionalFormatting sqref="O4:O43">
    <cfRule type="cellIs" dxfId="5" priority="6" operator="notEqual">
      <formula>0</formula>
    </cfRule>
  </conditionalFormatting>
  <conditionalFormatting sqref="R4:R43">
    <cfRule type="cellIs" dxfId="4" priority="5" operator="notEqual">
      <formula>0</formula>
    </cfRule>
  </conditionalFormatting>
  <conditionalFormatting sqref="U4:U43">
    <cfRule type="cellIs" dxfId="3" priority="4" operator="notEqual">
      <formula>0</formula>
    </cfRule>
  </conditionalFormatting>
  <conditionalFormatting sqref="X4:X43">
    <cfRule type="cellIs" dxfId="2" priority="3" operator="notEqual">
      <formula>0</formula>
    </cfRule>
  </conditionalFormatting>
  <conditionalFormatting sqref="AA4:AA43">
    <cfRule type="cellIs" dxfId="1" priority="2" operator="notEqual">
      <formula>0</formula>
    </cfRule>
  </conditionalFormatting>
  <conditionalFormatting sqref="AD4:AD43">
    <cfRule type="cellIs" dxfId="0" priority="1" operator="not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E12"/>
  <sheetViews>
    <sheetView workbookViewId="0">
      <selection activeCell="M26" sqref="M26"/>
    </sheetView>
  </sheetViews>
  <sheetFormatPr defaultRowHeight="15" x14ac:dyDescent="0.25"/>
  <cols>
    <col min="1" max="1" width="4" customWidth="1"/>
    <col min="2" max="2" width="15.5703125" bestFit="1" customWidth="1"/>
    <col min="3" max="3" width="22.5703125" style="1" customWidth="1"/>
    <col min="4" max="4" width="24.7109375" style="1" customWidth="1"/>
    <col min="5" max="5" width="16.5703125" style="1" bestFit="1" customWidth="1"/>
    <col min="6" max="6" width="16.140625" style="1" bestFit="1" customWidth="1"/>
    <col min="7" max="7" width="11.7109375" style="1" bestFit="1" customWidth="1"/>
    <col min="8" max="8" width="17.42578125" style="1" bestFit="1" customWidth="1"/>
    <col min="9" max="9" width="11.42578125" style="1" bestFit="1" customWidth="1"/>
    <col min="10" max="10" width="15.28515625" style="1" bestFit="1" customWidth="1"/>
    <col min="11" max="11" width="18.42578125" style="1" bestFit="1" customWidth="1"/>
    <col min="12" max="13" width="22.140625" style="1" customWidth="1"/>
    <col min="14" max="17" width="18.85546875" style="1" customWidth="1"/>
    <col min="18" max="18" width="20.42578125" bestFit="1" customWidth="1"/>
    <col min="19" max="20" width="18.85546875" bestFit="1" customWidth="1"/>
    <col min="21" max="21" width="15.42578125" bestFit="1" customWidth="1"/>
    <col min="22" max="31" width="24.140625" customWidth="1"/>
  </cols>
  <sheetData>
    <row r="1" spans="2:31" x14ac:dyDescent="0.25">
      <c r="B1" t="s">
        <v>1</v>
      </c>
      <c r="C1" s="2" t="s">
        <v>46</v>
      </c>
      <c r="D1" s="2"/>
      <c r="E1" s="2"/>
      <c r="F1" s="2"/>
      <c r="G1" s="2"/>
      <c r="H1" s="2"/>
      <c r="I1" s="2"/>
      <c r="J1" s="2"/>
      <c r="K1" s="2"/>
      <c r="L1" s="2"/>
      <c r="M1" s="2"/>
    </row>
    <row r="2" spans="2:31" x14ac:dyDescent="0.25">
      <c r="B2" t="s">
        <v>47</v>
      </c>
      <c r="C2" s="2" t="str">
        <f>"\\whpnxx6070n1\mrm_dept\v02\FORMS\GMLB\Check and Testing\Swap Check\sun_risk "&amp;MAX(Summary!$C$6:$C$11)&amp;".xls"</f>
        <v>\\whpnxx6070n1\mrm_dept\v02\FORMS\GMLB\Check and Testing\Swap Check\sun_risk 20150619.xls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2:31" x14ac:dyDescent="0.25">
      <c r="B3" t="s">
        <v>64</v>
      </c>
      <c r="C3" s="2" t="s">
        <v>65</v>
      </c>
      <c r="D3" s="2"/>
      <c r="E3" s="2"/>
      <c r="F3" s="2"/>
      <c r="G3" s="2"/>
      <c r="H3" s="2"/>
      <c r="I3" s="2"/>
      <c r="J3" s="2"/>
      <c r="K3" s="2"/>
      <c r="L3" s="2"/>
      <c r="M3" s="2"/>
    </row>
    <row r="5" spans="2:31" x14ac:dyDescent="0.25">
      <c r="C5" s="3" t="s">
        <v>3</v>
      </c>
      <c r="D5" s="3" t="s">
        <v>24</v>
      </c>
      <c r="E5" s="3" t="s">
        <v>32</v>
      </c>
      <c r="F5" s="3" t="s">
        <v>36</v>
      </c>
      <c r="G5" s="3" t="s">
        <v>33</v>
      </c>
      <c r="H5" s="3" t="s">
        <v>34</v>
      </c>
      <c r="I5" s="3" t="s">
        <v>35</v>
      </c>
      <c r="J5" s="3" t="s">
        <v>37</v>
      </c>
      <c r="K5" s="3" t="s">
        <v>31</v>
      </c>
      <c r="L5" s="3" t="s">
        <v>15</v>
      </c>
      <c r="M5" s="24" t="s">
        <v>16</v>
      </c>
      <c r="N5" s="24" t="s">
        <v>89</v>
      </c>
      <c r="O5" s="24" t="s">
        <v>20</v>
      </c>
      <c r="P5" s="24" t="s">
        <v>21</v>
      </c>
      <c r="Q5" s="24" t="s">
        <v>22</v>
      </c>
      <c r="R5" s="24" t="s">
        <v>60</v>
      </c>
      <c r="S5" s="3" t="s">
        <v>61</v>
      </c>
      <c r="T5" s="3" t="s">
        <v>72</v>
      </c>
      <c r="U5" s="3" t="s">
        <v>75</v>
      </c>
      <c r="V5" s="24" t="s">
        <v>103</v>
      </c>
      <c r="W5" s="24" t="s">
        <v>76</v>
      </c>
      <c r="X5" s="24" t="s">
        <v>79</v>
      </c>
      <c r="Y5" s="24" t="s">
        <v>78</v>
      </c>
      <c r="Z5" s="24" t="s">
        <v>77</v>
      </c>
      <c r="AA5" s="24" t="s">
        <v>80</v>
      </c>
      <c r="AB5" s="24" t="s">
        <v>81</v>
      </c>
      <c r="AC5" s="25" t="s">
        <v>95</v>
      </c>
      <c r="AD5" s="25" t="s">
        <v>94</v>
      </c>
      <c r="AE5" s="25" t="s">
        <v>96</v>
      </c>
    </row>
    <row r="6" spans="2:31" x14ac:dyDescent="0.25">
      <c r="B6" s="4" t="s">
        <v>10</v>
      </c>
      <c r="C6" s="5" t="s">
        <v>4</v>
      </c>
      <c r="D6" s="5" t="s">
        <v>25</v>
      </c>
      <c r="E6" s="5" t="s">
        <v>70</v>
      </c>
      <c r="F6" s="5" t="s">
        <v>49</v>
      </c>
      <c r="G6" s="5" t="s">
        <v>51</v>
      </c>
      <c r="H6" s="5" t="s">
        <v>53</v>
      </c>
      <c r="I6" s="5" t="s">
        <v>55</v>
      </c>
      <c r="J6" s="5" t="s">
        <v>57</v>
      </c>
      <c r="K6" s="13">
        <v>12</v>
      </c>
      <c r="L6" s="1" t="s">
        <v>10</v>
      </c>
      <c r="M6" s="1" t="s">
        <v>68</v>
      </c>
      <c r="N6" s="1" t="s">
        <v>18</v>
      </c>
      <c r="O6" s="1" t="s">
        <v>17</v>
      </c>
      <c r="P6" s="1" t="s">
        <v>23</v>
      </c>
      <c r="Q6" s="1" t="s">
        <v>69</v>
      </c>
      <c r="R6" s="1" t="s">
        <v>19</v>
      </c>
      <c r="S6" s="1" t="s">
        <v>62</v>
      </c>
      <c r="T6" s="1" t="s">
        <v>73</v>
      </c>
      <c r="U6" s="1" t="s">
        <v>73</v>
      </c>
      <c r="V6" s="23" t="s">
        <v>82</v>
      </c>
      <c r="W6" s="23" t="s">
        <v>83</v>
      </c>
      <c r="X6" s="23" t="s">
        <v>84</v>
      </c>
      <c r="Y6" s="23" t="s">
        <v>85</v>
      </c>
      <c r="Z6" s="23" t="s">
        <v>86</v>
      </c>
      <c r="AA6" s="23" t="s">
        <v>87</v>
      </c>
      <c r="AB6" s="23" t="s">
        <v>88</v>
      </c>
      <c r="AC6" s="23" t="s">
        <v>100</v>
      </c>
      <c r="AD6" s="23" t="s">
        <v>101</v>
      </c>
      <c r="AE6" s="23" t="s">
        <v>102</v>
      </c>
    </row>
    <row r="7" spans="2:31" x14ac:dyDescent="0.25">
      <c r="B7" s="4" t="s">
        <v>11</v>
      </c>
      <c r="C7" s="5" t="s">
        <v>5</v>
      </c>
      <c r="D7" s="5" t="s">
        <v>26</v>
      </c>
      <c r="E7" s="5" t="s">
        <v>48</v>
      </c>
      <c r="F7" s="5" t="s">
        <v>50</v>
      </c>
      <c r="G7" s="5" t="s">
        <v>52</v>
      </c>
      <c r="H7" s="5" t="s">
        <v>54</v>
      </c>
      <c r="I7" s="5" t="s">
        <v>56</v>
      </c>
      <c r="J7" s="5" t="s">
        <v>58</v>
      </c>
      <c r="K7" s="5">
        <v>22</v>
      </c>
      <c r="L7" s="1" t="s">
        <v>11</v>
      </c>
      <c r="M7" s="1" t="s">
        <v>68</v>
      </c>
      <c r="N7" s="1" t="s">
        <v>18</v>
      </c>
      <c r="O7" s="1" t="s">
        <v>17</v>
      </c>
      <c r="P7" s="1" t="s">
        <v>23</v>
      </c>
      <c r="Q7" s="1" t="s">
        <v>69</v>
      </c>
      <c r="R7" s="1" t="s">
        <v>19</v>
      </c>
      <c r="S7" s="1" t="s">
        <v>63</v>
      </c>
      <c r="T7" s="1" t="s">
        <v>74</v>
      </c>
      <c r="U7" s="23" t="s">
        <v>67</v>
      </c>
      <c r="V7" s="23" t="s">
        <v>82</v>
      </c>
      <c r="W7" s="23" t="s">
        <v>83</v>
      </c>
      <c r="X7" s="23" t="s">
        <v>84</v>
      </c>
      <c r="Y7" s="23" t="s">
        <v>85</v>
      </c>
      <c r="Z7" s="23" t="s">
        <v>86</v>
      </c>
      <c r="AA7" s="23" t="s">
        <v>87</v>
      </c>
      <c r="AB7" s="23" t="s">
        <v>88</v>
      </c>
      <c r="AC7" s="23" t="s">
        <v>97</v>
      </c>
      <c r="AD7" s="23" t="s">
        <v>98</v>
      </c>
      <c r="AE7" s="23" t="s">
        <v>63</v>
      </c>
    </row>
    <row r="8" spans="2:31" x14ac:dyDescent="0.25">
      <c r="B8" s="4" t="s">
        <v>6</v>
      </c>
      <c r="C8" s="5" t="s">
        <v>6</v>
      </c>
      <c r="D8" s="5" t="s">
        <v>27</v>
      </c>
      <c r="E8" s="5" t="s">
        <v>48</v>
      </c>
      <c r="F8" s="5" t="s">
        <v>50</v>
      </c>
      <c r="G8" s="5" t="s">
        <v>52</v>
      </c>
      <c r="H8" s="5" t="s">
        <v>54</v>
      </c>
      <c r="I8" s="5" t="s">
        <v>56</v>
      </c>
      <c r="J8" s="5" t="s">
        <v>58</v>
      </c>
      <c r="K8" s="5">
        <v>22</v>
      </c>
      <c r="L8" s="1" t="s">
        <v>6</v>
      </c>
      <c r="M8" s="1" t="s">
        <v>68</v>
      </c>
      <c r="N8" s="1" t="s">
        <v>18</v>
      </c>
      <c r="O8" s="1" t="s">
        <v>17</v>
      </c>
      <c r="P8" s="1" t="s">
        <v>23</v>
      </c>
      <c r="Q8" s="1" t="s">
        <v>69</v>
      </c>
      <c r="R8" s="1" t="s">
        <v>19</v>
      </c>
      <c r="S8" s="1" t="s">
        <v>63</v>
      </c>
      <c r="T8" s="1" t="s">
        <v>74</v>
      </c>
      <c r="U8" s="23" t="s">
        <v>67</v>
      </c>
      <c r="V8" s="23" t="s">
        <v>82</v>
      </c>
      <c r="W8" s="23" t="s">
        <v>83</v>
      </c>
      <c r="X8" s="23" t="s">
        <v>84</v>
      </c>
      <c r="Y8" s="23" t="s">
        <v>85</v>
      </c>
      <c r="Z8" s="23" t="s">
        <v>86</v>
      </c>
      <c r="AA8" s="23" t="s">
        <v>87</v>
      </c>
      <c r="AB8" s="23" t="s">
        <v>88</v>
      </c>
      <c r="AC8" s="23" t="s">
        <v>97</v>
      </c>
      <c r="AD8" s="23" t="s">
        <v>98</v>
      </c>
      <c r="AE8" s="23" t="s">
        <v>99</v>
      </c>
    </row>
    <row r="9" spans="2:31" x14ac:dyDescent="0.25">
      <c r="B9" s="4" t="s">
        <v>12</v>
      </c>
      <c r="C9" s="5" t="s">
        <v>7</v>
      </c>
      <c r="D9" s="5" t="s">
        <v>28</v>
      </c>
      <c r="E9" s="5" t="s">
        <v>48</v>
      </c>
      <c r="F9" s="5" t="s">
        <v>50</v>
      </c>
      <c r="G9" s="5" t="s">
        <v>52</v>
      </c>
      <c r="H9" s="5" t="s">
        <v>54</v>
      </c>
      <c r="I9" s="5" t="s">
        <v>56</v>
      </c>
      <c r="J9" s="5" t="s">
        <v>58</v>
      </c>
      <c r="K9" s="5">
        <v>22</v>
      </c>
      <c r="L9" s="1" t="s">
        <v>116</v>
      </c>
      <c r="M9" s="1" t="s">
        <v>68</v>
      </c>
      <c r="N9" s="1" t="s">
        <v>18</v>
      </c>
      <c r="O9" s="1" t="s">
        <v>17</v>
      </c>
      <c r="P9" s="1" t="s">
        <v>23</v>
      </c>
      <c r="Q9" s="1" t="s">
        <v>69</v>
      </c>
      <c r="R9" s="1" t="s">
        <v>19</v>
      </c>
      <c r="S9" s="1" t="s">
        <v>63</v>
      </c>
      <c r="T9" s="1" t="s">
        <v>74</v>
      </c>
      <c r="U9" s="23" t="s">
        <v>67</v>
      </c>
      <c r="V9" s="23" t="s">
        <v>82</v>
      </c>
      <c r="W9" s="23" t="s">
        <v>83</v>
      </c>
      <c r="X9" s="23" t="s">
        <v>84</v>
      </c>
      <c r="Y9" s="23" t="s">
        <v>85</v>
      </c>
      <c r="Z9" s="23" t="s">
        <v>86</v>
      </c>
      <c r="AA9" s="23" t="s">
        <v>87</v>
      </c>
      <c r="AB9" s="23" t="s">
        <v>88</v>
      </c>
      <c r="AC9" s="23" t="s">
        <v>97</v>
      </c>
      <c r="AD9" s="23" t="s">
        <v>98</v>
      </c>
      <c r="AE9" s="23" t="s">
        <v>99</v>
      </c>
    </row>
    <row r="10" spans="2:31" x14ac:dyDescent="0.25">
      <c r="B10" s="4" t="s">
        <v>13</v>
      </c>
      <c r="C10" s="5" t="s">
        <v>8</v>
      </c>
      <c r="D10" s="5" t="s">
        <v>29</v>
      </c>
      <c r="E10" s="5" t="s">
        <v>48</v>
      </c>
      <c r="F10" s="5" t="s">
        <v>50</v>
      </c>
      <c r="G10" s="5" t="s">
        <v>52</v>
      </c>
      <c r="H10" s="5" t="s">
        <v>54</v>
      </c>
      <c r="I10" s="5" t="s">
        <v>56</v>
      </c>
      <c r="J10" s="5" t="s">
        <v>58</v>
      </c>
      <c r="K10" s="5">
        <v>22</v>
      </c>
      <c r="L10" s="1" t="s">
        <v>117</v>
      </c>
      <c r="M10" s="1" t="s">
        <v>68</v>
      </c>
      <c r="N10" s="1" t="s">
        <v>18</v>
      </c>
      <c r="O10" s="1" t="s">
        <v>17</v>
      </c>
      <c r="P10" s="1" t="s">
        <v>23</v>
      </c>
      <c r="Q10" s="1" t="s">
        <v>69</v>
      </c>
      <c r="R10" s="1" t="s">
        <v>19</v>
      </c>
      <c r="S10" s="1" t="s">
        <v>63</v>
      </c>
      <c r="T10" s="1" t="s">
        <v>74</v>
      </c>
      <c r="U10" s="23" t="s">
        <v>67</v>
      </c>
      <c r="V10" s="23" t="s">
        <v>82</v>
      </c>
      <c r="W10" s="23" t="s">
        <v>83</v>
      </c>
      <c r="X10" s="23" t="s">
        <v>84</v>
      </c>
      <c r="Y10" s="23" t="s">
        <v>85</v>
      </c>
      <c r="Z10" s="23" t="s">
        <v>86</v>
      </c>
      <c r="AA10" s="23" t="s">
        <v>87</v>
      </c>
      <c r="AB10" s="23" t="s">
        <v>88</v>
      </c>
      <c r="AC10" s="23" t="s">
        <v>97</v>
      </c>
      <c r="AD10" s="23" t="s">
        <v>98</v>
      </c>
      <c r="AE10" s="23" t="s">
        <v>99</v>
      </c>
    </row>
    <row r="11" spans="2:31" x14ac:dyDescent="0.25">
      <c r="B11" s="4" t="s">
        <v>14</v>
      </c>
      <c r="C11" s="5" t="s">
        <v>9</v>
      </c>
      <c r="D11" s="5" t="s">
        <v>30</v>
      </c>
      <c r="E11" s="5" t="s">
        <v>48</v>
      </c>
      <c r="F11" s="5" t="s">
        <v>50</v>
      </c>
      <c r="G11" s="5" t="s">
        <v>52</v>
      </c>
      <c r="H11" s="5" t="s">
        <v>54</v>
      </c>
      <c r="I11" s="5" t="s">
        <v>56</v>
      </c>
      <c r="J11" s="5" t="s">
        <v>58</v>
      </c>
      <c r="K11" s="5">
        <v>22</v>
      </c>
      <c r="L11" s="1" t="s">
        <v>14</v>
      </c>
      <c r="M11" s="1" t="s">
        <v>68</v>
      </c>
      <c r="N11" s="1" t="s">
        <v>18</v>
      </c>
      <c r="O11" s="1" t="s">
        <v>17</v>
      </c>
      <c r="P11" s="1" t="s">
        <v>23</v>
      </c>
      <c r="Q11" s="1" t="s">
        <v>69</v>
      </c>
      <c r="R11" s="1" t="s">
        <v>19</v>
      </c>
      <c r="S11" s="1" t="s">
        <v>63</v>
      </c>
      <c r="T11" s="1" t="s">
        <v>74</v>
      </c>
      <c r="U11" s="23" t="s">
        <v>67</v>
      </c>
      <c r="V11" s="23" t="s">
        <v>82</v>
      </c>
      <c r="W11" s="23" t="s">
        <v>83</v>
      </c>
      <c r="X11" s="23" t="s">
        <v>84</v>
      </c>
      <c r="Y11" s="23" t="s">
        <v>85</v>
      </c>
      <c r="Z11" s="23" t="s">
        <v>86</v>
      </c>
      <c r="AA11" s="23" t="s">
        <v>87</v>
      </c>
      <c r="AB11" s="23" t="s">
        <v>88</v>
      </c>
      <c r="AC11" s="23" t="s">
        <v>97</v>
      </c>
      <c r="AD11" s="23" t="s">
        <v>98</v>
      </c>
      <c r="AE11" s="23" t="s">
        <v>99</v>
      </c>
    </row>
    <row r="12" spans="2:31" s="28" customFormat="1" x14ac:dyDescent="0.25">
      <c r="B12" s="27"/>
      <c r="C12" s="26">
        <v>1</v>
      </c>
      <c r="D12" s="26">
        <v>2</v>
      </c>
      <c r="E12" s="26">
        <v>3</v>
      </c>
      <c r="F12" s="26">
        <v>4</v>
      </c>
      <c r="G12" s="26">
        <v>5</v>
      </c>
      <c r="H12" s="26">
        <v>6</v>
      </c>
      <c r="I12" s="26">
        <v>7</v>
      </c>
      <c r="J12" s="26">
        <v>8</v>
      </c>
      <c r="K12" s="26">
        <v>9</v>
      </c>
      <c r="L12" s="26">
        <v>10</v>
      </c>
      <c r="M12" s="26">
        <v>11</v>
      </c>
      <c r="N12" s="26">
        <v>12</v>
      </c>
      <c r="O12" s="26">
        <v>13</v>
      </c>
      <c r="P12" s="26">
        <v>14</v>
      </c>
      <c r="Q12" s="26">
        <v>15</v>
      </c>
      <c r="R12" s="26">
        <v>16</v>
      </c>
      <c r="S12" s="26">
        <v>17</v>
      </c>
      <c r="T12" s="26">
        <v>18</v>
      </c>
      <c r="U12" s="26">
        <v>19</v>
      </c>
      <c r="V12" s="26">
        <v>20</v>
      </c>
      <c r="W12" s="26">
        <v>21</v>
      </c>
      <c r="X12" s="26">
        <v>22</v>
      </c>
      <c r="Y12" s="26">
        <v>23</v>
      </c>
      <c r="Z12" s="26">
        <v>24</v>
      </c>
      <c r="AA12" s="26">
        <v>25</v>
      </c>
      <c r="AB12" s="26">
        <v>26</v>
      </c>
      <c r="AC12" s="26">
        <v>27</v>
      </c>
      <c r="AD12" s="26">
        <v>28</v>
      </c>
      <c r="AE12" s="26">
        <v>29</v>
      </c>
    </row>
  </sheetData>
  <hyperlinks>
    <hyperlink ref="C1" r:id="rId1"/>
    <hyperlink ref="C2" r:id="rId2" display="\\whpnxx6070n1\mrm_dept\v02\FORMS\GMLB\Check and Testing\Swap Check\"/>
    <hyperlink ref="C3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Summary</vt:lpstr>
      <vt:lpstr>DAP</vt:lpstr>
      <vt:lpstr>ML</vt:lpstr>
      <vt:lpstr>USL</vt:lpstr>
      <vt:lpstr>VALIC-GMWB</vt:lpstr>
      <vt:lpstr>VALIC-VIX-DAP</vt:lpstr>
      <vt:lpstr>VIX</vt:lpstr>
      <vt:lpstr>Input</vt:lpstr>
      <vt:lpstr>ArchiveFolder</vt:lpstr>
      <vt:lpstr>DAPStart</vt:lpstr>
      <vt:lpstr>FormFolder</vt:lpstr>
      <vt:lpstr>GMWBStart</vt:lpstr>
      <vt:lpstr>InputStart</vt:lpstr>
      <vt:lpstr>MLStart</vt:lpstr>
      <vt:lpstr>RiskRptPath</vt:lpstr>
      <vt:lpstr>Status</vt:lpstr>
      <vt:lpstr>SummaryStart</vt:lpstr>
      <vt:lpstr>USLStart</vt:lpstr>
      <vt:lpstr>VALIC_GMWBStart</vt:lpstr>
      <vt:lpstr>VALIC_VIXStart</vt:lpstr>
      <vt:lpstr>VALICStart</vt:lpstr>
      <vt:lpstr>VALICVIXStart</vt:lpstr>
      <vt:lpstr>VIX_DAPStart</vt:lpstr>
      <vt:lpstr>VIXStart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Li, Mei</cp:lastModifiedBy>
  <dcterms:created xsi:type="dcterms:W3CDTF">2006-09-16T00:00:00Z</dcterms:created>
  <dcterms:modified xsi:type="dcterms:W3CDTF">2015-06-22T14:12:48Z</dcterms:modified>
</cp:coreProperties>
</file>